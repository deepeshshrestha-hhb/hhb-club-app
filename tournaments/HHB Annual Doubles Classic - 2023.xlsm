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393d3a424cfc66/badminton_club_app/tournaments/"/>
    </mc:Choice>
  </mc:AlternateContent>
  <xr:revisionPtr revIDLastSave="0" documentId="11_E6BD2EAF68E49D2204531A36DBF4E7A9B314844C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es" sheetId="1" r:id="rId1"/>
    <sheet name="Group A" sheetId="9" r:id="rId2"/>
    <sheet name="Group B" sheetId="14" r:id="rId3"/>
    <sheet name="Availability" sheetId="7" r:id="rId4"/>
    <sheet name="Knockouts" sheetId="4" r:id="rId5"/>
    <sheet name="Sheet1" sheetId="15" r:id="rId6"/>
    <sheet name="Sheet2" sheetId="12" state="hidden" r:id="rId7"/>
  </sheets>
  <functionGroups builtInGroupCount="19"/>
  <definedNames>
    <definedName name="_xlnm._FilterDatabase" localSheetId="3" hidden="1">Availability!$A$2:$L$16</definedName>
    <definedName name="_xlnm._FilterDatabase" localSheetId="0" hidden="1">Dates!$G$25:$I$39</definedName>
    <definedName name="_xlnm._FilterDatabase" localSheetId="1" hidden="1">'Group A'!$K$2:$R$9</definedName>
    <definedName name="_xlnm._FilterDatabase" localSheetId="2" hidden="1">'Group B'!$A$2:$G$23</definedName>
    <definedName name="_xlnm.Criteria" localSheetId="0">Dates!$I$25:$I$39</definedName>
    <definedName name="POINTS_TABLE" localSheetId="1">'Group A'!$K$2:$R$5</definedName>
    <definedName name="POINTS_TABLE" localSheetId="2">'Group B'!$K$2:$R$5</definedName>
    <definedName name="POINTS_TABLE">#REF!</definedName>
    <definedName name="POOL_B">Dates!$A$41:$B$55</definedName>
    <definedName name="_xlnm.Print_Area" localSheetId="1">'Group A'!$A$1:$G$23</definedName>
    <definedName name="_xlnm.Print_Area" localSheetId="2">'Group B'!$A$1:$G$23</definedName>
    <definedName name="TEAMS_A">#REF!</definedName>
    <definedName name="TEAMS_B" localSheetId="1">'Group A'!$J$3:$K$5</definedName>
    <definedName name="TEAMS_B" localSheetId="2">'Group B'!$J$3:$K$5</definedName>
    <definedName name="TEAMS_B">#REF!</definedName>
  </definedNames>
  <calcPr calcId="181029"/>
</workbook>
</file>

<file path=xl/calcChain.xml><?xml version="1.0" encoding="utf-8"?>
<calcChain xmlns="http://schemas.openxmlformats.org/spreadsheetml/2006/main">
  <c r="C30" i="4" l="1"/>
  <c r="P36" i="4" l="1"/>
  <c r="L9" i="9" l="1"/>
  <c r="L7" i="9"/>
  <c r="L4" i="9"/>
  <c r="B25" i="4" l="1"/>
  <c r="B23" i="4"/>
  <c r="B19" i="4"/>
  <c r="B17" i="4"/>
  <c r="B13" i="4"/>
  <c r="B11" i="4"/>
  <c r="B7" i="4"/>
  <c r="B5" i="4"/>
  <c r="G24" i="9" l="1"/>
  <c r="G13" i="9"/>
  <c r="G15" i="9"/>
  <c r="G14" i="9"/>
  <c r="G20" i="9"/>
  <c r="G21" i="9"/>
  <c r="G11" i="9"/>
  <c r="G19" i="9"/>
  <c r="G8" i="9"/>
  <c r="G12" i="9"/>
  <c r="G5" i="9"/>
  <c r="G9" i="9"/>
  <c r="G16" i="9"/>
  <c r="G6" i="9"/>
  <c r="G10" i="9"/>
  <c r="G7" i="9"/>
  <c r="G18" i="9"/>
  <c r="G17" i="9"/>
  <c r="G20" i="14"/>
  <c r="G21" i="14"/>
  <c r="G12" i="14"/>
  <c r="G22" i="14"/>
  <c r="G13" i="14"/>
  <c r="G15" i="14"/>
  <c r="G17" i="14"/>
  <c r="G11" i="14"/>
  <c r="G16" i="14"/>
  <c r="G9" i="14"/>
  <c r="G23" i="14"/>
  <c r="G14" i="14"/>
  <c r="G7" i="14"/>
  <c r="G10" i="14"/>
  <c r="G8" i="14"/>
  <c r="G18" i="14"/>
  <c r="G19" i="14"/>
  <c r="G6" i="14"/>
  <c r="D2" i="7"/>
  <c r="E2" i="7" s="1"/>
  <c r="F2" i="7" s="1"/>
  <c r="G2" i="7" s="1"/>
  <c r="H2" i="7" s="1"/>
  <c r="I2" i="7" s="1"/>
  <c r="J2" i="7" s="1"/>
  <c r="K2" i="7" s="1"/>
  <c r="E4" i="1" l="1"/>
  <c r="E5" i="1" s="1"/>
  <c r="L16" i="7" l="1"/>
  <c r="L15" i="7"/>
  <c r="L14" i="7"/>
  <c r="L13" i="7"/>
  <c r="L12" i="7"/>
  <c r="L11" i="7"/>
  <c r="L10" i="7"/>
  <c r="L9" i="7"/>
  <c r="L8" i="7"/>
  <c r="L7" i="7"/>
  <c r="L6" i="7"/>
  <c r="L5" i="7"/>
  <c r="L4" i="7"/>
  <c r="H33" i="14"/>
  <c r="H32" i="14"/>
  <c r="H31" i="14"/>
  <c r="H30" i="14"/>
  <c r="H29" i="14"/>
  <c r="H28" i="14"/>
  <c r="H27" i="14"/>
  <c r="H26" i="14"/>
  <c r="H25" i="14"/>
  <c r="H24" i="14"/>
  <c r="G24" i="14"/>
  <c r="H23" i="14"/>
  <c r="H22" i="14"/>
  <c r="S21" i="14"/>
  <c r="T21" i="14" s="1"/>
  <c r="H21" i="14"/>
  <c r="S20" i="14"/>
  <c r="T20" i="14" s="1"/>
  <c r="H20" i="14"/>
  <c r="S19" i="14"/>
  <c r="T19" i="14" s="1"/>
  <c r="H19" i="14"/>
  <c r="S18" i="14"/>
  <c r="T18" i="14" s="1"/>
  <c r="H18" i="14"/>
  <c r="H11" i="14"/>
  <c r="S10" i="14"/>
  <c r="T10" i="14" s="1"/>
  <c r="H10" i="14"/>
  <c r="S9" i="14"/>
  <c r="T9" i="14" s="1"/>
  <c r="Q8" i="14"/>
  <c r="P8" i="14"/>
  <c r="L8" i="14"/>
  <c r="H9" i="14"/>
  <c r="G4" i="14"/>
  <c r="S8" i="14"/>
  <c r="T8" i="14" s="1"/>
  <c r="Q4" i="14"/>
  <c r="P4" i="14"/>
  <c r="L4" i="14"/>
  <c r="H8" i="14"/>
  <c r="S7" i="14"/>
  <c r="T7" i="14" s="1"/>
  <c r="Q6" i="14"/>
  <c r="P6" i="14"/>
  <c r="L6" i="14"/>
  <c r="H7" i="14"/>
  <c r="S6" i="14"/>
  <c r="T6" i="14" s="1"/>
  <c r="Q7" i="14"/>
  <c r="P7" i="14"/>
  <c r="L7" i="14"/>
  <c r="H6" i="14"/>
  <c r="S5" i="14"/>
  <c r="T5" i="14" s="1"/>
  <c r="Q3" i="14"/>
  <c r="P3" i="14"/>
  <c r="L3" i="14"/>
  <c r="H5" i="14"/>
  <c r="Q9" i="14"/>
  <c r="P9" i="14"/>
  <c r="L9" i="14"/>
  <c r="H4" i="14"/>
  <c r="G3" i="14"/>
  <c r="Q5" i="14"/>
  <c r="P5" i="14"/>
  <c r="L5" i="14"/>
  <c r="H3" i="14"/>
  <c r="G5" i="14"/>
  <c r="E6" i="1"/>
  <c r="Q4" i="9"/>
  <c r="P4" i="9"/>
  <c r="I24" i="1"/>
  <c r="J24" i="1"/>
  <c r="R4" i="14" l="1"/>
  <c r="M7" i="14"/>
  <c r="O7" i="14" s="1"/>
  <c r="R5" i="14"/>
  <c r="R7" i="14"/>
  <c r="S4" i="14"/>
  <c r="T4" i="14" s="1"/>
  <c r="R6" i="14"/>
  <c r="R9" i="14"/>
  <c r="S2" i="14"/>
  <c r="T2" i="14" s="1"/>
  <c r="S3" i="14"/>
  <c r="T3" i="14" s="1"/>
  <c r="R3" i="14"/>
  <c r="R8" i="14"/>
  <c r="R4" i="9"/>
  <c r="M3" i="14"/>
  <c r="O3" i="14" s="1"/>
  <c r="M9" i="14"/>
  <c r="O9" i="14" s="1"/>
  <c r="M4" i="14"/>
  <c r="O4" i="14" s="1"/>
  <c r="M8" i="14"/>
  <c r="O8" i="14" s="1"/>
  <c r="M5" i="14"/>
  <c r="M6" i="14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26" i="1"/>
  <c r="J40" i="1"/>
  <c r="E26" i="1"/>
  <c r="H26" i="1" s="1"/>
  <c r="E27" i="1"/>
  <c r="H27" i="1" s="1"/>
  <c r="E28" i="1"/>
  <c r="H28" i="1" s="1"/>
  <c r="E29" i="1"/>
  <c r="H29" i="1" s="1"/>
  <c r="E30" i="1"/>
  <c r="H30" i="1" s="1"/>
  <c r="E31" i="1"/>
  <c r="H31" i="1" s="1"/>
  <c r="E32" i="1"/>
  <c r="H32" i="1" s="1"/>
  <c r="E33" i="1"/>
  <c r="H33" i="1" s="1"/>
  <c r="E34" i="1"/>
  <c r="H34" i="1" s="1"/>
  <c r="E35" i="1"/>
  <c r="H35" i="1" s="1"/>
  <c r="E36" i="1"/>
  <c r="H36" i="1" s="1"/>
  <c r="E37" i="1"/>
  <c r="H37" i="1" s="1"/>
  <c r="E38" i="1"/>
  <c r="H38" i="1" s="1"/>
  <c r="E39" i="1"/>
  <c r="H39" i="1" s="1"/>
  <c r="N7" i="14" l="1"/>
  <c r="N8" i="14"/>
  <c r="N6" i="14"/>
  <c r="O6" i="14"/>
  <c r="N5" i="14"/>
  <c r="O5" i="14"/>
  <c r="N3" i="14"/>
  <c r="N4" i="14"/>
  <c r="N9" i="14"/>
  <c r="B93" i="1"/>
  <c r="B92" i="1"/>
  <c r="L3" i="7" l="1"/>
  <c r="S19" i="9"/>
  <c r="T19" i="9" s="1"/>
  <c r="H19" i="9"/>
  <c r="S18" i="9"/>
  <c r="T18" i="9" s="1"/>
  <c r="H18" i="9"/>
  <c r="H11" i="9"/>
  <c r="S10" i="9"/>
  <c r="T10" i="9" s="1"/>
  <c r="H10" i="9"/>
  <c r="S9" i="9"/>
  <c r="T9" i="9" s="1"/>
  <c r="H9" i="9"/>
  <c r="Q7" i="9"/>
  <c r="P7" i="9"/>
  <c r="Q5" i="9"/>
  <c r="P5" i="9"/>
  <c r="L5" i="9"/>
  <c r="Q3" i="9"/>
  <c r="P3" i="9"/>
  <c r="L3" i="9"/>
  <c r="H33" i="9"/>
  <c r="H32" i="9"/>
  <c r="H31" i="9"/>
  <c r="H30" i="9"/>
  <c r="H29" i="9"/>
  <c r="H28" i="9"/>
  <c r="H27" i="9"/>
  <c r="H26" i="9"/>
  <c r="H25" i="9"/>
  <c r="H24" i="9"/>
  <c r="H23" i="9"/>
  <c r="G3" i="9"/>
  <c r="H22" i="9"/>
  <c r="S21" i="9"/>
  <c r="T21" i="9" s="1"/>
  <c r="H21" i="9"/>
  <c r="S20" i="9"/>
  <c r="T20" i="9" s="1"/>
  <c r="H20" i="9"/>
  <c r="S8" i="9"/>
  <c r="T8" i="9" s="1"/>
  <c r="H8" i="9"/>
  <c r="S7" i="9"/>
  <c r="T7" i="9" s="1"/>
  <c r="H7" i="9"/>
  <c r="S6" i="9"/>
  <c r="T6" i="9" s="1"/>
  <c r="H6" i="9"/>
  <c r="S5" i="9"/>
  <c r="T5" i="9" s="1"/>
  <c r="H5" i="9"/>
  <c r="Q8" i="9"/>
  <c r="P8" i="9"/>
  <c r="L8" i="9"/>
  <c r="H4" i="9"/>
  <c r="G4" i="9"/>
  <c r="Q6" i="9"/>
  <c r="P6" i="9"/>
  <c r="L6" i="9"/>
  <c r="H3" i="9"/>
  <c r="Q9" i="9"/>
  <c r="P9" i="9"/>
  <c r="M4" i="9" l="1"/>
  <c r="O4" i="9" s="1"/>
  <c r="M8" i="9"/>
  <c r="O8" i="9" s="1"/>
  <c r="M5" i="9"/>
  <c r="O5" i="9" s="1"/>
  <c r="R7" i="9"/>
  <c r="M7" i="9"/>
  <c r="O7" i="9" s="1"/>
  <c r="S2" i="9"/>
  <c r="T2" i="9" s="1"/>
  <c r="M9" i="9"/>
  <c r="N9" i="9" s="1"/>
  <c r="M3" i="9"/>
  <c r="O3" i="9" s="1"/>
  <c r="R5" i="9"/>
  <c r="R3" i="9"/>
  <c r="S4" i="9"/>
  <c r="T4" i="9" s="1"/>
  <c r="R9" i="9"/>
  <c r="S3" i="9"/>
  <c r="T3" i="9" s="1"/>
  <c r="M6" i="9"/>
  <c r="O6" i="9" s="1"/>
  <c r="R8" i="9"/>
  <c r="R6" i="9"/>
  <c r="N4" i="9" l="1"/>
  <c r="N8" i="9"/>
  <c r="N7" i="9"/>
  <c r="N5" i="9"/>
  <c r="N3" i="9"/>
  <c r="O9" i="9"/>
  <c r="N6" i="9"/>
  <c r="M2" i="1" l="1"/>
  <c r="M3" i="1" s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8" i="7" l="1"/>
  <c r="N8" i="7" s="1"/>
  <c r="P19" i="4"/>
  <c r="M10" i="7" l="1"/>
  <c r="N10" i="7" s="1"/>
  <c r="M9" i="7"/>
  <c r="N9" i="7" s="1"/>
  <c r="M7" i="7"/>
  <c r="N7" i="7" s="1"/>
  <c r="M5" i="7"/>
  <c r="N5" i="7" s="1"/>
  <c r="M12" i="7"/>
  <c r="N12" i="7" s="1"/>
  <c r="M3" i="7"/>
  <c r="N3" i="7" s="1"/>
  <c r="M13" i="7"/>
  <c r="N13" i="7" s="1"/>
  <c r="M11" i="7"/>
  <c r="N11" i="7" s="1"/>
  <c r="M15" i="7"/>
  <c r="N15" i="7" s="1"/>
  <c r="M4" i="7"/>
  <c r="N4" i="7" s="1"/>
  <c r="M6" i="7"/>
  <c r="N6" i="7" s="1"/>
  <c r="M16" i="7"/>
  <c r="N16" i="7" s="1"/>
  <c r="M14" i="7"/>
  <c r="N14" i="7" s="1"/>
  <c r="E7" i="1"/>
  <c r="E8" i="1" s="1"/>
  <c r="P7" i="4" l="1"/>
  <c r="P29" i="4"/>
  <c r="X32" i="4" s="1"/>
  <c r="X13" i="4" l="1"/>
  <c r="X23" i="4"/>
</calcChain>
</file>

<file path=xl/sharedStrings.xml><?xml version="1.0" encoding="utf-8"?>
<sst xmlns="http://schemas.openxmlformats.org/spreadsheetml/2006/main" count="546" uniqueCount="158">
  <si>
    <t>Kickoff</t>
  </si>
  <si>
    <t>Score</t>
  </si>
  <si>
    <t>Winner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</si>
  <si>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</si>
  <si>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</si>
  <si>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</si>
  <si>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</si>
  <si>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</si>
  <si>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</si>
  <si>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</si>
  <si>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</si>
  <si>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</si>
  <si>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</si>
  <si>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</si>
  <si>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</si>
  <si>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Semi Finals</t>
  </si>
  <si>
    <t>Team 1</t>
  </si>
  <si>
    <t>Team 2</t>
  </si>
  <si>
    <t>Margin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</si>
  <si>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</si>
  <si>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</si>
  <si>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</si>
  <si>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</si>
  <si>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</si>
  <si>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</si>
  <si>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</si>
  <si>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</si>
  <si>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RULES</t>
  </si>
  <si>
    <t>Pool B</t>
  </si>
  <si>
    <t>Group Games</t>
  </si>
  <si>
    <t>A team can also willingly forfeit a match and grant the opponent 2 points due to unavailability.</t>
  </si>
  <si>
    <t>In case of forfeited matches, the NSD will be calculated as the average positive NSD of all winning matches of the team benefitting from the forfeit.</t>
  </si>
  <si>
    <t>NSD</t>
  </si>
  <si>
    <t>Asim</t>
  </si>
  <si>
    <t>Altamash</t>
  </si>
  <si>
    <t>Thomas</t>
  </si>
  <si>
    <t>Purvaiz</t>
  </si>
  <si>
    <t>Rahul J</t>
  </si>
  <si>
    <t>Deepesh</t>
  </si>
  <si>
    <t>Shoaib</t>
  </si>
  <si>
    <t>Vasu</t>
  </si>
  <si>
    <t>Mansoor</t>
  </si>
  <si>
    <t>Nawaz</t>
  </si>
  <si>
    <t>Prasanna</t>
  </si>
  <si>
    <t>Samir</t>
  </si>
  <si>
    <t>Kalyan</t>
  </si>
  <si>
    <t>Tousif</t>
  </si>
  <si>
    <t>Player 2</t>
  </si>
  <si>
    <t xml:space="preserve">DISPLAY </t>
  </si>
  <si>
    <t>RANDOM NUMBER</t>
  </si>
  <si>
    <t>Pool A</t>
  </si>
  <si>
    <t>Break</t>
  </si>
  <si>
    <t>Week 1</t>
  </si>
  <si>
    <t>League Games</t>
  </si>
  <si>
    <t>Week 2</t>
  </si>
  <si>
    <t>Week 3</t>
  </si>
  <si>
    <t>Week 4</t>
  </si>
  <si>
    <t>Week 5</t>
  </si>
  <si>
    <t>Week 6</t>
  </si>
  <si>
    <t>Week 7</t>
  </si>
  <si>
    <t>Semifinals</t>
  </si>
  <si>
    <t>Finals/3rd place</t>
  </si>
  <si>
    <t>All teams who complete their group matches in first 4 weeks i.e. by 28th Nov will get a bonus of + 5 NSD.</t>
  </si>
  <si>
    <t>Games</t>
  </si>
  <si>
    <t>Finals/3rd Place</t>
  </si>
  <si>
    <r>
      <t xml:space="preserve">If teams are tied on points during group stages </t>
    </r>
    <r>
      <rPr>
        <b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et </t>
    </r>
    <r>
      <rPr>
        <b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core </t>
    </r>
    <r>
      <rPr>
        <b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 xml:space="preserve">ifference will be taken into account. </t>
    </r>
    <r>
      <rPr>
        <b/>
        <sz val="10"/>
        <color theme="1"/>
        <rFont val="Arial"/>
        <family val="2"/>
      </rPr>
      <t/>
    </r>
  </si>
  <si>
    <t>Teams</t>
  </si>
  <si>
    <r>
      <t>It is the responsibility of the winning team for each match to report their scores accurately in the WhatsApp group (</t>
    </r>
    <r>
      <rPr>
        <b/>
        <sz val="10"/>
        <color theme="1"/>
        <rFont val="Arial"/>
        <family val="2"/>
      </rPr>
      <t>HHB League Scores</t>
    </r>
    <r>
      <rPr>
        <sz val="10"/>
        <color theme="1"/>
        <rFont val="Arial"/>
        <family val="2"/>
      </rPr>
      <t>)</t>
    </r>
  </si>
  <si>
    <t>Reserve Sunday</t>
  </si>
  <si>
    <t>Group</t>
  </si>
  <si>
    <t>A</t>
  </si>
  <si>
    <t>B</t>
  </si>
  <si>
    <t>Team</t>
  </si>
  <si>
    <t>Santosh</t>
  </si>
  <si>
    <t>Rukhsar</t>
  </si>
  <si>
    <t>Jalal</t>
  </si>
  <si>
    <t>Yogi</t>
  </si>
  <si>
    <t>Saiful</t>
  </si>
  <si>
    <t>Zaheer</t>
  </si>
  <si>
    <t>Shreya</t>
  </si>
  <si>
    <t>Waqas</t>
  </si>
  <si>
    <t>Sandip</t>
  </si>
  <si>
    <t>Farooq S</t>
  </si>
  <si>
    <t>Umar</t>
  </si>
  <si>
    <t>Quarterfinals</t>
  </si>
  <si>
    <t>Vishal</t>
  </si>
  <si>
    <t>Sengole</t>
  </si>
  <si>
    <t>Ken</t>
  </si>
  <si>
    <t>Pool</t>
  </si>
  <si>
    <t>Participants</t>
  </si>
  <si>
    <t>BETWEEN 15-28</t>
  </si>
  <si>
    <t>14 teams will be divided into 2 groups, A &amp; B   having 7 teams each.</t>
  </si>
  <si>
    <t>Each team will play all other teams in the group. (6 matches each, 21 matches per group in total and 42 Group matches in total)</t>
  </si>
  <si>
    <t>BETWEEN 1-14</t>
  </si>
  <si>
    <t>Group A Teams</t>
  </si>
  <si>
    <t>Total Group A Teams</t>
  </si>
  <si>
    <t>Group A Points Table</t>
  </si>
  <si>
    <t>Group A Matches</t>
  </si>
  <si>
    <t>Group A</t>
  </si>
  <si>
    <t>Group B</t>
  </si>
  <si>
    <t>Games can be played during the week organised by the teams themselves. Wednesdays or Sundays or any day)</t>
  </si>
  <si>
    <t>Semis will be as below:
Winner of A1vB4 vs Winner of B2vA3
Winner of B1vA4 vs Winner of A2vB3</t>
  </si>
  <si>
    <t xml:space="preserve">                 HHB ANNUAL DOUBLES LEAGUE 2023</t>
  </si>
  <si>
    <t>Total Sessions Available</t>
  </si>
  <si>
    <t>Total Possible Sessions</t>
  </si>
  <si>
    <t>Session</t>
  </si>
  <si>
    <t>In the unlikely scenario of NSD also equal than a tie breaker game will be played 21 points between the tied teams.</t>
  </si>
  <si>
    <r>
      <t xml:space="preserve">Top 4 from each group will proceed to the Quarterfinals as below:
</t>
    </r>
    <r>
      <rPr>
        <b/>
        <sz val="10"/>
        <color theme="1"/>
        <rFont val="Arial"/>
        <family val="2"/>
      </rPr>
      <t>A1 vs B4, B1 vs A4, A2 vs B3 and B2 vs A3</t>
    </r>
  </si>
  <si>
    <t>Quarters to be best of 3, 21-point games as normal.</t>
  </si>
  <si>
    <t>Semis to be best of 3, 21-point games,</t>
  </si>
  <si>
    <t>Final to be best of 3, 21-point games.</t>
  </si>
  <si>
    <t>Losing Semi-finalists will play best of 3, 21-point games for the 3rd position.</t>
  </si>
  <si>
    <t>If a team has has been available for less than half of the Sundays alotted for the group games, then the opponent team can claim a forfeit for 2 points for any incomplete matches, subject to HHB committee decision.</t>
  </si>
  <si>
    <t>All Group/Knockout games will be played with a single game of 21 points as normal. For 20-20 deuce - we play on till there is a 2 point difference to get the winner.
A Team gets 2 points for each win.</t>
  </si>
  <si>
    <t>Santosh / Vishal</t>
  </si>
  <si>
    <t>Zaheer / Tousif</t>
  </si>
  <si>
    <t>Ken / Nawaz</t>
  </si>
  <si>
    <t>Kalyan / Umar</t>
  </si>
  <si>
    <t>Rukhsar / Mansoor</t>
  </si>
  <si>
    <t>Thomas / Shreya</t>
  </si>
  <si>
    <t>Sandip / Asim</t>
  </si>
  <si>
    <t>Prasanna / Sengole</t>
  </si>
  <si>
    <t>Rahul J / Waqas</t>
  </si>
  <si>
    <t>Farooq S / Vasu</t>
  </si>
  <si>
    <t>Yogi / Purvaiz</t>
  </si>
  <si>
    <t>Altamash / Samir</t>
  </si>
  <si>
    <t>Weeks</t>
  </si>
  <si>
    <t>Deepesh / Saif</t>
  </si>
  <si>
    <t>Group B Matches</t>
  </si>
  <si>
    <r>
      <t xml:space="preserve">All group matches must finish by </t>
    </r>
    <r>
      <rPr>
        <b/>
        <sz val="10"/>
        <color theme="1"/>
        <rFont val="Arial"/>
        <family val="2"/>
      </rPr>
      <t xml:space="preserve">29th October, Sunday (Over 8 weeks, averaging less than 6 matches per week or each team should complete at least 1 group match each week). </t>
    </r>
  </si>
  <si>
    <t>For knockout matches dates can be flexible due to unavailability - provided both teams agree and subject to HHB Committee Decision as long as we can finish the league by 3rd Sunday of December.</t>
  </si>
  <si>
    <t>If there are any Group Games not complete by 29th Oct, neither team gets any points for it unless a forfeit scenario as below comes in place.</t>
  </si>
  <si>
    <t>Unavailable</t>
  </si>
  <si>
    <t>Available</t>
  </si>
  <si>
    <t>Group B Points Table</t>
  </si>
  <si>
    <t>Suraj / Jalal</t>
  </si>
  <si>
    <t>Suraj</t>
  </si>
  <si>
    <t>A1</t>
  </si>
  <si>
    <t>B4</t>
  </si>
  <si>
    <t>B2</t>
  </si>
  <si>
    <t>A3</t>
  </si>
  <si>
    <t>B1</t>
  </si>
  <si>
    <t>A4</t>
  </si>
  <si>
    <t>A2</t>
  </si>
  <si>
    <t>B3</t>
  </si>
  <si>
    <t>Set 1</t>
  </si>
  <si>
    <t>Set 2</t>
  </si>
  <si>
    <t>Quarter-Finalists</t>
  </si>
  <si>
    <t xml:space="preserve"> Group A</t>
  </si>
  <si>
    <t>Outstanding Matches</t>
  </si>
  <si>
    <t>Availability %</t>
  </si>
  <si>
    <t>Forfeit can be claimed against Thomas/Shreya</t>
  </si>
  <si>
    <t>Forfeit can be claimed against Rukhsar/Mansoor</t>
  </si>
  <si>
    <t>Forfeit ClaimScenario</t>
  </si>
  <si>
    <t>None. Both teams below 50% availability</t>
  </si>
  <si>
    <t>FORFEIT</t>
  </si>
  <si>
    <t>NOT PLAYED</t>
  </si>
  <si>
    <t>Total Weeks to complete 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</si>
</sst>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,\ ddd"/>
    <numFmt numFmtId="165" formatCode="0.0"/>
    <numFmt numFmtId="166" formatCode="ddd\,\ dd\-mmm\-yy"/>
    <numFmt numFmtId="167" formatCode="dd\-mmm\,\ dddd"/>
  </numFmts>
  <fonts count="20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4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0"/>
      <color rgb="FFFF0000"/>
      <name val="Arial"/>
      <family val="2"/>
    </font>
    <font>
      <b/>
      <sz val="26"/>
      <color rgb="FF00B050"/>
      <name val="Arial"/>
      <family val="2"/>
    </font>
    <font>
      <b/>
      <sz val="20"/>
      <color rgb="FFFF99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261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/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/>
    <xf numFmtId="0" fontId="1" fillId="8" borderId="1" xfId="0" applyFont="1" applyFill="1" applyBorder="1" applyAlignment="1">
      <alignment horizontal="center"/>
    </xf>
    <xf numFmtId="0" fontId="2" fillId="0" borderId="5" xfId="0" applyFont="1" applyBorder="1"/>
    <xf numFmtId="165" fontId="1" fillId="0" borderId="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10" borderId="0" xfId="0" applyFill="1"/>
    <xf numFmtId="0" fontId="0" fillId="3" borderId="0" xfId="0" applyFill="1"/>
    <xf numFmtId="166" fontId="3" fillId="0" borderId="12" xfId="0" applyNumberFormat="1" applyFont="1" applyBorder="1" applyAlignment="1">
      <alignment horizontal="center"/>
    </xf>
    <xf numFmtId="0" fontId="7" fillId="0" borderId="0" xfId="0" applyFont="1"/>
    <xf numFmtId="0" fontId="0" fillId="11" borderId="0" xfId="0" applyFill="1"/>
    <xf numFmtId="0" fontId="2" fillId="0" borderId="0" xfId="0" applyFont="1"/>
    <xf numFmtId="0" fontId="10" fillId="0" borderId="1" xfId="0" applyFont="1" applyBorder="1"/>
    <xf numFmtId="0" fontId="0" fillId="0" borderId="13" xfId="0" applyBorder="1"/>
    <xf numFmtId="0" fontId="1" fillId="13" borderId="5" xfId="0" applyFont="1" applyFill="1" applyBorder="1" applyAlignment="1">
      <alignment horizontal="left" indent="2"/>
    </xf>
    <xf numFmtId="0" fontId="1" fillId="0" borderId="0" xfId="0" applyFont="1" applyAlignment="1">
      <alignment horizontal="left"/>
    </xf>
    <xf numFmtId="0" fontId="1" fillId="0" borderId="21" xfId="0" applyFont="1" applyBorder="1" applyAlignment="1">
      <alignment horizontal="left" indent="2"/>
    </xf>
    <xf numFmtId="0" fontId="0" fillId="0" borderId="22" xfId="0" applyBorder="1" applyAlignment="1">
      <alignment horizontal="left" wrapText="1"/>
    </xf>
    <xf numFmtId="0" fontId="10" fillId="0" borderId="0" xfId="0" applyFont="1" applyAlignment="1">
      <alignment horizontal="left"/>
    </xf>
    <xf numFmtId="0" fontId="10" fillId="0" borderId="23" xfId="0" applyFont="1" applyBorder="1"/>
    <xf numFmtId="0" fontId="0" fillId="0" borderId="26" xfId="0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164" fontId="1" fillId="14" borderId="1" xfId="0" applyNumberFormat="1" applyFont="1" applyFill="1" applyBorder="1"/>
    <xf numFmtId="0" fontId="1" fillId="13" borderId="30" xfId="0" applyFont="1" applyFill="1" applyBorder="1" applyAlignment="1">
      <alignment horizontal="left" indent="2"/>
    </xf>
    <xf numFmtId="0" fontId="12" fillId="0" borderId="0" xfId="0" applyFont="1" applyAlignment="1">
      <alignment horizontal="left" indent="2"/>
    </xf>
    <xf numFmtId="0" fontId="13" fillId="0" borderId="0" xfId="0" applyFont="1" applyAlignment="1">
      <alignment horizontal="left" indent="2"/>
    </xf>
    <xf numFmtId="164" fontId="0" fillId="0" borderId="1" xfId="0" applyNumberFormat="1" applyBorder="1"/>
    <xf numFmtId="164" fontId="0" fillId="0" borderId="14" xfId="0" applyNumberFormat="1" applyBorder="1"/>
    <xf numFmtId="0" fontId="12" fillId="0" borderId="0" xfId="0" applyFont="1" applyAlignment="1">
      <alignment horizontal="left"/>
    </xf>
    <xf numFmtId="9" fontId="0" fillId="0" borderId="0" xfId="1" applyFont="1"/>
    <xf numFmtId="0" fontId="14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1" fillId="0" borderId="3" xfId="0" applyFont="1" applyBorder="1"/>
    <xf numFmtId="0" fontId="10" fillId="0" borderId="16" xfId="0" applyFont="1" applyBorder="1" applyAlignment="1">
      <alignment horizontal="center"/>
    </xf>
    <xf numFmtId="0" fontId="6" fillId="0" borderId="23" xfId="0" applyFont="1" applyBorder="1" applyAlignment="1">
      <alignment horizontal="left"/>
    </xf>
    <xf numFmtId="167" fontId="6" fillId="0" borderId="22" xfId="0" applyNumberFormat="1" applyFont="1" applyBorder="1" applyAlignment="1">
      <alignment horizontal="left"/>
    </xf>
    <xf numFmtId="0" fontId="6" fillId="15" borderId="24" xfId="0" applyFont="1" applyFill="1" applyBorder="1" applyAlignment="1">
      <alignment horizontal="left"/>
    </xf>
    <xf numFmtId="0" fontId="6" fillId="15" borderId="25" xfId="0" applyFont="1" applyFill="1" applyBorder="1" applyAlignment="1">
      <alignment horizontal="right"/>
    </xf>
    <xf numFmtId="167" fontId="6" fillId="15" borderId="31" xfId="0" applyNumberFormat="1" applyFont="1" applyFill="1" applyBorder="1" applyAlignment="1">
      <alignment horizontal="left"/>
    </xf>
    <xf numFmtId="0" fontId="5" fillId="0" borderId="1" xfId="0" applyFont="1" applyBorder="1"/>
    <xf numFmtId="0" fontId="1" fillId="0" borderId="1" xfId="0" applyFont="1" applyBorder="1" applyAlignment="1">
      <alignment horizontal="left" indent="2"/>
    </xf>
    <xf numFmtId="0" fontId="1" fillId="12" borderId="1" xfId="0" applyFont="1" applyFill="1" applyBorder="1" applyAlignment="1">
      <alignment horizontal="left" indent="2"/>
    </xf>
    <xf numFmtId="0" fontId="1" fillId="12" borderId="0" xfId="0" applyFont="1" applyFill="1" applyAlignment="1">
      <alignment horizontal="left"/>
    </xf>
    <xf numFmtId="0" fontId="1" fillId="2" borderId="0" xfId="0" applyFont="1" applyFill="1" applyAlignment="1">
      <alignment horizontal="left" indent="2"/>
    </xf>
    <xf numFmtId="0" fontId="9" fillId="12" borderId="1" xfId="0" applyFont="1" applyFill="1" applyBorder="1" applyAlignment="1">
      <alignment horizontal="left"/>
    </xf>
    <xf numFmtId="0" fontId="1" fillId="0" borderId="33" xfId="0" applyFont="1" applyBorder="1" applyAlignment="1">
      <alignment horizontal="left" indent="2"/>
    </xf>
    <xf numFmtId="0" fontId="10" fillId="0" borderId="27" xfId="0" applyFont="1" applyBorder="1"/>
    <xf numFmtId="0" fontId="0" fillId="0" borderId="28" xfId="0" applyBorder="1"/>
    <xf numFmtId="0" fontId="10" fillId="0" borderId="34" xfId="0" applyFont="1" applyBorder="1"/>
    <xf numFmtId="0" fontId="0" fillId="0" borderId="35" xfId="0" applyBorder="1"/>
    <xf numFmtId="164" fontId="3" fillId="0" borderId="1" xfId="0" applyNumberFormat="1" applyFont="1" applyBorder="1"/>
    <xf numFmtId="0" fontId="0" fillId="0" borderId="18" xfId="0" applyBorder="1"/>
    <xf numFmtId="0" fontId="3" fillId="0" borderId="28" xfId="0" applyFont="1" applyBorder="1"/>
    <xf numFmtId="0" fontId="0" fillId="0" borderId="28" xfId="0" applyBorder="1" applyAlignment="1">
      <alignment horizontal="center"/>
    </xf>
    <xf numFmtId="0" fontId="0" fillId="0" borderId="19" xfId="0" applyBorder="1"/>
    <xf numFmtId="0" fontId="10" fillId="0" borderId="17" xfId="0" applyFont="1" applyBorder="1" applyAlignment="1">
      <alignment horizontal="center"/>
    </xf>
    <xf numFmtId="0" fontId="0" fillId="12" borderId="0" xfId="0" applyFill="1"/>
    <xf numFmtId="0" fontId="0" fillId="0" borderId="27" xfId="0" applyBorder="1"/>
    <xf numFmtId="0" fontId="5" fillId="0" borderId="28" xfId="0" applyFont="1" applyBorder="1"/>
    <xf numFmtId="0" fontId="0" fillId="2" borderId="19" xfId="0" applyFill="1" applyBorder="1"/>
    <xf numFmtId="0" fontId="5" fillId="0" borderId="29" xfId="0" applyFont="1" applyBorder="1"/>
    <xf numFmtId="0" fontId="0" fillId="0" borderId="23" xfId="0" applyBorder="1"/>
    <xf numFmtId="0" fontId="0" fillId="2" borderId="0" xfId="0" applyFill="1"/>
    <xf numFmtId="0" fontId="1" fillId="0" borderId="22" xfId="0" applyFont="1" applyBorder="1" applyAlignment="1">
      <alignment horizontal="left" indent="2"/>
    </xf>
    <xf numFmtId="0" fontId="1" fillId="12" borderId="22" xfId="0" applyFont="1" applyFill="1" applyBorder="1" applyAlignment="1">
      <alignment horizontal="left" indent="2"/>
    </xf>
    <xf numFmtId="0" fontId="0" fillId="0" borderId="34" xfId="0" applyBorder="1"/>
    <xf numFmtId="0" fontId="1" fillId="12" borderId="35" xfId="0" applyFont="1" applyFill="1" applyBorder="1" applyAlignment="1">
      <alignment horizontal="left" indent="2"/>
    </xf>
    <xf numFmtId="0" fontId="0" fillId="2" borderId="25" xfId="0" applyFill="1" applyBorder="1"/>
    <xf numFmtId="0" fontId="1" fillId="0" borderId="26" xfId="0" applyFont="1" applyBorder="1" applyAlignment="1">
      <alignment horizontal="left" indent="2"/>
    </xf>
    <xf numFmtId="0" fontId="1" fillId="0" borderId="28" xfId="0" applyFont="1" applyBorder="1"/>
    <xf numFmtId="0" fontId="1" fillId="0" borderId="29" xfId="0" applyFont="1" applyBorder="1"/>
    <xf numFmtId="0" fontId="1" fillId="0" borderId="22" xfId="0" applyFont="1" applyBorder="1"/>
    <xf numFmtId="0" fontId="1" fillId="0" borderId="35" xfId="0" applyFont="1" applyBorder="1"/>
    <xf numFmtId="0" fontId="1" fillId="0" borderId="26" xfId="0" applyFont="1" applyBorder="1"/>
    <xf numFmtId="0" fontId="14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4" fontId="0" fillId="0" borderId="14" xfId="0" applyNumberFormat="1" applyBorder="1"/>
    <xf numFmtId="0" fontId="1" fillId="0" borderId="14" xfId="0" applyFont="1" applyBorder="1"/>
    <xf numFmtId="0" fontId="6" fillId="0" borderId="0" xfId="0" applyFont="1" applyAlignment="1">
      <alignment horizontal="left"/>
    </xf>
    <xf numFmtId="0" fontId="6" fillId="13" borderId="0" xfId="0" applyFont="1" applyFill="1" applyAlignment="1">
      <alignment horizontal="center"/>
    </xf>
    <xf numFmtId="164" fontId="6" fillId="13" borderId="0" xfId="0" applyNumberFormat="1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 indent="2"/>
    </xf>
    <xf numFmtId="0" fontId="1" fillId="13" borderId="0" xfId="0" applyFont="1" applyFill="1" applyAlignment="1">
      <alignment horizontal="left" indent="2"/>
    </xf>
    <xf numFmtId="0" fontId="1" fillId="13" borderId="25" xfId="0" applyFont="1" applyFill="1" applyBorder="1" applyAlignment="1">
      <alignment horizontal="left" indent="2"/>
    </xf>
    <xf numFmtId="0" fontId="0" fillId="0" borderId="23" xfId="0" applyBorder="1" applyAlignment="1">
      <alignment horizontal="left"/>
    </xf>
    <xf numFmtId="0" fontId="0" fillId="0" borderId="34" xfId="0" applyBorder="1" applyAlignment="1">
      <alignment horizontal="left"/>
    </xf>
    <xf numFmtId="0" fontId="1" fillId="0" borderId="3" xfId="0" applyFont="1" applyBorder="1" applyAlignment="1">
      <alignment horizontal="center"/>
    </xf>
    <xf numFmtId="0" fontId="10" fillId="0" borderId="28" xfId="0" applyFont="1" applyBorder="1"/>
    <xf numFmtId="0" fontId="15" fillId="0" borderId="1" xfId="0" applyFont="1" applyBorder="1"/>
    <xf numFmtId="0" fontId="15" fillId="0" borderId="35" xfId="0" applyFont="1" applyBorder="1"/>
    <xf numFmtId="0" fontId="10" fillId="0" borderId="14" xfId="0" applyFont="1" applyBorder="1"/>
    <xf numFmtId="0" fontId="15" fillId="0" borderId="14" xfId="0" applyFont="1" applyBorder="1"/>
    <xf numFmtId="0" fontId="10" fillId="0" borderId="46" xfId="0" applyFont="1" applyBorder="1" applyAlignment="1">
      <alignment horizontal="center"/>
    </xf>
    <xf numFmtId="164" fontId="1" fillId="2" borderId="1" xfId="0" applyNumberFormat="1" applyFont="1" applyFill="1" applyBorder="1"/>
    <xf numFmtId="0" fontId="1" fillId="8" borderId="14" xfId="0" applyFont="1" applyFill="1" applyBorder="1"/>
    <xf numFmtId="164" fontId="1" fillId="14" borderId="14" xfId="0" applyNumberFormat="1" applyFont="1" applyFill="1" applyBorder="1"/>
    <xf numFmtId="0" fontId="1" fillId="6" borderId="14" xfId="0" applyFont="1" applyFill="1" applyBorder="1" applyAlignment="1">
      <alignment horizontal="center"/>
    </xf>
    <xf numFmtId="0" fontId="1" fillId="6" borderId="14" xfId="0" applyFont="1" applyFill="1" applyBorder="1"/>
    <xf numFmtId="0" fontId="1" fillId="4" borderId="35" xfId="0" applyFont="1" applyFill="1" applyBorder="1"/>
    <xf numFmtId="164" fontId="1" fillId="2" borderId="35" xfId="0" applyNumberFormat="1" applyFont="1" applyFill="1" applyBorder="1"/>
    <xf numFmtId="0" fontId="1" fillId="5" borderId="35" xfId="0" applyFont="1" applyFill="1" applyBorder="1" applyAlignment="1">
      <alignment horizontal="center"/>
    </xf>
    <xf numFmtId="0" fontId="1" fillId="6" borderId="35" xfId="0" applyFont="1" applyFill="1" applyBorder="1"/>
    <xf numFmtId="0" fontId="1" fillId="4" borderId="14" xfId="0" applyFont="1" applyFill="1" applyBorder="1"/>
    <xf numFmtId="0" fontId="1" fillId="4" borderId="14" xfId="0" applyFont="1" applyFill="1" applyBorder="1" applyAlignment="1">
      <alignment horizontal="center"/>
    </xf>
    <xf numFmtId="0" fontId="1" fillId="8" borderId="35" xfId="0" applyFont="1" applyFill="1" applyBorder="1"/>
    <xf numFmtId="164" fontId="1" fillId="14" borderId="35" xfId="0" applyNumberFormat="1" applyFont="1" applyFill="1" applyBorder="1"/>
    <xf numFmtId="0" fontId="1" fillId="6" borderId="35" xfId="0" applyFont="1" applyFill="1" applyBorder="1" applyAlignment="1">
      <alignment horizontal="center"/>
    </xf>
    <xf numFmtId="0" fontId="1" fillId="8" borderId="47" xfId="0" applyFont="1" applyFill="1" applyBorder="1"/>
    <xf numFmtId="164" fontId="1" fillId="14" borderId="47" xfId="0" applyNumberFormat="1" applyFont="1" applyFill="1" applyBorder="1"/>
    <xf numFmtId="0" fontId="1" fillId="0" borderId="47" xfId="0" applyFont="1" applyBorder="1"/>
    <xf numFmtId="0" fontId="1" fillId="2" borderId="47" xfId="0" applyFont="1" applyFill="1" applyBorder="1" applyAlignment="1">
      <alignment horizontal="center"/>
    </xf>
    <xf numFmtId="0" fontId="1" fillId="6" borderId="47" xfId="0" applyFont="1" applyFill="1" applyBorder="1"/>
    <xf numFmtId="0" fontId="1" fillId="0" borderId="41" xfId="0" applyFont="1" applyBorder="1"/>
    <xf numFmtId="0" fontId="1" fillId="0" borderId="14" xfId="0" applyFont="1" applyBorder="1" applyAlignment="1">
      <alignment horizontal="center"/>
    </xf>
    <xf numFmtId="0" fontId="0" fillId="0" borderId="51" xfId="0" applyBorder="1"/>
    <xf numFmtId="0" fontId="2" fillId="0" borderId="47" xfId="0" applyFont="1" applyBorder="1"/>
    <xf numFmtId="0" fontId="2" fillId="0" borderId="52" xfId="0" applyFont="1" applyBorder="1"/>
    <xf numFmtId="0" fontId="1" fillId="0" borderId="53" xfId="0" applyFont="1" applyBorder="1"/>
    <xf numFmtId="0" fontId="1" fillId="0" borderId="54" xfId="0" applyFont="1" applyBorder="1" applyAlignment="1">
      <alignment horizontal="center"/>
    </xf>
    <xf numFmtId="0" fontId="1" fillId="0" borderId="55" xfId="0" applyFont="1" applyBorder="1"/>
    <xf numFmtId="0" fontId="1" fillId="0" borderId="22" xfId="0" applyFont="1" applyBorder="1" applyAlignment="1">
      <alignment horizontal="center"/>
    </xf>
    <xf numFmtId="0" fontId="1" fillId="0" borderId="56" xfId="0" applyFont="1" applyBorder="1"/>
    <xf numFmtId="0" fontId="1" fillId="0" borderId="57" xfId="0" applyFont="1" applyBorder="1"/>
    <xf numFmtId="0" fontId="1" fillId="0" borderId="3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64" fontId="1" fillId="17" borderId="14" xfId="0" applyNumberFormat="1" applyFont="1" applyFill="1" applyBorder="1"/>
    <xf numFmtId="164" fontId="1" fillId="17" borderId="1" xfId="0" applyNumberFormat="1" applyFont="1" applyFill="1" applyBorder="1"/>
    <xf numFmtId="0" fontId="1" fillId="9" borderId="14" xfId="0" applyFont="1" applyFill="1" applyBorder="1" applyAlignment="1">
      <alignment horizontal="center"/>
    </xf>
    <xf numFmtId="164" fontId="1" fillId="17" borderId="35" xfId="0" applyNumberFormat="1" applyFont="1" applyFill="1" applyBorder="1"/>
    <xf numFmtId="164" fontId="1" fillId="13" borderId="14" xfId="0" applyNumberFormat="1" applyFont="1" applyFill="1" applyBorder="1"/>
    <xf numFmtId="164" fontId="1" fillId="13" borderId="1" xfId="0" applyNumberFormat="1" applyFont="1" applyFill="1" applyBorder="1"/>
    <xf numFmtId="0" fontId="1" fillId="8" borderId="35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4" borderId="58" xfId="0" applyFont="1" applyFill="1" applyBorder="1"/>
    <xf numFmtId="0" fontId="1" fillId="0" borderId="58" xfId="0" applyFont="1" applyBorder="1"/>
    <xf numFmtId="0" fontId="1" fillId="4" borderId="58" xfId="0" applyFont="1" applyFill="1" applyBorder="1" applyAlignment="1">
      <alignment horizontal="center"/>
    </xf>
    <xf numFmtId="0" fontId="1" fillId="6" borderId="58" xfId="0" applyFont="1" applyFill="1" applyBorder="1"/>
    <xf numFmtId="0" fontId="0" fillId="0" borderId="12" xfId="0" applyBorder="1"/>
    <xf numFmtId="0" fontId="0" fillId="18" borderId="0" xfId="0" applyFill="1"/>
    <xf numFmtId="0" fontId="1" fillId="8" borderId="14" xfId="0" applyFont="1" applyFill="1" applyBorder="1" applyAlignment="1">
      <alignment horizontal="center"/>
    </xf>
    <xf numFmtId="164" fontId="1" fillId="13" borderId="35" xfId="0" applyNumberFormat="1" applyFont="1" applyFill="1" applyBorder="1"/>
    <xf numFmtId="164" fontId="1" fillId="3" borderId="14" xfId="0" applyNumberFormat="1" applyFont="1" applyFill="1" applyBorder="1"/>
    <xf numFmtId="0" fontId="1" fillId="5" borderId="14" xfId="0" applyFont="1" applyFill="1" applyBorder="1" applyAlignment="1">
      <alignment horizontal="center"/>
    </xf>
    <xf numFmtId="164" fontId="1" fillId="3" borderId="35" xfId="0" applyNumberFormat="1" applyFont="1" applyFill="1" applyBorder="1"/>
    <xf numFmtId="0" fontId="1" fillId="7" borderId="35" xfId="0" applyFont="1" applyFill="1" applyBorder="1" applyAlignment="1">
      <alignment horizontal="center"/>
    </xf>
    <xf numFmtId="0" fontId="5" fillId="0" borderId="0" xfId="0" applyFont="1"/>
    <xf numFmtId="0" fontId="9" fillId="0" borderId="1" xfId="0" applyFont="1" applyBorder="1"/>
    <xf numFmtId="0" fontId="9" fillId="5" borderId="1" xfId="0" applyFont="1" applyFill="1" applyBorder="1" applyAlignment="1">
      <alignment horizontal="center"/>
    </xf>
    <xf numFmtId="0" fontId="9" fillId="0" borderId="27" xfId="0" applyFont="1" applyBorder="1"/>
    <xf numFmtId="0" fontId="9" fillId="0" borderId="28" xfId="0" applyFont="1" applyBorder="1"/>
    <xf numFmtId="0" fontId="9" fillId="0" borderId="23" xfId="0" applyFont="1" applyBorder="1"/>
    <xf numFmtId="0" fontId="9" fillId="0" borderId="34" xfId="0" applyFont="1" applyBorder="1"/>
    <xf numFmtId="0" fontId="9" fillId="8" borderId="35" xfId="0" applyFont="1" applyFill="1" applyBorder="1" applyAlignment="1">
      <alignment horizontal="center"/>
    </xf>
    <xf numFmtId="0" fontId="9" fillId="0" borderId="35" xfId="0" applyFont="1" applyBorder="1"/>
    <xf numFmtId="0" fontId="6" fillId="0" borderId="0" xfId="0" applyFont="1"/>
    <xf numFmtId="0" fontId="9" fillId="8" borderId="28" xfId="0" applyFont="1" applyFill="1" applyBorder="1" applyAlignment="1">
      <alignment horizontal="center"/>
    </xf>
    <xf numFmtId="0" fontId="9" fillId="7" borderId="35" xfId="0" applyFont="1" applyFill="1" applyBorder="1" applyAlignment="1">
      <alignment horizontal="center"/>
    </xf>
    <xf numFmtId="164" fontId="1" fillId="19" borderId="47" xfId="0" applyNumberFormat="1" applyFont="1" applyFill="1" applyBorder="1"/>
    <xf numFmtId="0" fontId="1" fillId="5" borderId="47" xfId="0" applyFont="1" applyFill="1" applyBorder="1" applyAlignment="1">
      <alignment horizontal="center"/>
    </xf>
    <xf numFmtId="164" fontId="1" fillId="20" borderId="14" xfId="0" applyNumberFormat="1" applyFont="1" applyFill="1" applyBorder="1"/>
    <xf numFmtId="164" fontId="1" fillId="20" borderId="1" xfId="0" applyNumberFormat="1" applyFont="1" applyFill="1" applyBorder="1"/>
    <xf numFmtId="164" fontId="1" fillId="3" borderId="47" xfId="0" applyNumberFormat="1" applyFont="1" applyFill="1" applyBorder="1"/>
    <xf numFmtId="0" fontId="1" fillId="4" borderId="47" xfId="0" applyFont="1" applyFill="1" applyBorder="1" applyAlignment="1">
      <alignment horizontal="center"/>
    </xf>
    <xf numFmtId="0" fontId="8" fillId="0" borderId="0" xfId="0" applyFont="1"/>
    <xf numFmtId="0" fontId="10" fillId="0" borderId="4" xfId="0" applyFont="1" applyBorder="1" applyAlignment="1">
      <alignment horizontal="center"/>
    </xf>
    <xf numFmtId="0" fontId="10" fillId="0" borderId="60" xfId="0" applyFont="1" applyBorder="1" applyAlignment="1">
      <alignment horizontal="center"/>
    </xf>
    <xf numFmtId="9" fontId="0" fillId="0" borderId="1" xfId="1" applyFont="1" applyBorder="1"/>
    <xf numFmtId="0" fontId="9" fillId="5" borderId="2" xfId="0" applyFont="1" applyFill="1" applyBorder="1" applyAlignment="1">
      <alignment horizontal="center"/>
    </xf>
    <xf numFmtId="0" fontId="9" fillId="8" borderId="61" xfId="0" applyFont="1" applyFill="1" applyBorder="1" applyAlignment="1">
      <alignment horizontal="center"/>
    </xf>
    <xf numFmtId="0" fontId="9" fillId="8" borderId="38" xfId="0" applyFont="1" applyFill="1" applyBorder="1" applyAlignment="1">
      <alignment horizontal="center"/>
    </xf>
    <xf numFmtId="0" fontId="9" fillId="7" borderId="61" xfId="0" applyFont="1" applyFill="1" applyBorder="1" applyAlignment="1">
      <alignment horizontal="center"/>
    </xf>
    <xf numFmtId="0" fontId="5" fillId="0" borderId="15" xfId="0" applyFont="1" applyBorder="1" applyAlignment="1">
      <alignment horizontal="center" wrapText="1"/>
    </xf>
    <xf numFmtId="0" fontId="5" fillId="0" borderId="59" xfId="0" applyFont="1" applyBorder="1" applyAlignment="1">
      <alignment horizontal="center" wrapText="1"/>
    </xf>
    <xf numFmtId="0" fontId="16" fillId="0" borderId="1" xfId="0" applyFont="1" applyBorder="1" applyAlignment="1">
      <alignment horizontal="center" wrapText="1"/>
    </xf>
    <xf numFmtId="0" fontId="0" fillId="0" borderId="62" xfId="0" applyBorder="1"/>
    <xf numFmtId="164" fontId="3" fillId="0" borderId="0" xfId="0" applyNumberFormat="1" applyFont="1" applyAlignment="1">
      <alignment horizontal="center"/>
    </xf>
    <xf numFmtId="0" fontId="3" fillId="0" borderId="63" xfId="0" applyFont="1" applyBorder="1" applyAlignment="1">
      <alignment wrapText="1"/>
    </xf>
    <xf numFmtId="0" fontId="17" fillId="0" borderId="62" xfId="0" applyFont="1" applyBorder="1"/>
    <xf numFmtId="0" fontId="6" fillId="0" borderId="2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3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" fillId="0" borderId="27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2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6" fillId="2" borderId="44" xfId="0" applyFont="1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45" xfId="0" applyFont="1" applyFill="1" applyBorder="1" applyAlignment="1">
      <alignment horizontal="center"/>
    </xf>
    <xf numFmtId="0" fontId="6" fillId="2" borderId="32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2" fillId="0" borderId="5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13" borderId="8" xfId="0" applyFont="1" applyFill="1" applyBorder="1" applyAlignment="1">
      <alignment horizontal="center" vertical="center"/>
    </xf>
    <xf numFmtId="0" fontId="7" fillId="13" borderId="36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6" borderId="8" xfId="0" applyFont="1" applyFill="1" applyBorder="1" applyAlignment="1">
      <alignment horizontal="center" vertical="center"/>
    </xf>
    <xf numFmtId="0" fontId="7" fillId="16" borderId="36" xfId="0" applyFont="1" applyFill="1" applyBorder="1" applyAlignment="1">
      <alignment horizontal="center" vertical="center"/>
    </xf>
    <xf numFmtId="0" fontId="7" fillId="16" borderId="9" xfId="0" applyFont="1" applyFill="1" applyBorder="1" applyAlignment="1">
      <alignment horizontal="center" vertical="center"/>
    </xf>
    <xf numFmtId="0" fontId="7" fillId="16" borderId="11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6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99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12"/>
  <sheetViews>
    <sheetView tabSelected="1" zoomScaleNormal="100" workbookViewId="0">
      <selection activeCell="B9" sqref="B9"/>
    </sheetView>
  </sheetViews>
  <sheetFormatPr defaultRowHeight="20.25" x14ac:dyDescent="0.3"/>
  <cols>
    <col min="1" max="1" width="5.28515625" style="1" customWidth="1"/>
    <col min="2" max="2" width="27.140625" style="1" bestFit="1" customWidth="1"/>
    <col min="3" max="3" width="6.5703125" style="1" bestFit="1" customWidth="1"/>
    <col min="4" max="4" width="6.5703125" style="1" customWidth="1"/>
    <col min="5" max="5" width="28.140625" style="1" bestFit="1" customWidth="1"/>
    <col min="6" max="6" width="2.7109375" style="27" customWidth="1"/>
    <col min="7" max="7" width="4.7109375" style="28" bestFit="1" customWidth="1"/>
    <col min="8" max="8" width="114.5703125" style="28" customWidth="1"/>
    <col min="9" max="9" width="33.5703125" style="1" bestFit="1" customWidth="1"/>
    <col min="10" max="10" width="31.7109375" style="1" bestFit="1" customWidth="1"/>
    <col min="11" max="12" width="9.140625" style="1"/>
    <col min="13" max="13" width="11.28515625" style="1" bestFit="1" customWidth="1"/>
    <col min="14" max="16384" width="9.140625" style="1"/>
  </cols>
  <sheetData>
    <row r="1" spans="1:15" ht="21" thickBot="1" x14ac:dyDescent="0.35">
      <c r="A1" s="201" t="s">
        <v>102</v>
      </c>
      <c r="B1" s="202"/>
      <c r="C1" s="202"/>
      <c r="D1" s="202"/>
      <c r="E1" s="202"/>
      <c r="F1" s="202"/>
      <c r="G1" s="202"/>
      <c r="H1" s="203"/>
      <c r="M1" s="41">
        <v>44815</v>
      </c>
      <c r="N1" s="4" t="s">
        <v>51</v>
      </c>
      <c r="O1" s="4"/>
    </row>
    <row r="2" spans="1:15" x14ac:dyDescent="0.3">
      <c r="A2" s="29"/>
      <c r="B2" s="195" t="s">
        <v>9</v>
      </c>
      <c r="C2" s="196"/>
      <c r="D2" s="197"/>
      <c r="E2" s="198"/>
      <c r="F2" s="94"/>
      <c r="G2" s="199" t="s">
        <v>27</v>
      </c>
      <c r="H2" s="200"/>
      <c r="I2" s="24"/>
      <c r="M2" s="41">
        <f>M1+7</f>
        <v>44822</v>
      </c>
      <c r="N2" s="4" t="s">
        <v>51</v>
      </c>
      <c r="O2" s="4"/>
    </row>
    <row r="3" spans="1:15" x14ac:dyDescent="0.3">
      <c r="A3" s="29"/>
      <c r="B3" s="49" t="s">
        <v>0</v>
      </c>
      <c r="C3" s="45" t="s">
        <v>63</v>
      </c>
      <c r="D3" s="89" t="s">
        <v>126</v>
      </c>
      <c r="E3" s="50">
        <v>45172</v>
      </c>
      <c r="F3" s="95"/>
      <c r="G3" s="100">
        <v>1</v>
      </c>
      <c r="H3" s="30" t="s">
        <v>91</v>
      </c>
      <c r="M3" s="41">
        <f t="shared" ref="M3:M15" si="0">M2+7</f>
        <v>44829</v>
      </c>
      <c r="N3" s="4" t="s">
        <v>51</v>
      </c>
      <c r="O3" s="4"/>
    </row>
    <row r="4" spans="1:15" x14ac:dyDescent="0.3">
      <c r="A4" s="29"/>
      <c r="B4" s="49" t="s">
        <v>29</v>
      </c>
      <c r="C4" s="46">
        <v>42</v>
      </c>
      <c r="D4" s="90">
        <v>8</v>
      </c>
      <c r="E4" s="50">
        <f>E3+7*8</f>
        <v>45228</v>
      </c>
      <c r="F4" s="95"/>
      <c r="G4" s="100">
        <v>2</v>
      </c>
      <c r="H4" s="30" t="s">
        <v>92</v>
      </c>
      <c r="M4" s="41">
        <f t="shared" si="0"/>
        <v>44836</v>
      </c>
      <c r="N4" s="4" t="s">
        <v>52</v>
      </c>
      <c r="O4" s="204" t="s">
        <v>53</v>
      </c>
    </row>
    <row r="5" spans="1:15" ht="27" x14ac:dyDescent="0.3">
      <c r="A5" s="29"/>
      <c r="B5" s="49" t="s">
        <v>84</v>
      </c>
      <c r="C5" s="46">
        <v>4</v>
      </c>
      <c r="D5" s="90">
        <v>3</v>
      </c>
      <c r="E5" s="50">
        <f>E4+7*3</f>
        <v>45249</v>
      </c>
      <c r="F5" s="95"/>
      <c r="G5" s="100">
        <v>3</v>
      </c>
      <c r="H5" s="30" t="s">
        <v>129</v>
      </c>
      <c r="M5" s="41">
        <f t="shared" si="0"/>
        <v>44843</v>
      </c>
      <c r="N5" s="4" t="s">
        <v>54</v>
      </c>
      <c r="O5" s="204"/>
    </row>
    <row r="6" spans="1:15" ht="39.75" x14ac:dyDescent="0.3">
      <c r="A6" s="29"/>
      <c r="B6" s="49" t="s">
        <v>15</v>
      </c>
      <c r="C6" s="46">
        <v>2</v>
      </c>
      <c r="D6" s="90">
        <v>1</v>
      </c>
      <c r="E6" s="50">
        <f>E5+7*2</f>
        <v>45263</v>
      </c>
      <c r="F6" s="95"/>
      <c r="G6" s="100">
        <v>4</v>
      </c>
      <c r="H6" s="30" t="s">
        <v>113</v>
      </c>
      <c r="M6" s="41">
        <f t="shared" si="0"/>
        <v>44850</v>
      </c>
      <c r="N6" s="4" t="s">
        <v>55</v>
      </c>
      <c r="O6" s="204"/>
    </row>
    <row r="7" spans="1:15" x14ac:dyDescent="0.3">
      <c r="A7" s="29"/>
      <c r="B7" s="49" t="s">
        <v>64</v>
      </c>
      <c r="C7" s="46">
        <v>2</v>
      </c>
      <c r="D7" s="90">
        <v>1</v>
      </c>
      <c r="E7" s="50">
        <f>E6+7</f>
        <v>45270</v>
      </c>
      <c r="F7" s="96"/>
      <c r="G7" s="100">
        <v>5</v>
      </c>
      <c r="H7" s="30" t="s">
        <v>65</v>
      </c>
      <c r="M7" s="41">
        <f t="shared" si="0"/>
        <v>44857</v>
      </c>
      <c r="N7" s="4" t="s">
        <v>56</v>
      </c>
      <c r="O7" s="204"/>
    </row>
    <row r="8" spans="1:15" ht="21" thickBot="1" x14ac:dyDescent="0.35">
      <c r="A8" s="29"/>
      <c r="B8" s="51" t="s">
        <v>68</v>
      </c>
      <c r="C8" s="52"/>
      <c r="D8" s="52"/>
      <c r="E8" s="53">
        <f>E7+7</f>
        <v>45277</v>
      </c>
      <c r="F8" s="96"/>
      <c r="G8" s="100">
        <v>6</v>
      </c>
      <c r="H8" s="30" t="s">
        <v>106</v>
      </c>
      <c r="M8" s="41">
        <f t="shared" si="0"/>
        <v>44864</v>
      </c>
      <c r="N8" s="4" t="s">
        <v>57</v>
      </c>
      <c r="O8" s="204"/>
    </row>
    <row r="9" spans="1:15" ht="32.25" customHeight="1" thickBot="1" x14ac:dyDescent="0.35">
      <c r="A9" s="60"/>
      <c r="B9" s="93" t="s">
        <v>98</v>
      </c>
      <c r="C9" s="31"/>
      <c r="D9" s="31"/>
      <c r="E9" s="93" t="s">
        <v>99</v>
      </c>
      <c r="F9" s="96"/>
      <c r="G9" s="100">
        <v>7</v>
      </c>
      <c r="H9" s="30" t="s">
        <v>107</v>
      </c>
      <c r="M9" s="41">
        <f t="shared" si="0"/>
        <v>44871</v>
      </c>
      <c r="N9" s="4" t="s">
        <v>58</v>
      </c>
      <c r="O9" s="204"/>
    </row>
    <row r="10" spans="1:15" x14ac:dyDescent="0.3">
      <c r="A10" s="61">
        <v>1</v>
      </c>
      <c r="B10" s="84" t="s">
        <v>114</v>
      </c>
      <c r="C10" s="205"/>
      <c r="D10" s="206"/>
      <c r="E10" s="85" t="s">
        <v>120</v>
      </c>
      <c r="F10" s="97"/>
      <c r="G10" s="100">
        <v>8</v>
      </c>
      <c r="H10" s="30" t="s">
        <v>108</v>
      </c>
      <c r="M10" s="41">
        <f t="shared" si="0"/>
        <v>44878</v>
      </c>
      <c r="N10" s="4" t="s">
        <v>59</v>
      </c>
      <c r="O10" s="204"/>
    </row>
    <row r="11" spans="1:15" ht="39.75" x14ac:dyDescent="0.3">
      <c r="A11" s="32">
        <v>2</v>
      </c>
      <c r="B11" s="2" t="s">
        <v>115</v>
      </c>
      <c r="C11" s="207"/>
      <c r="D11" s="208"/>
      <c r="E11" s="86" t="s">
        <v>121</v>
      </c>
      <c r="F11" s="97"/>
      <c r="G11" s="100">
        <v>9</v>
      </c>
      <c r="H11" s="30" t="s">
        <v>101</v>
      </c>
      <c r="M11" s="41">
        <f t="shared" si="0"/>
        <v>44885</v>
      </c>
      <c r="N11" s="4" t="s">
        <v>60</v>
      </c>
      <c r="O11" s="4"/>
    </row>
    <row r="12" spans="1:15" ht="30.75" customHeight="1" x14ac:dyDescent="0.3">
      <c r="A12" s="32">
        <v>3</v>
      </c>
      <c r="B12" s="2" t="s">
        <v>127</v>
      </c>
      <c r="C12" s="207"/>
      <c r="D12" s="208"/>
      <c r="E12" s="86" t="s">
        <v>122</v>
      </c>
      <c r="F12" s="97"/>
      <c r="G12" s="100">
        <v>10</v>
      </c>
      <c r="H12" s="30" t="s">
        <v>109</v>
      </c>
      <c r="M12" s="41">
        <f t="shared" si="0"/>
        <v>44892</v>
      </c>
      <c r="N12" s="4" t="s">
        <v>60</v>
      </c>
      <c r="O12" s="4"/>
    </row>
    <row r="13" spans="1:15" x14ac:dyDescent="0.3">
      <c r="A13" s="32">
        <v>4</v>
      </c>
      <c r="B13" s="2" t="s">
        <v>116</v>
      </c>
      <c r="C13" s="207"/>
      <c r="D13" s="208"/>
      <c r="E13" s="86" t="s">
        <v>135</v>
      </c>
      <c r="F13" s="97"/>
      <c r="G13" s="100">
        <v>11</v>
      </c>
      <c r="H13" s="30" t="s">
        <v>110</v>
      </c>
      <c r="M13" s="41">
        <f t="shared" si="0"/>
        <v>44899</v>
      </c>
      <c r="N13" s="4" t="s">
        <v>61</v>
      </c>
      <c r="O13" s="4"/>
    </row>
    <row r="14" spans="1:15" x14ac:dyDescent="0.3">
      <c r="A14" s="32">
        <v>5</v>
      </c>
      <c r="B14" s="2" t="s">
        <v>118</v>
      </c>
      <c r="C14" s="207"/>
      <c r="D14" s="208"/>
      <c r="E14" s="86" t="s">
        <v>123</v>
      </c>
      <c r="F14" s="97"/>
      <c r="G14" s="100">
        <v>12</v>
      </c>
      <c r="H14" s="30" t="s">
        <v>111</v>
      </c>
      <c r="M14" s="42">
        <f t="shared" si="0"/>
        <v>44906</v>
      </c>
      <c r="N14"/>
      <c r="O14"/>
    </row>
    <row r="15" spans="1:15" x14ac:dyDescent="0.3">
      <c r="A15" s="32">
        <v>6</v>
      </c>
      <c r="B15" s="2" t="s">
        <v>117</v>
      </c>
      <c r="C15" s="207"/>
      <c r="D15" s="208"/>
      <c r="E15" s="86" t="s">
        <v>124</v>
      </c>
      <c r="F15" s="97"/>
      <c r="G15" s="100">
        <v>13</v>
      </c>
      <c r="H15" s="30" t="s">
        <v>100</v>
      </c>
      <c r="M15" s="41">
        <f t="shared" si="0"/>
        <v>44913</v>
      </c>
      <c r="N15"/>
      <c r="O15"/>
    </row>
    <row r="16" spans="1:15" ht="27.75" thickBot="1" x14ac:dyDescent="0.35">
      <c r="A16" s="63">
        <v>7</v>
      </c>
      <c r="B16" s="87" t="s">
        <v>119</v>
      </c>
      <c r="C16" s="209"/>
      <c r="D16" s="210"/>
      <c r="E16" s="88" t="s">
        <v>125</v>
      </c>
      <c r="F16" s="98"/>
      <c r="G16" s="100">
        <v>14</v>
      </c>
      <c r="H16" s="30" t="s">
        <v>67</v>
      </c>
    </row>
    <row r="17" spans="1:10" ht="27" x14ac:dyDescent="0.3">
      <c r="F17" s="98"/>
      <c r="G17" s="100">
        <v>15</v>
      </c>
      <c r="H17" s="30" t="s">
        <v>131</v>
      </c>
    </row>
    <row r="18" spans="1:10" ht="27" x14ac:dyDescent="0.3">
      <c r="F18" s="98"/>
      <c r="G18" s="100">
        <v>16</v>
      </c>
      <c r="H18" s="30" t="s">
        <v>112</v>
      </c>
    </row>
    <row r="19" spans="1:10" ht="21" thickBot="1" x14ac:dyDescent="0.35">
      <c r="F19" s="99"/>
      <c r="G19" s="100">
        <v>17</v>
      </c>
      <c r="H19" s="30" t="s">
        <v>30</v>
      </c>
    </row>
    <row r="20" spans="1:10" ht="27" x14ac:dyDescent="0.3">
      <c r="F20" s="98"/>
      <c r="G20" s="100">
        <v>18</v>
      </c>
      <c r="H20" s="30" t="s">
        <v>31</v>
      </c>
    </row>
    <row r="21" spans="1:10" ht="31.5" customHeight="1" thickBot="1" x14ac:dyDescent="0.35">
      <c r="F21" s="98"/>
      <c r="G21" s="101">
        <v>19</v>
      </c>
      <c r="H21" s="33" t="s">
        <v>130</v>
      </c>
    </row>
    <row r="22" spans="1:10" x14ac:dyDescent="0.3">
      <c r="B22" s="1" t="s">
        <v>48</v>
      </c>
      <c r="C22" s="39">
        <v>2</v>
      </c>
      <c r="D22" s="39"/>
      <c r="I22" s="1" t="s">
        <v>49</v>
      </c>
      <c r="J22" s="1" t="s">
        <v>49</v>
      </c>
    </row>
    <row r="23" spans="1:10" x14ac:dyDescent="0.3">
      <c r="I23" s="1" t="s">
        <v>90</v>
      </c>
      <c r="J23" s="1" t="s">
        <v>93</v>
      </c>
    </row>
    <row r="24" spans="1:10" ht="60" x14ac:dyDescent="0.8">
      <c r="A24" s="26"/>
      <c r="I24" s="40" t="str">
        <f>IF(C22&lt;2,RandBetweenInt(15,28,C26:C38),"")</f>
        <v/>
      </c>
      <c r="J24" s="40">
        <f ca="1">IF(C22&gt;1,RandBetweenInt(1,14,J26:J39),"")</f>
        <v>9</v>
      </c>
    </row>
    <row r="25" spans="1:10" x14ac:dyDescent="0.3">
      <c r="A25" s="4"/>
      <c r="B25" s="54" t="s">
        <v>50</v>
      </c>
      <c r="C25" s="59"/>
      <c r="D25" s="59"/>
      <c r="E25" s="54" t="s">
        <v>47</v>
      </c>
      <c r="F25" s="38"/>
      <c r="H25" s="28" t="s">
        <v>66</v>
      </c>
      <c r="I25" s="1" t="s">
        <v>69</v>
      </c>
      <c r="J25" s="1" t="s">
        <v>94</v>
      </c>
    </row>
    <row r="26" spans="1:10" x14ac:dyDescent="0.3">
      <c r="A26" s="4">
        <v>1</v>
      </c>
      <c r="B26" s="55" t="s">
        <v>38</v>
      </c>
      <c r="C26" s="4">
        <v>17</v>
      </c>
      <c r="D26" s="4"/>
      <c r="E26" s="4" t="str">
        <f t="shared" ref="E26:E39" si="1">IF($C$22&gt;0,VLOOKUP(C26,POOL_B,2,FALSE),"")</f>
        <v>Saiful</v>
      </c>
      <c r="F26" s="38"/>
      <c r="G26" s="28">
        <v>1</v>
      </c>
      <c r="H26" s="28" t="str">
        <f t="shared" ref="H26:H39" si="2">IF($C$22&gt;1,CONCATENATE(B26," / ",E26),"")</f>
        <v>Deepesh / Saiful</v>
      </c>
      <c r="I26" s="1" t="str">
        <f t="shared" ref="I26:I39" si="3">IF($C$22&gt;2,IF(COUNTIF($J$26:$J$39, G26)&gt;0,"A","B"),"")</f>
        <v/>
      </c>
      <c r="J26" s="1">
        <v>3</v>
      </c>
    </row>
    <row r="27" spans="1:10" x14ac:dyDescent="0.3">
      <c r="A27" s="4">
        <v>2</v>
      </c>
      <c r="B27" s="55" t="s">
        <v>73</v>
      </c>
      <c r="C27" s="4">
        <v>25</v>
      </c>
      <c r="D27" s="4"/>
      <c r="E27" s="4" t="str">
        <f t="shared" si="1"/>
        <v>Vishal</v>
      </c>
      <c r="F27" s="38"/>
      <c r="G27" s="28">
        <v>2</v>
      </c>
      <c r="H27" s="28" t="str">
        <f t="shared" si="2"/>
        <v>Santosh / Vishal</v>
      </c>
      <c r="I27" s="1" t="str">
        <f t="shared" si="3"/>
        <v/>
      </c>
      <c r="J27" s="1">
        <v>11</v>
      </c>
    </row>
    <row r="28" spans="1:10" x14ac:dyDescent="0.3">
      <c r="A28" s="4">
        <v>3</v>
      </c>
      <c r="B28" s="55" t="s">
        <v>74</v>
      </c>
      <c r="C28" s="4">
        <v>28</v>
      </c>
      <c r="D28" s="4"/>
      <c r="E28" s="4" t="str">
        <f t="shared" si="1"/>
        <v>Mansoor</v>
      </c>
      <c r="F28" s="38"/>
      <c r="G28" s="28">
        <v>3</v>
      </c>
      <c r="H28" s="28" t="str">
        <f t="shared" si="2"/>
        <v>Rukhsar / Mansoor</v>
      </c>
      <c r="I28" s="1" t="str">
        <f t="shared" si="3"/>
        <v/>
      </c>
      <c r="J28" s="1">
        <v>10</v>
      </c>
    </row>
    <row r="29" spans="1:10" x14ac:dyDescent="0.3">
      <c r="A29" s="4">
        <v>4</v>
      </c>
      <c r="B29" s="55" t="s">
        <v>37</v>
      </c>
      <c r="C29" s="4">
        <v>20</v>
      </c>
      <c r="D29" s="4"/>
      <c r="E29" s="4" t="str">
        <f t="shared" si="1"/>
        <v>Waqas</v>
      </c>
      <c r="F29" s="38"/>
      <c r="G29" s="28">
        <v>4</v>
      </c>
      <c r="H29" s="28" t="str">
        <f t="shared" si="2"/>
        <v>Rahul J / Waqas</v>
      </c>
      <c r="I29" s="1" t="str">
        <f t="shared" si="3"/>
        <v/>
      </c>
      <c r="J29" s="1">
        <v>13</v>
      </c>
    </row>
    <row r="30" spans="1:10" x14ac:dyDescent="0.3">
      <c r="A30" s="4">
        <v>5</v>
      </c>
      <c r="B30" s="55" t="s">
        <v>136</v>
      </c>
      <c r="C30" s="4">
        <v>19</v>
      </c>
      <c r="D30" s="4"/>
      <c r="E30" s="4" t="str">
        <f t="shared" si="1"/>
        <v>Jalal</v>
      </c>
      <c r="F30" s="38"/>
      <c r="G30" s="28">
        <v>5</v>
      </c>
      <c r="H30" s="28" t="str">
        <f t="shared" si="2"/>
        <v>Suraj / Jalal</v>
      </c>
      <c r="I30" s="1" t="str">
        <f t="shared" si="3"/>
        <v/>
      </c>
      <c r="J30" s="1">
        <v>12</v>
      </c>
    </row>
    <row r="31" spans="1:10" x14ac:dyDescent="0.3">
      <c r="A31" s="4">
        <v>6</v>
      </c>
      <c r="B31" s="55" t="s">
        <v>76</v>
      </c>
      <c r="C31" s="4">
        <v>15</v>
      </c>
      <c r="D31" s="4"/>
      <c r="E31" s="4" t="str">
        <f t="shared" si="1"/>
        <v>Purvaiz</v>
      </c>
      <c r="F31" s="38"/>
      <c r="G31" s="28">
        <v>6</v>
      </c>
      <c r="H31" s="28" t="str">
        <f t="shared" si="2"/>
        <v>Yogi / Purvaiz</v>
      </c>
      <c r="I31" s="1" t="str">
        <f t="shared" si="3"/>
        <v/>
      </c>
      <c r="J31" s="1">
        <v>7</v>
      </c>
    </row>
    <row r="32" spans="1:10" x14ac:dyDescent="0.3">
      <c r="A32" s="4">
        <v>7</v>
      </c>
      <c r="B32" s="55" t="s">
        <v>34</v>
      </c>
      <c r="C32" s="4">
        <v>18</v>
      </c>
      <c r="D32" s="4"/>
      <c r="E32" s="4" t="str">
        <f t="shared" si="1"/>
        <v>Samir</v>
      </c>
      <c r="F32" s="38"/>
      <c r="G32" s="28">
        <v>7</v>
      </c>
      <c r="H32" s="28" t="str">
        <f t="shared" si="2"/>
        <v>Altamash / Samir</v>
      </c>
      <c r="I32" s="1" t="str">
        <f t="shared" si="3"/>
        <v/>
      </c>
      <c r="J32" s="1">
        <v>8</v>
      </c>
    </row>
    <row r="33" spans="1:10" x14ac:dyDescent="0.3">
      <c r="A33" s="4">
        <v>8</v>
      </c>
      <c r="B33" s="55" t="s">
        <v>78</v>
      </c>
      <c r="C33" s="4">
        <v>26</v>
      </c>
      <c r="D33" s="4"/>
      <c r="E33" s="4" t="str">
        <f t="shared" si="1"/>
        <v>Tousif</v>
      </c>
      <c r="F33" s="38"/>
      <c r="G33" s="28">
        <v>8</v>
      </c>
      <c r="H33" s="28" t="str">
        <f t="shared" si="2"/>
        <v>Zaheer / Tousif</v>
      </c>
      <c r="I33" s="1" t="str">
        <f t="shared" si="3"/>
        <v/>
      </c>
    </row>
    <row r="34" spans="1:10" x14ac:dyDescent="0.3">
      <c r="A34" s="4">
        <v>9</v>
      </c>
      <c r="B34" s="55" t="s">
        <v>35</v>
      </c>
      <c r="C34" s="4">
        <v>24</v>
      </c>
      <c r="D34" s="4"/>
      <c r="E34" s="4" t="str">
        <f t="shared" si="1"/>
        <v>Shreya</v>
      </c>
      <c r="F34" s="38"/>
      <c r="G34" s="28">
        <v>9</v>
      </c>
      <c r="H34" s="28" t="str">
        <f t="shared" si="2"/>
        <v>Thomas / Shreya</v>
      </c>
      <c r="I34" s="1" t="str">
        <f t="shared" si="3"/>
        <v/>
      </c>
    </row>
    <row r="35" spans="1:10" x14ac:dyDescent="0.3">
      <c r="A35" s="4">
        <v>10</v>
      </c>
      <c r="B35" s="55" t="s">
        <v>43</v>
      </c>
      <c r="C35" s="4">
        <v>27</v>
      </c>
      <c r="D35" s="4"/>
      <c r="E35" s="4" t="str">
        <f t="shared" si="1"/>
        <v>Sengole</v>
      </c>
      <c r="F35" s="38"/>
      <c r="G35" s="28">
        <v>10</v>
      </c>
      <c r="H35" s="28" t="str">
        <f t="shared" si="2"/>
        <v>Prasanna / Sengole</v>
      </c>
      <c r="I35" s="1" t="str">
        <f t="shared" si="3"/>
        <v/>
      </c>
    </row>
    <row r="36" spans="1:10" x14ac:dyDescent="0.3">
      <c r="A36" s="4">
        <v>11</v>
      </c>
      <c r="B36" s="55" t="s">
        <v>81</v>
      </c>
      <c r="C36" s="4">
        <v>22</v>
      </c>
      <c r="D36" s="4"/>
      <c r="E36" s="4" t="str">
        <f t="shared" si="1"/>
        <v>Asim</v>
      </c>
      <c r="F36" s="38"/>
      <c r="G36" s="28">
        <v>11</v>
      </c>
      <c r="H36" s="28" t="str">
        <f t="shared" si="2"/>
        <v>Sandip / Asim</v>
      </c>
      <c r="I36" s="1" t="str">
        <f t="shared" si="3"/>
        <v/>
      </c>
    </row>
    <row r="37" spans="1:10" x14ac:dyDescent="0.3">
      <c r="A37" s="4">
        <v>12</v>
      </c>
      <c r="B37" s="55" t="s">
        <v>82</v>
      </c>
      <c r="C37" s="4">
        <v>16</v>
      </c>
      <c r="D37" s="4"/>
      <c r="E37" s="4" t="str">
        <f t="shared" si="1"/>
        <v>Vasu</v>
      </c>
      <c r="F37" s="38"/>
      <c r="G37" s="28">
        <v>12</v>
      </c>
      <c r="H37" s="28" t="str">
        <f t="shared" si="2"/>
        <v>Farooq S / Vasu</v>
      </c>
      <c r="I37" s="1" t="str">
        <f t="shared" si="3"/>
        <v/>
      </c>
    </row>
    <row r="38" spans="1:10" x14ac:dyDescent="0.3">
      <c r="A38" s="4">
        <v>13</v>
      </c>
      <c r="B38" s="56" t="s">
        <v>45</v>
      </c>
      <c r="C38" s="4">
        <v>23</v>
      </c>
      <c r="D38" s="4"/>
      <c r="E38" s="4" t="str">
        <f t="shared" si="1"/>
        <v>Umar</v>
      </c>
      <c r="F38" s="38"/>
      <c r="G38" s="28">
        <v>13</v>
      </c>
      <c r="H38" s="28" t="str">
        <f t="shared" si="2"/>
        <v>Kalyan / Umar</v>
      </c>
      <c r="I38" s="1" t="str">
        <f t="shared" si="3"/>
        <v/>
      </c>
    </row>
    <row r="39" spans="1:10" x14ac:dyDescent="0.3">
      <c r="A39" s="4">
        <v>14</v>
      </c>
      <c r="B39" s="56" t="s">
        <v>87</v>
      </c>
      <c r="C39" s="4">
        <v>21</v>
      </c>
      <c r="D39" s="4"/>
      <c r="E39" s="4" t="str">
        <f t="shared" si="1"/>
        <v>Nawaz</v>
      </c>
      <c r="F39" s="38"/>
      <c r="G39" s="28">
        <v>14</v>
      </c>
      <c r="H39" s="28" t="str">
        <f t="shared" si="2"/>
        <v>Ken / Nawaz</v>
      </c>
      <c r="I39" s="1" t="str">
        <f t="shared" si="3"/>
        <v/>
      </c>
    </row>
    <row r="40" spans="1:10" ht="48.75" customHeight="1" x14ac:dyDescent="0.3">
      <c r="A40" s="58"/>
      <c r="B40" s="58"/>
      <c r="C40" s="57"/>
      <c r="D40" s="57"/>
      <c r="E40"/>
      <c r="F40" s="38"/>
      <c r="I40" s="1" t="s">
        <v>95</v>
      </c>
      <c r="J40" s="1">
        <f>COUNT(J26:J39)</f>
        <v>7</v>
      </c>
    </row>
    <row r="41" spans="1:10" ht="25.5" customHeight="1" x14ac:dyDescent="0.3">
      <c r="A41" s="4"/>
      <c r="B41" s="54" t="s">
        <v>28</v>
      </c>
    </row>
    <row r="42" spans="1:10" x14ac:dyDescent="0.3">
      <c r="A42" s="4">
        <v>15</v>
      </c>
      <c r="B42" s="55" t="s">
        <v>36</v>
      </c>
    </row>
    <row r="43" spans="1:10" x14ac:dyDescent="0.3">
      <c r="A43" s="4">
        <v>16</v>
      </c>
      <c r="B43" s="55" t="s">
        <v>40</v>
      </c>
    </row>
    <row r="44" spans="1:10" x14ac:dyDescent="0.3">
      <c r="A44" s="4">
        <v>17</v>
      </c>
      <c r="B44" s="55" t="s">
        <v>77</v>
      </c>
    </row>
    <row r="45" spans="1:10" x14ac:dyDescent="0.3">
      <c r="A45" s="4">
        <v>18</v>
      </c>
      <c r="B45" s="55" t="s">
        <v>44</v>
      </c>
    </row>
    <row r="46" spans="1:10" x14ac:dyDescent="0.3">
      <c r="A46" s="4">
        <v>19</v>
      </c>
      <c r="B46" s="55" t="s">
        <v>75</v>
      </c>
    </row>
    <row r="47" spans="1:10" x14ac:dyDescent="0.3">
      <c r="A47" s="4">
        <v>20</v>
      </c>
      <c r="B47" s="55" t="s">
        <v>80</v>
      </c>
    </row>
    <row r="48" spans="1:10" x14ac:dyDescent="0.3">
      <c r="A48" s="4">
        <v>21</v>
      </c>
      <c r="B48" s="55" t="s">
        <v>42</v>
      </c>
    </row>
    <row r="49" spans="1:5" x14ac:dyDescent="0.3">
      <c r="A49" s="4">
        <v>22</v>
      </c>
      <c r="B49" s="55" t="s">
        <v>33</v>
      </c>
    </row>
    <row r="50" spans="1:5" x14ac:dyDescent="0.3">
      <c r="A50" s="4">
        <v>23</v>
      </c>
      <c r="B50" s="56" t="s">
        <v>83</v>
      </c>
    </row>
    <row r="51" spans="1:5" x14ac:dyDescent="0.3">
      <c r="A51" s="4">
        <v>24</v>
      </c>
      <c r="B51" s="56" t="s">
        <v>79</v>
      </c>
    </row>
    <row r="52" spans="1:5" x14ac:dyDescent="0.3">
      <c r="A52" s="4">
        <v>25</v>
      </c>
      <c r="B52" s="55" t="s">
        <v>85</v>
      </c>
    </row>
    <row r="53" spans="1:5" x14ac:dyDescent="0.3">
      <c r="A53" s="4">
        <v>26</v>
      </c>
      <c r="B53" s="56" t="s">
        <v>46</v>
      </c>
    </row>
    <row r="54" spans="1:5" x14ac:dyDescent="0.3">
      <c r="A54" s="4">
        <v>27</v>
      </c>
      <c r="B54" s="56" t="s">
        <v>86</v>
      </c>
    </row>
    <row r="55" spans="1:5" x14ac:dyDescent="0.3">
      <c r="A55" s="4">
        <v>28</v>
      </c>
      <c r="B55" s="55" t="s">
        <v>41</v>
      </c>
    </row>
    <row r="56" spans="1:5" x14ac:dyDescent="0.3">
      <c r="A56"/>
      <c r="B56"/>
    </row>
    <row r="57" spans="1:5" x14ac:dyDescent="0.3">
      <c r="A57"/>
      <c r="B57"/>
    </row>
    <row r="58" spans="1:5" x14ac:dyDescent="0.3">
      <c r="A58"/>
      <c r="B58"/>
    </row>
    <row r="59" spans="1:5" x14ac:dyDescent="0.3">
      <c r="A59"/>
      <c r="B59"/>
    </row>
    <row r="60" spans="1:5" x14ac:dyDescent="0.3">
      <c r="A60"/>
      <c r="B60"/>
    </row>
    <row r="62" spans="1:5" x14ac:dyDescent="0.3">
      <c r="A62" s="55"/>
      <c r="B62" s="55" t="s">
        <v>89</v>
      </c>
      <c r="C62" s="55"/>
      <c r="D62" s="55"/>
      <c r="E62" s="55" t="s">
        <v>88</v>
      </c>
    </row>
    <row r="63" spans="1:5" x14ac:dyDescent="0.3">
      <c r="A63" s="55">
        <v>1</v>
      </c>
      <c r="B63" s="55" t="s">
        <v>38</v>
      </c>
      <c r="C63" s="55"/>
      <c r="D63" s="55"/>
      <c r="E63" s="55" t="s">
        <v>70</v>
      </c>
    </row>
    <row r="64" spans="1:5" x14ac:dyDescent="0.3">
      <c r="A64" s="55">
        <v>2</v>
      </c>
      <c r="B64" s="55" t="s">
        <v>73</v>
      </c>
      <c r="C64" s="55"/>
      <c r="D64" s="55"/>
      <c r="E64" s="55" t="s">
        <v>70</v>
      </c>
    </row>
    <row r="65" spans="1:5" x14ac:dyDescent="0.3">
      <c r="A65" s="55">
        <v>3</v>
      </c>
      <c r="B65" s="55" t="s">
        <v>74</v>
      </c>
      <c r="C65" s="55"/>
      <c r="D65" s="55"/>
      <c r="E65" s="55" t="s">
        <v>70</v>
      </c>
    </row>
    <row r="66" spans="1:5" x14ac:dyDescent="0.3">
      <c r="A66" s="55">
        <v>4</v>
      </c>
      <c r="B66" s="55" t="s">
        <v>37</v>
      </c>
      <c r="C66" s="55"/>
      <c r="D66" s="55"/>
      <c r="E66" s="55" t="s">
        <v>70</v>
      </c>
    </row>
    <row r="67" spans="1:5" x14ac:dyDescent="0.3">
      <c r="A67" s="55">
        <v>5</v>
      </c>
      <c r="B67" s="55" t="s">
        <v>136</v>
      </c>
      <c r="C67" s="55"/>
      <c r="D67" s="55"/>
      <c r="E67" s="55" t="s">
        <v>70</v>
      </c>
    </row>
    <row r="68" spans="1:5" x14ac:dyDescent="0.3">
      <c r="A68" s="55">
        <v>6</v>
      </c>
      <c r="B68" s="55" t="s">
        <v>76</v>
      </c>
      <c r="C68" s="55"/>
      <c r="D68" s="55"/>
      <c r="E68" s="55" t="s">
        <v>70</v>
      </c>
    </row>
    <row r="69" spans="1:5" x14ac:dyDescent="0.3">
      <c r="A69" s="55">
        <v>7</v>
      </c>
      <c r="B69" s="55" t="s">
        <v>34</v>
      </c>
      <c r="C69" s="55"/>
      <c r="D69" s="55"/>
      <c r="E69" s="55" t="s">
        <v>70</v>
      </c>
    </row>
    <row r="70" spans="1:5" x14ac:dyDescent="0.3">
      <c r="A70" s="55">
        <v>8</v>
      </c>
      <c r="B70" s="55" t="s">
        <v>78</v>
      </c>
      <c r="C70" s="55"/>
      <c r="D70" s="55"/>
      <c r="E70" s="55" t="s">
        <v>70</v>
      </c>
    </row>
    <row r="71" spans="1:5" x14ac:dyDescent="0.3">
      <c r="A71" s="55">
        <v>9</v>
      </c>
      <c r="B71" s="55" t="s">
        <v>35</v>
      </c>
      <c r="C71" s="55"/>
      <c r="D71" s="55"/>
      <c r="E71" s="55" t="s">
        <v>70</v>
      </c>
    </row>
    <row r="72" spans="1:5" x14ac:dyDescent="0.3">
      <c r="A72" s="55">
        <v>10</v>
      </c>
      <c r="B72" s="55" t="s">
        <v>43</v>
      </c>
      <c r="C72" s="55"/>
      <c r="D72" s="55"/>
      <c r="E72" s="55" t="s">
        <v>70</v>
      </c>
    </row>
    <row r="73" spans="1:5" x14ac:dyDescent="0.3">
      <c r="A73" s="55">
        <v>11</v>
      </c>
      <c r="B73" s="55" t="s">
        <v>81</v>
      </c>
      <c r="C73" s="55"/>
      <c r="D73" s="55"/>
      <c r="E73" s="55" t="s">
        <v>70</v>
      </c>
    </row>
    <row r="74" spans="1:5" x14ac:dyDescent="0.3">
      <c r="A74" s="55">
        <v>12</v>
      </c>
      <c r="B74" s="55" t="s">
        <v>82</v>
      </c>
      <c r="C74" s="55"/>
      <c r="D74" s="55"/>
      <c r="E74" s="55" t="s">
        <v>70</v>
      </c>
    </row>
    <row r="75" spans="1:5" x14ac:dyDescent="0.3">
      <c r="A75" s="55">
        <v>13</v>
      </c>
      <c r="B75" s="56" t="s">
        <v>45</v>
      </c>
      <c r="C75" s="55"/>
      <c r="D75" s="55"/>
      <c r="E75" s="55" t="s">
        <v>70</v>
      </c>
    </row>
    <row r="76" spans="1:5" x14ac:dyDescent="0.3">
      <c r="A76" s="55">
        <v>14</v>
      </c>
      <c r="B76" s="56" t="s">
        <v>87</v>
      </c>
      <c r="C76" s="55"/>
      <c r="D76" s="55"/>
      <c r="E76" s="55" t="s">
        <v>70</v>
      </c>
    </row>
    <row r="77" spans="1:5" x14ac:dyDescent="0.3">
      <c r="A77" s="55">
        <v>15</v>
      </c>
      <c r="B77" s="55" t="s">
        <v>36</v>
      </c>
      <c r="C77" s="55"/>
      <c r="D77" s="55"/>
      <c r="E77" s="55" t="s">
        <v>71</v>
      </c>
    </row>
    <row r="78" spans="1:5" x14ac:dyDescent="0.3">
      <c r="A78" s="55">
        <v>16</v>
      </c>
      <c r="B78" s="55" t="s">
        <v>40</v>
      </c>
      <c r="C78" s="55"/>
      <c r="D78" s="55"/>
      <c r="E78" s="55" t="s">
        <v>71</v>
      </c>
    </row>
    <row r="79" spans="1:5" x14ac:dyDescent="0.3">
      <c r="A79" s="55">
        <v>17</v>
      </c>
      <c r="B79" s="55" t="s">
        <v>77</v>
      </c>
      <c r="C79" s="55"/>
      <c r="D79" s="55"/>
      <c r="E79" s="55" t="s">
        <v>71</v>
      </c>
    </row>
    <row r="80" spans="1:5" x14ac:dyDescent="0.3">
      <c r="A80" s="55">
        <v>18</v>
      </c>
      <c r="B80" s="55" t="s">
        <v>44</v>
      </c>
      <c r="C80" s="55"/>
      <c r="D80" s="55"/>
      <c r="E80" s="55" t="s">
        <v>71</v>
      </c>
    </row>
    <row r="81" spans="1:5" x14ac:dyDescent="0.3">
      <c r="A81" s="55">
        <v>19</v>
      </c>
      <c r="B81" s="55" t="s">
        <v>75</v>
      </c>
      <c r="C81" s="55"/>
      <c r="D81" s="55"/>
      <c r="E81" s="55" t="s">
        <v>71</v>
      </c>
    </row>
    <row r="82" spans="1:5" x14ac:dyDescent="0.3">
      <c r="A82" s="55">
        <v>20</v>
      </c>
      <c r="B82" s="55" t="s">
        <v>80</v>
      </c>
      <c r="C82" s="55"/>
      <c r="D82" s="55"/>
      <c r="E82" s="55" t="s">
        <v>71</v>
      </c>
    </row>
    <row r="83" spans="1:5" x14ac:dyDescent="0.3">
      <c r="A83" s="56">
        <v>21</v>
      </c>
      <c r="B83" s="55" t="s">
        <v>42</v>
      </c>
      <c r="C83" s="55"/>
      <c r="D83" s="55"/>
      <c r="E83" s="55" t="s">
        <v>71</v>
      </c>
    </row>
    <row r="84" spans="1:5" x14ac:dyDescent="0.3">
      <c r="A84" s="56">
        <v>22</v>
      </c>
      <c r="B84" s="55" t="s">
        <v>33</v>
      </c>
      <c r="C84" s="55"/>
      <c r="D84" s="55"/>
      <c r="E84" s="55" t="s">
        <v>71</v>
      </c>
    </row>
    <row r="85" spans="1:5" x14ac:dyDescent="0.3">
      <c r="A85" s="56">
        <v>23</v>
      </c>
      <c r="B85" s="56" t="s">
        <v>83</v>
      </c>
      <c r="C85" s="55"/>
      <c r="D85" s="55"/>
      <c r="E85" s="55" t="s">
        <v>71</v>
      </c>
    </row>
    <row r="86" spans="1:5" x14ac:dyDescent="0.3">
      <c r="A86" s="55">
        <v>24</v>
      </c>
      <c r="B86" s="56" t="s">
        <v>79</v>
      </c>
      <c r="C86" s="55"/>
      <c r="D86" s="55"/>
      <c r="E86" s="55" t="s">
        <v>71</v>
      </c>
    </row>
    <row r="87" spans="1:5" x14ac:dyDescent="0.3">
      <c r="A87" s="56">
        <v>25</v>
      </c>
      <c r="B87" s="55" t="s">
        <v>85</v>
      </c>
      <c r="C87" s="55"/>
      <c r="D87" s="55"/>
      <c r="E87" s="55" t="s">
        <v>71</v>
      </c>
    </row>
    <row r="88" spans="1:5" x14ac:dyDescent="0.3">
      <c r="A88" s="56">
        <v>26</v>
      </c>
      <c r="B88" s="56" t="s">
        <v>46</v>
      </c>
      <c r="C88" s="55"/>
      <c r="D88" s="55"/>
      <c r="E88" s="55" t="s">
        <v>71</v>
      </c>
    </row>
    <row r="89" spans="1:5" x14ac:dyDescent="0.3">
      <c r="A89" s="56">
        <v>27</v>
      </c>
      <c r="B89" s="56" t="s">
        <v>86</v>
      </c>
      <c r="C89" s="55"/>
      <c r="D89" s="55"/>
      <c r="E89" s="55" t="s">
        <v>71</v>
      </c>
    </row>
    <row r="90" spans="1:5" x14ac:dyDescent="0.3">
      <c r="A90" s="55">
        <v>28</v>
      </c>
      <c r="B90" s="55" t="s">
        <v>41</v>
      </c>
      <c r="C90" s="55"/>
      <c r="D90" s="55"/>
      <c r="E90" s="55" t="s">
        <v>71</v>
      </c>
    </row>
    <row r="92" spans="1:5" x14ac:dyDescent="0.3">
      <c r="A92" s="1" t="s">
        <v>70</v>
      </c>
      <c r="B92" s="1">
        <f>COUNTIF(E63:E90,"A")</f>
        <v>14</v>
      </c>
    </row>
    <row r="93" spans="1:5" x14ac:dyDescent="0.3">
      <c r="A93" s="1" t="s">
        <v>71</v>
      </c>
      <c r="B93" s="1">
        <f>COUNTIF(E63:E90,"B")</f>
        <v>14</v>
      </c>
    </row>
    <row r="112" spans="8:8" x14ac:dyDescent="0.3">
      <c r="H112" s="43" t="s">
        <v>62</v>
      </c>
    </row>
  </sheetData>
  <sortState xmlns:xlrd2="http://schemas.microsoft.com/office/spreadsheetml/2017/richdata2" ref="B55:E82">
    <sortCondition ref="E55:E82"/>
  </sortState>
  <mergeCells count="5">
    <mergeCell ref="B2:E2"/>
    <mergeCell ref="G2:H2"/>
    <mergeCell ref="A1:H1"/>
    <mergeCell ref="O4:O10"/>
    <mergeCell ref="C10:D16"/>
  </mergeCells>
  <pageMargins left="0.7" right="0.7" top="0.75" bottom="0.75" header="0.3" footer="0.3"/>
  <pageSetup paperSize="9" orientation="portrait" horizontalDpi="200" verticalDpi="200" r:id="rId1"/>
  <ignoredErrors>
    <ignoredError sqref="I2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T33"/>
  <sheetViews>
    <sheetView zoomScale="70" zoomScaleNormal="70" workbookViewId="0">
      <selection activeCell="L18" sqref="L18"/>
    </sheetView>
  </sheetViews>
  <sheetFormatPr defaultRowHeight="12.75" x14ac:dyDescent="0.2"/>
  <cols>
    <col min="1" max="1" width="6.42578125" bestFit="1" customWidth="1"/>
    <col min="2" max="2" width="19.140625" bestFit="1" customWidth="1"/>
    <col min="3" max="3" width="27.140625" bestFit="1" customWidth="1"/>
    <col min="4" max="4" width="10" style="3" bestFit="1" customWidth="1"/>
    <col min="5" max="5" width="27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7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211" t="s">
        <v>97</v>
      </c>
      <c r="B1" s="212"/>
      <c r="C1" s="212"/>
      <c r="D1" s="212"/>
      <c r="E1" s="213"/>
      <c r="F1" s="34"/>
      <c r="G1" s="2"/>
      <c r="J1" s="217" t="s">
        <v>96</v>
      </c>
      <c r="K1" s="218"/>
      <c r="L1" s="218"/>
      <c r="M1" s="218"/>
      <c r="N1" s="219"/>
      <c r="S1" s="16" t="s">
        <v>13</v>
      </c>
      <c r="T1" s="16" t="s">
        <v>14</v>
      </c>
    </row>
    <row r="2" spans="1:20" ht="21" thickBot="1" x14ac:dyDescent="0.35">
      <c r="A2" s="5" t="s">
        <v>11</v>
      </c>
      <c r="B2" s="5" t="s">
        <v>10</v>
      </c>
      <c r="C2" s="5" t="s">
        <v>16</v>
      </c>
      <c r="D2" s="7" t="s">
        <v>1</v>
      </c>
      <c r="E2" s="5" t="s">
        <v>17</v>
      </c>
      <c r="F2" s="7" t="s">
        <v>1</v>
      </c>
      <c r="G2" s="5" t="s">
        <v>2</v>
      </c>
      <c r="H2" s="18" t="s">
        <v>18</v>
      </c>
      <c r="J2" s="130"/>
      <c r="K2" s="131" t="s">
        <v>72</v>
      </c>
      <c r="L2" s="131" t="s">
        <v>3</v>
      </c>
      <c r="M2" s="131" t="s">
        <v>4</v>
      </c>
      <c r="N2" s="131" t="s">
        <v>5</v>
      </c>
      <c r="O2" s="131" t="s">
        <v>6</v>
      </c>
      <c r="P2" s="131" t="s">
        <v>8</v>
      </c>
      <c r="Q2" s="131" t="s">
        <v>7</v>
      </c>
      <c r="R2" s="132" t="s">
        <v>32</v>
      </c>
      <c r="S2" s="102">
        <f>SUM(P3:Q3)</f>
        <v>219</v>
      </c>
      <c r="T2" s="17">
        <f>S2/L3</f>
        <v>36.5</v>
      </c>
    </row>
    <row r="3" spans="1:20" ht="21" thickBot="1" x14ac:dyDescent="0.35">
      <c r="A3" s="114">
        <v>1</v>
      </c>
      <c r="B3" s="115">
        <v>45172</v>
      </c>
      <c r="C3" s="87" t="s">
        <v>116</v>
      </c>
      <c r="D3" s="116">
        <v>17</v>
      </c>
      <c r="E3" s="87" t="s">
        <v>119</v>
      </c>
      <c r="F3" s="116">
        <v>21</v>
      </c>
      <c r="G3" s="117" t="str">
        <f t="shared" ref="G3:G21" si="0">IF($D3&gt;0,IF($D3&gt;$F3,$C3,$E3),"")</f>
        <v>Thomas / Shreya</v>
      </c>
      <c r="H3">
        <f>ABS(D3-F3)</f>
        <v>4</v>
      </c>
      <c r="J3" s="133">
        <v>1</v>
      </c>
      <c r="K3" s="92" t="s">
        <v>127</v>
      </c>
      <c r="L3" s="128">
        <f>SUMPRODUCT(--($D$3:$D$23&gt;0),--($C$3:$C$23=$K3))+SUMPRODUCT(--($F$3:$F$23&gt;0),--($E$3:$E$23=$K3))</f>
        <v>6</v>
      </c>
      <c r="M3" s="92">
        <f t="shared" ref="M3:M9" si="1">COUNTIF($G$3:$G$23,$K3)</f>
        <v>6</v>
      </c>
      <c r="N3" s="92">
        <f t="shared" ref="N3:N9" si="2">L3-M3</f>
        <v>0</v>
      </c>
      <c r="O3" s="92">
        <f t="shared" ref="O3:O9" si="3">2*M3</f>
        <v>12</v>
      </c>
      <c r="P3" s="129">
        <f t="shared" ref="P3:P9" si="4">SUMIF($C$3:$C$23,$K3,$D$3:$D$23)+SUMIF($E$3:$E$23,$K3,$F$3:$F$23)</f>
        <v>126</v>
      </c>
      <c r="Q3" s="129">
        <f t="shared" ref="Q3:Q9" si="5">SUMIF($C$3:$C$23,$K3,$F$3:$F$23)+SUMIF($E$3:$E$23,$K3,$D$3:$D$23)</f>
        <v>93</v>
      </c>
      <c r="R3" s="134">
        <f t="shared" ref="R3:R9" si="6">P3-Q3</f>
        <v>33</v>
      </c>
      <c r="S3" s="102">
        <f>SUM(P4:Q4)</f>
        <v>174</v>
      </c>
      <c r="T3" s="17">
        <f>S3/L4</f>
        <v>29</v>
      </c>
    </row>
    <row r="4" spans="1:20" ht="20.25" x14ac:dyDescent="0.3">
      <c r="A4" s="110">
        <v>2</v>
      </c>
      <c r="B4" s="111">
        <v>45179</v>
      </c>
      <c r="C4" s="92" t="s">
        <v>114</v>
      </c>
      <c r="D4" s="112">
        <v>21</v>
      </c>
      <c r="E4" s="92" t="s">
        <v>115</v>
      </c>
      <c r="F4" s="112">
        <v>14</v>
      </c>
      <c r="G4" s="113" t="str">
        <f t="shared" si="0"/>
        <v>Santosh / Vishal</v>
      </c>
      <c r="H4">
        <f t="shared" ref="H4:H6" si="7">ABS(D4-F4)</f>
        <v>7</v>
      </c>
      <c r="J4" s="135">
        <v>2</v>
      </c>
      <c r="K4" s="2" t="s">
        <v>119</v>
      </c>
      <c r="L4" s="47">
        <f>SUMPRODUCT(--($D$3:$D$23&gt;0),--($C$3:$C$23=$K4))+SUMPRODUCT(--($F$3:$F$23&gt;0),--($E$3:$E$23=$K4))+1</f>
        <v>6</v>
      </c>
      <c r="M4" s="2">
        <f t="shared" si="1"/>
        <v>4</v>
      </c>
      <c r="N4" s="2">
        <f t="shared" si="2"/>
        <v>2</v>
      </c>
      <c r="O4" s="2">
        <f t="shared" si="3"/>
        <v>8</v>
      </c>
      <c r="P4" s="34">
        <f t="shared" si="4"/>
        <v>98</v>
      </c>
      <c r="Q4" s="34">
        <f t="shared" si="5"/>
        <v>76</v>
      </c>
      <c r="R4" s="136">
        <f t="shared" si="6"/>
        <v>22</v>
      </c>
      <c r="S4" s="102">
        <f>SUM(P5:Q5)</f>
        <v>180</v>
      </c>
      <c r="T4" s="17">
        <f>S4/L5</f>
        <v>30</v>
      </c>
    </row>
    <row r="5" spans="1:20" ht="20.25" x14ac:dyDescent="0.3">
      <c r="A5" s="8">
        <v>3</v>
      </c>
      <c r="B5" s="37">
        <v>45179</v>
      </c>
      <c r="C5" s="2" t="s">
        <v>114</v>
      </c>
      <c r="D5" s="13">
        <v>15</v>
      </c>
      <c r="E5" s="2" t="s">
        <v>127</v>
      </c>
      <c r="F5" s="13">
        <v>21</v>
      </c>
      <c r="G5" s="11" t="str">
        <f t="shared" si="0"/>
        <v>Deepesh / Saif</v>
      </c>
      <c r="H5">
        <f t="shared" si="7"/>
        <v>6</v>
      </c>
      <c r="J5" s="135">
        <v>3</v>
      </c>
      <c r="K5" s="2" t="s">
        <v>117</v>
      </c>
      <c r="L5" s="47">
        <f>SUMPRODUCT(--($D$3:$D$23&gt;0),--($C$3:$C$23=$K5))+SUMPRODUCT(--($F$3:$F$23&gt;0),--($E$3:$E$23=$K5))</f>
        <v>6</v>
      </c>
      <c r="M5" s="2">
        <f t="shared" si="1"/>
        <v>3</v>
      </c>
      <c r="N5" s="2">
        <f t="shared" si="2"/>
        <v>3</v>
      </c>
      <c r="O5" s="2">
        <f t="shared" si="3"/>
        <v>6</v>
      </c>
      <c r="P5" s="34">
        <f t="shared" si="4"/>
        <v>91</v>
      </c>
      <c r="Q5" s="34">
        <f t="shared" si="5"/>
        <v>89</v>
      </c>
      <c r="R5" s="136">
        <f t="shared" si="6"/>
        <v>2</v>
      </c>
      <c r="S5" s="102" t="e">
        <f>SUM(#REF!)</f>
        <v>#REF!</v>
      </c>
      <c r="T5" s="17" t="e">
        <f>S5/#REF!</f>
        <v>#REF!</v>
      </c>
    </row>
    <row r="6" spans="1:20" ht="20.25" x14ac:dyDescent="0.3">
      <c r="A6" s="14">
        <v>4</v>
      </c>
      <c r="B6" s="37">
        <v>45179</v>
      </c>
      <c r="C6" s="2" t="s">
        <v>114</v>
      </c>
      <c r="D6" s="12">
        <v>21</v>
      </c>
      <c r="E6" s="2" t="s">
        <v>117</v>
      </c>
      <c r="F6" s="12">
        <v>19</v>
      </c>
      <c r="G6" s="11" t="str">
        <f t="shared" si="0"/>
        <v>Santosh / Vishal</v>
      </c>
      <c r="H6">
        <f t="shared" si="7"/>
        <v>2</v>
      </c>
      <c r="J6" s="135">
        <v>4</v>
      </c>
      <c r="K6" s="2" t="s">
        <v>114</v>
      </c>
      <c r="L6" s="47">
        <f>SUMPRODUCT(--($D$3:$D$23&gt;0),--($C$3:$C$23=$K6))+SUMPRODUCT(--($F$3:$F$23&gt;0),--($E$3:$E$23=$K6))</f>
        <v>6</v>
      </c>
      <c r="M6" s="2">
        <f t="shared" si="1"/>
        <v>3</v>
      </c>
      <c r="N6" s="2">
        <f t="shared" si="2"/>
        <v>3</v>
      </c>
      <c r="O6" s="2">
        <f t="shared" si="3"/>
        <v>6</v>
      </c>
      <c r="P6" s="34">
        <f t="shared" si="4"/>
        <v>105</v>
      </c>
      <c r="Q6" s="34">
        <f t="shared" si="5"/>
        <v>107</v>
      </c>
      <c r="R6" s="136">
        <f t="shared" si="6"/>
        <v>-2</v>
      </c>
      <c r="S6" s="102" t="e">
        <f>SUM(#REF!)</f>
        <v>#REF!</v>
      </c>
      <c r="T6" s="17" t="e">
        <f>S6/#REF!</f>
        <v>#REF!</v>
      </c>
    </row>
    <row r="7" spans="1:20" ht="20.25" x14ac:dyDescent="0.3">
      <c r="A7" s="8">
        <v>5</v>
      </c>
      <c r="B7" s="37">
        <v>45179</v>
      </c>
      <c r="C7" s="2" t="s">
        <v>115</v>
      </c>
      <c r="D7" s="13">
        <v>14</v>
      </c>
      <c r="E7" s="2" t="s">
        <v>127</v>
      </c>
      <c r="F7" s="13">
        <v>21</v>
      </c>
      <c r="G7" s="11" t="str">
        <f t="shared" si="0"/>
        <v>Deepesh / Saif</v>
      </c>
      <c r="H7" t="e">
        <f>ABS(#REF!-#REF!)</f>
        <v>#REF!</v>
      </c>
      <c r="J7" s="135">
        <v>5</v>
      </c>
      <c r="K7" s="2" t="s">
        <v>118</v>
      </c>
      <c r="L7" s="47">
        <f>SUMPRODUCT(--($D$3:$D$23&gt;0),--($C$3:$C$23=$K7))+SUMPRODUCT(--($F$3:$F$23&gt;0),--($E$3:$E$23=$K7))+1</f>
        <v>6</v>
      </c>
      <c r="M7" s="2">
        <f t="shared" si="1"/>
        <v>2</v>
      </c>
      <c r="N7" s="2">
        <f t="shared" si="2"/>
        <v>4</v>
      </c>
      <c r="O7" s="2">
        <f t="shared" si="3"/>
        <v>4</v>
      </c>
      <c r="P7" s="34">
        <f t="shared" si="4"/>
        <v>101</v>
      </c>
      <c r="Q7" s="34">
        <f t="shared" si="5"/>
        <v>110</v>
      </c>
      <c r="R7" s="136">
        <f t="shared" si="6"/>
        <v>-9</v>
      </c>
      <c r="S7" s="102" t="e">
        <f>SUM(#REF!)</f>
        <v>#REF!</v>
      </c>
      <c r="T7" s="17" t="e">
        <f>S7/#REF!</f>
        <v>#REF!</v>
      </c>
    </row>
    <row r="8" spans="1:20" ht="21" thickBot="1" x14ac:dyDescent="0.35">
      <c r="A8" s="120">
        <v>6</v>
      </c>
      <c r="B8" s="121">
        <v>45179</v>
      </c>
      <c r="C8" s="87" t="s">
        <v>127</v>
      </c>
      <c r="D8" s="116">
        <v>21</v>
      </c>
      <c r="E8" s="87" t="s">
        <v>117</v>
      </c>
      <c r="F8" s="116">
        <v>14</v>
      </c>
      <c r="G8" s="117" t="str">
        <f t="shared" si="0"/>
        <v>Deepesh / Saif</v>
      </c>
      <c r="H8">
        <f>ABS(D7-F7)</f>
        <v>7</v>
      </c>
      <c r="J8" s="135">
        <v>6</v>
      </c>
      <c r="K8" s="2" t="s">
        <v>116</v>
      </c>
      <c r="L8" s="47">
        <f>SUMPRODUCT(--($D$3:$D$23&gt;0),--($C$3:$C$23=$K8))+SUMPRODUCT(--($F$3:$F$23&gt;0),--($E$3:$E$23=$K8))</f>
        <v>6</v>
      </c>
      <c r="M8" s="2">
        <f t="shared" si="1"/>
        <v>2</v>
      </c>
      <c r="N8" s="2">
        <f t="shared" si="2"/>
        <v>4</v>
      </c>
      <c r="O8" s="2">
        <f t="shared" si="3"/>
        <v>4</v>
      </c>
      <c r="P8" s="34">
        <f t="shared" si="4"/>
        <v>107</v>
      </c>
      <c r="Q8" s="34">
        <f t="shared" si="5"/>
        <v>116</v>
      </c>
      <c r="R8" s="136">
        <f t="shared" si="6"/>
        <v>-9</v>
      </c>
      <c r="S8" s="102" t="e">
        <f>SUM(#REF!)</f>
        <v>#REF!</v>
      </c>
      <c r="T8" s="17" t="e">
        <f>S8/#REF!</f>
        <v>#REF!</v>
      </c>
    </row>
    <row r="9" spans="1:20" ht="21" thickBot="1" x14ac:dyDescent="0.35">
      <c r="A9" s="118">
        <v>7</v>
      </c>
      <c r="B9" s="141">
        <v>45186</v>
      </c>
      <c r="C9" s="92" t="s">
        <v>114</v>
      </c>
      <c r="D9" s="119">
        <v>21</v>
      </c>
      <c r="E9" s="92" t="s">
        <v>116</v>
      </c>
      <c r="F9" s="119">
        <v>11</v>
      </c>
      <c r="G9" s="113" t="str">
        <f t="shared" si="0"/>
        <v>Santosh / Vishal</v>
      </c>
      <c r="H9">
        <f>ABS(D5-F5)</f>
        <v>6</v>
      </c>
      <c r="J9" s="137">
        <v>7</v>
      </c>
      <c r="K9" s="87" t="s">
        <v>115</v>
      </c>
      <c r="L9" s="138">
        <f>SUMPRODUCT(--($D$3:$D$23&gt;0),--($C$3:$C$23=$K9))+SUMPRODUCT(--($F$3:$F$23&gt;0),--($E$3:$E$23=$K9))+1</f>
        <v>6</v>
      </c>
      <c r="M9" s="87">
        <f t="shared" si="1"/>
        <v>1</v>
      </c>
      <c r="N9" s="87">
        <f t="shared" si="2"/>
        <v>5</v>
      </c>
      <c r="O9" s="87">
        <f t="shared" si="3"/>
        <v>2</v>
      </c>
      <c r="P9" s="139">
        <f t="shared" si="4"/>
        <v>70</v>
      </c>
      <c r="Q9" s="139">
        <f t="shared" si="5"/>
        <v>107</v>
      </c>
      <c r="R9" s="140">
        <f t="shared" si="6"/>
        <v>-37</v>
      </c>
      <c r="S9" s="102" t="e">
        <f>SUM(#REF!)</f>
        <v>#REF!</v>
      </c>
      <c r="T9" s="17" t="e">
        <f>S9/#REF!</f>
        <v>#REF!</v>
      </c>
    </row>
    <row r="10" spans="1:20" ht="20.25" x14ac:dyDescent="0.3">
      <c r="A10" s="14">
        <v>8</v>
      </c>
      <c r="B10" s="142">
        <v>45186</v>
      </c>
      <c r="C10" s="2" t="s">
        <v>114</v>
      </c>
      <c r="D10" s="13">
        <v>11</v>
      </c>
      <c r="E10" s="2" t="s">
        <v>119</v>
      </c>
      <c r="F10" s="13">
        <v>21</v>
      </c>
      <c r="G10" s="11" t="str">
        <f t="shared" si="0"/>
        <v>Thomas / Shreya</v>
      </c>
      <c r="H10">
        <f>ABS(D9-F9)</f>
        <v>10</v>
      </c>
      <c r="S10" s="34" t="e">
        <f>SUM(#REF!)</f>
        <v>#REF!</v>
      </c>
      <c r="T10" s="17" t="e">
        <f>S10/#REF!</f>
        <v>#REF!</v>
      </c>
    </row>
    <row r="11" spans="1:20" ht="20.25" x14ac:dyDescent="0.3">
      <c r="A11" s="8">
        <v>9</v>
      </c>
      <c r="B11" s="142">
        <v>45186</v>
      </c>
      <c r="C11" s="2" t="s">
        <v>127</v>
      </c>
      <c r="D11" s="10">
        <v>21</v>
      </c>
      <c r="E11" s="2" t="s">
        <v>116</v>
      </c>
      <c r="F11" s="10">
        <v>19</v>
      </c>
      <c r="G11" s="11" t="str">
        <f t="shared" si="0"/>
        <v>Deepesh / Saif</v>
      </c>
      <c r="H11">
        <f>ABS(D10-F10)</f>
        <v>10</v>
      </c>
    </row>
    <row r="12" spans="1:20" ht="20.25" x14ac:dyDescent="0.3">
      <c r="A12" s="8">
        <v>10</v>
      </c>
      <c r="B12" s="142">
        <v>45186</v>
      </c>
      <c r="C12" s="2" t="s">
        <v>127</v>
      </c>
      <c r="D12" s="10">
        <v>21</v>
      </c>
      <c r="E12" s="2" t="s">
        <v>119</v>
      </c>
      <c r="F12" s="10">
        <v>14</v>
      </c>
      <c r="G12" s="11" t="str">
        <f t="shared" si="0"/>
        <v>Deepesh / Saif</v>
      </c>
    </row>
    <row r="13" spans="1:20" ht="21" thickBot="1" x14ac:dyDescent="0.35">
      <c r="A13" s="120">
        <v>11</v>
      </c>
      <c r="B13" s="142">
        <v>45186</v>
      </c>
      <c r="C13" s="2" t="s">
        <v>117</v>
      </c>
      <c r="D13" s="149">
        <v>8</v>
      </c>
      <c r="E13" s="2" t="s">
        <v>119</v>
      </c>
      <c r="F13" s="149">
        <v>21</v>
      </c>
      <c r="G13" s="11" t="str">
        <f t="shared" si="0"/>
        <v>Thomas / Shreya</v>
      </c>
    </row>
    <row r="14" spans="1:20" ht="21" thickBot="1" x14ac:dyDescent="0.35">
      <c r="A14" s="150">
        <v>12</v>
      </c>
      <c r="B14" s="144">
        <v>45186</v>
      </c>
      <c r="C14" s="151" t="s">
        <v>116</v>
      </c>
      <c r="D14" s="152">
        <v>16</v>
      </c>
      <c r="E14" s="151" t="s">
        <v>117</v>
      </c>
      <c r="F14" s="152">
        <v>21</v>
      </c>
      <c r="G14" s="153" t="str">
        <f t="shared" si="0"/>
        <v>Kalyan / Umar</v>
      </c>
    </row>
    <row r="15" spans="1:20" ht="20.25" x14ac:dyDescent="0.3">
      <c r="A15" s="110">
        <v>13</v>
      </c>
      <c r="B15" s="145">
        <v>45200</v>
      </c>
      <c r="C15" s="92" t="s">
        <v>116</v>
      </c>
      <c r="D15" s="119">
        <v>23</v>
      </c>
      <c r="E15" s="92" t="s">
        <v>118</v>
      </c>
      <c r="F15" s="119">
        <v>21</v>
      </c>
      <c r="G15" s="113" t="str">
        <f t="shared" si="0"/>
        <v>Ken / Nawaz</v>
      </c>
    </row>
    <row r="16" spans="1:20" ht="20.25" x14ac:dyDescent="0.3">
      <c r="A16" s="8">
        <v>14</v>
      </c>
      <c r="B16" s="146">
        <v>45200</v>
      </c>
      <c r="C16" s="2" t="s">
        <v>114</v>
      </c>
      <c r="D16" s="148">
        <v>16</v>
      </c>
      <c r="E16" s="2" t="s">
        <v>118</v>
      </c>
      <c r="F16" s="148">
        <v>21</v>
      </c>
      <c r="G16" s="11" t="str">
        <f t="shared" si="0"/>
        <v>Rukhsar / Mansoor</v>
      </c>
    </row>
    <row r="17" spans="1:20" ht="20.25" x14ac:dyDescent="0.3">
      <c r="A17" s="14">
        <v>15</v>
      </c>
      <c r="B17" s="146">
        <v>45200</v>
      </c>
      <c r="C17" s="2" t="s">
        <v>115</v>
      </c>
      <c r="D17" s="10">
        <v>21</v>
      </c>
      <c r="E17" s="2" t="s">
        <v>118</v>
      </c>
      <c r="F17" s="10">
        <v>23</v>
      </c>
      <c r="G17" s="11" t="str">
        <f t="shared" si="0"/>
        <v>Rukhsar / Mansoor</v>
      </c>
    </row>
    <row r="18" spans="1:20" ht="21" thickBot="1" x14ac:dyDescent="0.35">
      <c r="A18" s="8">
        <v>16</v>
      </c>
      <c r="B18" s="157">
        <v>45200</v>
      </c>
      <c r="C18" s="87" t="s">
        <v>115</v>
      </c>
      <c r="D18" s="147">
        <v>11</v>
      </c>
      <c r="E18" s="87" t="s">
        <v>116</v>
      </c>
      <c r="F18" s="147">
        <v>21</v>
      </c>
      <c r="G18" s="117" t="str">
        <f t="shared" si="0"/>
        <v>Ken / Nawaz</v>
      </c>
      <c r="H18">
        <f>ABS(D6-F6)</f>
        <v>2</v>
      </c>
      <c r="S18" s="34" t="e">
        <f>SUM(#REF!)</f>
        <v>#REF!</v>
      </c>
      <c r="T18" s="17" t="e">
        <f>S18/#REF!</f>
        <v>#REF!</v>
      </c>
    </row>
    <row r="19" spans="1:20" ht="20.25" x14ac:dyDescent="0.3">
      <c r="A19" s="14">
        <v>17</v>
      </c>
      <c r="B19" s="158">
        <v>45207</v>
      </c>
      <c r="C19" s="92" t="s">
        <v>127</v>
      </c>
      <c r="D19" s="159">
        <v>21</v>
      </c>
      <c r="E19" s="92" t="s">
        <v>118</v>
      </c>
      <c r="F19" s="159">
        <v>17</v>
      </c>
      <c r="G19" s="113" t="str">
        <f t="shared" si="0"/>
        <v>Deepesh / Saif</v>
      </c>
      <c r="H19">
        <f>ABS(D18-F18)</f>
        <v>10</v>
      </c>
      <c r="S19" s="34" t="e">
        <f>SUM(#REF!)</f>
        <v>#REF!</v>
      </c>
      <c r="T19" s="17" t="e">
        <f>S19/#REF!</f>
        <v>#REF!</v>
      </c>
    </row>
    <row r="20" spans="1:20" ht="21" thickBot="1" x14ac:dyDescent="0.35">
      <c r="A20" s="8">
        <v>18</v>
      </c>
      <c r="B20" s="160">
        <v>45207</v>
      </c>
      <c r="C20" s="87" t="s">
        <v>118</v>
      </c>
      <c r="D20" s="161">
        <v>19</v>
      </c>
      <c r="E20" s="87" t="s">
        <v>119</v>
      </c>
      <c r="F20" s="161">
        <v>21</v>
      </c>
      <c r="G20" s="117" t="str">
        <f t="shared" si="0"/>
        <v>Thomas / Shreya</v>
      </c>
      <c r="H20">
        <f>ABS(D8-F8)</f>
        <v>7</v>
      </c>
      <c r="S20" s="34" t="e">
        <f>SUM(#REF!)</f>
        <v>#REF!</v>
      </c>
      <c r="T20" s="17" t="e">
        <f>S20/#REF!</f>
        <v>#REF!</v>
      </c>
    </row>
    <row r="21" spans="1:20" ht="21" thickBot="1" x14ac:dyDescent="0.35">
      <c r="A21" s="8">
        <v>19</v>
      </c>
      <c r="B21" s="174">
        <v>45214</v>
      </c>
      <c r="C21" s="125" t="s">
        <v>115</v>
      </c>
      <c r="D21" s="175">
        <v>10</v>
      </c>
      <c r="E21" s="125" t="s">
        <v>117</v>
      </c>
      <c r="F21" s="175">
        <v>21</v>
      </c>
      <c r="G21" s="127" t="str">
        <f t="shared" si="0"/>
        <v>Kalyan / Umar</v>
      </c>
      <c r="H21">
        <f>ABS(D20-F20)</f>
        <v>2</v>
      </c>
      <c r="S21" s="34" t="e">
        <f>SUM(#REF!)</f>
        <v>#REF!</v>
      </c>
      <c r="T21" s="17" t="e">
        <f>S21/#REF!</f>
        <v>#REF!</v>
      </c>
    </row>
    <row r="22" spans="1:20" ht="20.25" x14ac:dyDescent="0.3">
      <c r="A22" s="14">
        <v>20</v>
      </c>
      <c r="B22" s="176" t="s">
        <v>155</v>
      </c>
      <c r="C22" s="92" t="s">
        <v>115</v>
      </c>
      <c r="D22" s="159">
        <v>0</v>
      </c>
      <c r="E22" s="92" t="s">
        <v>119</v>
      </c>
      <c r="F22" s="159">
        <v>0</v>
      </c>
      <c r="G22" s="113" t="s">
        <v>115</v>
      </c>
      <c r="H22">
        <f>ABS(D21-F21)</f>
        <v>11</v>
      </c>
    </row>
    <row r="23" spans="1:20" ht="20.25" x14ac:dyDescent="0.3">
      <c r="A23" s="8">
        <v>21</v>
      </c>
      <c r="B23" s="177" t="s">
        <v>155</v>
      </c>
      <c r="C23" s="2" t="s">
        <v>118</v>
      </c>
      <c r="D23" s="15">
        <v>0</v>
      </c>
      <c r="E23" s="2" t="s">
        <v>117</v>
      </c>
      <c r="F23" s="15">
        <v>8</v>
      </c>
      <c r="G23" s="11" t="s">
        <v>117</v>
      </c>
      <c r="H23">
        <f>ABS(D22-F22)</f>
        <v>0</v>
      </c>
    </row>
    <row r="24" spans="1:20" ht="20.25" x14ac:dyDescent="0.3">
      <c r="A24" s="14"/>
      <c r="B24" s="91"/>
      <c r="C24" s="214" t="s">
        <v>12</v>
      </c>
      <c r="D24" s="215"/>
      <c r="E24" s="215"/>
      <c r="F24" s="216"/>
      <c r="G24" s="92">
        <f>COUNTA(F3:F23)</f>
        <v>21</v>
      </c>
      <c r="H24" t="e">
        <f>ABS(#REF!-#REF!)</f>
        <v>#REF!</v>
      </c>
    </row>
    <row r="25" spans="1:20" x14ac:dyDescent="0.2">
      <c r="H25" t="e">
        <f>ABS(#REF!-#REF!)</f>
        <v>#REF!</v>
      </c>
    </row>
    <row r="26" spans="1:20" x14ac:dyDescent="0.2">
      <c r="H26" t="e">
        <f>ABS(#REF!-#REF!)</f>
        <v>#REF!</v>
      </c>
    </row>
    <row r="27" spans="1:20" x14ac:dyDescent="0.2">
      <c r="H27" t="e">
        <f>ABS(#REF!-#REF!)</f>
        <v>#REF!</v>
      </c>
    </row>
    <row r="28" spans="1:20" x14ac:dyDescent="0.2">
      <c r="H28" t="e">
        <f>ABS(#REF!-#REF!)</f>
        <v>#REF!</v>
      </c>
    </row>
    <row r="29" spans="1:20" x14ac:dyDescent="0.2">
      <c r="H29" t="e">
        <f>ABS(#REF!-#REF!)</f>
        <v>#REF!</v>
      </c>
    </row>
    <row r="30" spans="1:20" x14ac:dyDescent="0.2">
      <c r="B30" s="35"/>
      <c r="H30" t="e">
        <f>ABS(#REF!-#REF!)</f>
        <v>#REF!</v>
      </c>
    </row>
    <row r="31" spans="1:20" x14ac:dyDescent="0.2">
      <c r="H31" t="e">
        <f>ABS(#REF!-#REF!)</f>
        <v>#REF!</v>
      </c>
    </row>
    <row r="32" spans="1:20" x14ac:dyDescent="0.2">
      <c r="H32" t="e">
        <f>ABS(#REF!-#REF!)</f>
        <v>#REF!</v>
      </c>
    </row>
    <row r="33" spans="8:8" x14ac:dyDescent="0.2">
      <c r="H33" t="e">
        <f>ABS(#REF!-#REF!)</f>
        <v>#REF!</v>
      </c>
    </row>
  </sheetData>
  <sortState xmlns:xlrd2="http://schemas.microsoft.com/office/spreadsheetml/2017/richdata2" ref="K3:R9">
    <sortCondition descending="1" ref="O3:O9"/>
    <sortCondition descending="1" ref="R3:R9"/>
  </sortState>
  <mergeCells count="3">
    <mergeCell ref="A1:E1"/>
    <mergeCell ref="C24:F24"/>
    <mergeCell ref="J1:N1"/>
  </mergeCells>
  <conditionalFormatting sqref="S2:S8 S21">
    <cfRule type="top10" dxfId="60" priority="24" rank="1"/>
  </conditionalFormatting>
  <conditionalFormatting sqref="T2:T8 T21">
    <cfRule type="top10" dxfId="59" priority="25" rank="1"/>
  </conditionalFormatting>
  <conditionalFormatting sqref="S20">
    <cfRule type="top10" dxfId="58" priority="22" rank="1"/>
  </conditionalFormatting>
  <conditionalFormatting sqref="T20">
    <cfRule type="top10" dxfId="57" priority="23" rank="1"/>
  </conditionalFormatting>
  <conditionalFormatting sqref="A2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 F20:F23">
    <cfRule type="cellIs" dxfId="56" priority="19" operator="lessThan">
      <formula>30</formula>
    </cfRule>
    <cfRule type="cellIs" dxfId="55" priority="20" operator="equal">
      <formula>30</formula>
    </cfRule>
  </conditionalFormatting>
  <conditionalFormatting sqref="D3:D8 D20:D23">
    <cfRule type="cellIs" dxfId="54" priority="17" operator="lessThan">
      <formula>30</formula>
    </cfRule>
    <cfRule type="cellIs" dxfId="53" priority="18" operator="equal">
      <formula>30</formula>
    </cfRule>
  </conditionalFormatting>
  <conditionalFormatting sqref="S10">
    <cfRule type="top10" dxfId="52" priority="15" rank="1"/>
  </conditionalFormatting>
  <conditionalFormatting sqref="T10">
    <cfRule type="top10" dxfId="51" priority="16" rank="1"/>
  </conditionalFormatting>
  <conditionalFormatting sqref="S9">
    <cfRule type="top10" dxfId="50" priority="13" rank="1"/>
  </conditionalFormatting>
  <conditionalFormatting sqref="T9">
    <cfRule type="top10" dxfId="49" priority="14" rank="1"/>
  </conditionalFormatting>
  <conditionalFormatting sqref="F9:F17">
    <cfRule type="cellIs" dxfId="48" priority="11" operator="lessThan">
      <formula>30</formula>
    </cfRule>
    <cfRule type="cellIs" dxfId="47" priority="12" operator="equal">
      <formula>30</formula>
    </cfRule>
  </conditionalFormatting>
  <conditionalFormatting sqref="D9:D17">
    <cfRule type="cellIs" dxfId="46" priority="9" operator="lessThan">
      <formula>30</formula>
    </cfRule>
    <cfRule type="cellIs" dxfId="45" priority="10" operator="equal">
      <formula>30</formula>
    </cfRule>
  </conditionalFormatting>
  <conditionalFormatting sqref="S19">
    <cfRule type="top10" dxfId="44" priority="7" rank="1"/>
  </conditionalFormatting>
  <conditionalFormatting sqref="T19">
    <cfRule type="top10" dxfId="43" priority="8" rank="1"/>
  </conditionalFormatting>
  <conditionalFormatting sqref="S18">
    <cfRule type="top10" dxfId="42" priority="5" rank="1"/>
  </conditionalFormatting>
  <conditionalFormatting sqref="T18">
    <cfRule type="top10" dxfId="41" priority="6" rank="1"/>
  </conditionalFormatting>
  <conditionalFormatting sqref="F18:F19">
    <cfRule type="cellIs" dxfId="40" priority="3" operator="lessThan">
      <formula>30</formula>
    </cfRule>
    <cfRule type="cellIs" dxfId="39" priority="4" operator="equal">
      <formula>30</formula>
    </cfRule>
  </conditionalFormatting>
  <conditionalFormatting sqref="D18:D19">
    <cfRule type="cellIs" dxfId="38" priority="1" operator="lessThan">
      <formula>30</formula>
    </cfRule>
    <cfRule type="cellIs" dxfId="37" priority="2" operator="equal">
      <formula>30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  <ignoredErrors>
    <ignoredError sqref="L4 L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T33"/>
  <sheetViews>
    <sheetView zoomScale="80" zoomScaleNormal="80" workbookViewId="0">
      <selection activeCell="F43" sqref="F43"/>
    </sheetView>
  </sheetViews>
  <sheetFormatPr defaultRowHeight="12.75" x14ac:dyDescent="0.2"/>
  <cols>
    <col min="1" max="1" width="6.42578125" bestFit="1" customWidth="1"/>
    <col min="2" max="2" width="19.140625" bestFit="1" customWidth="1"/>
    <col min="3" max="3" width="28.140625" bestFit="1" customWidth="1"/>
    <col min="4" max="4" width="10" style="3" bestFit="1" customWidth="1"/>
    <col min="5" max="5" width="28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8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211" t="s">
        <v>128</v>
      </c>
      <c r="B1" s="212"/>
      <c r="C1" s="212"/>
      <c r="D1" s="212"/>
      <c r="E1" s="213"/>
      <c r="F1" s="34"/>
      <c r="G1" s="2"/>
      <c r="J1" s="217" t="s">
        <v>134</v>
      </c>
      <c r="K1" s="218"/>
      <c r="L1" s="218"/>
      <c r="M1" s="218"/>
      <c r="N1" s="219"/>
      <c r="S1" s="16" t="s">
        <v>13</v>
      </c>
      <c r="T1" s="16" t="s">
        <v>14</v>
      </c>
    </row>
    <row r="2" spans="1:20" ht="21" thickBot="1" x14ac:dyDescent="0.35">
      <c r="A2" s="5" t="s">
        <v>11</v>
      </c>
      <c r="B2" s="5" t="s">
        <v>10</v>
      </c>
      <c r="C2" s="5" t="s">
        <v>16</v>
      </c>
      <c r="D2" s="7" t="s">
        <v>1</v>
      </c>
      <c r="E2" s="5" t="s">
        <v>17</v>
      </c>
      <c r="F2" s="7" t="s">
        <v>1</v>
      </c>
      <c r="G2" s="5" t="s">
        <v>2</v>
      </c>
      <c r="H2" s="18" t="s">
        <v>18</v>
      </c>
      <c r="J2" s="130"/>
      <c r="K2" s="131" t="s">
        <v>72</v>
      </c>
      <c r="L2" s="131" t="s">
        <v>3</v>
      </c>
      <c r="M2" s="131" t="s">
        <v>4</v>
      </c>
      <c r="N2" s="131" t="s">
        <v>5</v>
      </c>
      <c r="O2" s="131" t="s">
        <v>6</v>
      </c>
      <c r="P2" s="131" t="s">
        <v>8</v>
      </c>
      <c r="Q2" s="131" t="s">
        <v>7</v>
      </c>
      <c r="R2" s="132" t="s">
        <v>32</v>
      </c>
      <c r="S2" s="102">
        <f>SUM(P3:Q3)</f>
        <v>181</v>
      </c>
      <c r="T2" s="17">
        <f>S2/L3</f>
        <v>36.200000000000003</v>
      </c>
    </row>
    <row r="3" spans="1:20" ht="20.25" x14ac:dyDescent="0.3">
      <c r="A3" s="8">
        <v>1</v>
      </c>
      <c r="B3" s="109">
        <v>45172</v>
      </c>
      <c r="C3" s="2" t="s">
        <v>120</v>
      </c>
      <c r="D3" s="13">
        <v>17</v>
      </c>
      <c r="E3" s="2" t="s">
        <v>122</v>
      </c>
      <c r="F3" s="13">
        <v>21</v>
      </c>
      <c r="G3" s="11" t="str">
        <f t="shared" ref="G3:G23" si="0">IF($D3&gt;0,IF($D3&gt;$F3,$C3,$E3),"")</f>
        <v>Rahul J / Waqas</v>
      </c>
      <c r="H3">
        <f>ABS(D3-F3)</f>
        <v>4</v>
      </c>
      <c r="J3" s="133">
        <v>1</v>
      </c>
      <c r="K3" s="92" t="s">
        <v>122</v>
      </c>
      <c r="L3" s="128">
        <f t="shared" ref="L3:L9" si="1">SUMPRODUCT(--($D$3:$D$23&gt;0),--($C$3:$C$23=$K3))+SUMPRODUCT(--($F$3:$F$23&gt;0),--($E$3:$E$23=$K3))</f>
        <v>5</v>
      </c>
      <c r="M3" s="92">
        <f t="shared" ref="M3:M9" si="2">COUNTIF($G$3:$G$23,$K3)</f>
        <v>5</v>
      </c>
      <c r="N3" s="92">
        <f t="shared" ref="N3:N9" si="3">L3-M3</f>
        <v>0</v>
      </c>
      <c r="O3" s="92">
        <f t="shared" ref="O3:O9" si="4">2*M3</f>
        <v>10</v>
      </c>
      <c r="P3" s="129">
        <f t="shared" ref="P3:P9" si="5">SUMIF($C$3:$C$23,$K3,$D$3:$D$23)+SUMIF($E$3:$E$23,$K3,$F$3:$F$23)</f>
        <v>105</v>
      </c>
      <c r="Q3" s="129">
        <f t="shared" ref="Q3:Q9" si="6">SUMIF($C$3:$C$23,$K3,$F$3:$F$23)+SUMIF($E$3:$E$23,$K3,$D$3:$D$23)</f>
        <v>76</v>
      </c>
      <c r="R3" s="134">
        <f t="shared" ref="R3:R9" si="7">P3-Q3</f>
        <v>29</v>
      </c>
      <c r="S3" s="102">
        <f>SUM(P4:Q4)</f>
        <v>184</v>
      </c>
      <c r="T3" s="17">
        <f>S3/L4</f>
        <v>36.799999999999997</v>
      </c>
    </row>
    <row r="4" spans="1:20" ht="20.25" x14ac:dyDescent="0.3">
      <c r="A4" s="14">
        <v>2</v>
      </c>
      <c r="B4" s="109">
        <v>45172</v>
      </c>
      <c r="C4" s="2" t="s">
        <v>121</v>
      </c>
      <c r="D4" s="13">
        <v>8</v>
      </c>
      <c r="E4" s="2" t="s">
        <v>122</v>
      </c>
      <c r="F4" s="13">
        <v>21</v>
      </c>
      <c r="G4" s="11" t="str">
        <f t="shared" si="0"/>
        <v>Rahul J / Waqas</v>
      </c>
      <c r="H4">
        <f t="shared" ref="H4:H6" si="8">ABS(D4-F4)</f>
        <v>13</v>
      </c>
      <c r="J4" s="135">
        <v>2</v>
      </c>
      <c r="K4" s="2" t="s">
        <v>124</v>
      </c>
      <c r="L4" s="47">
        <f t="shared" si="1"/>
        <v>5</v>
      </c>
      <c r="M4" s="2">
        <f t="shared" si="2"/>
        <v>3</v>
      </c>
      <c r="N4" s="2">
        <f t="shared" si="3"/>
        <v>2</v>
      </c>
      <c r="O4" s="2">
        <f t="shared" si="4"/>
        <v>6</v>
      </c>
      <c r="P4" s="34">
        <f t="shared" si="5"/>
        <v>99</v>
      </c>
      <c r="Q4" s="34">
        <f t="shared" si="6"/>
        <v>85</v>
      </c>
      <c r="R4" s="136">
        <f t="shared" si="7"/>
        <v>14</v>
      </c>
      <c r="S4" s="102">
        <f>SUM(P5:Q5)</f>
        <v>215</v>
      </c>
      <c r="T4" s="17">
        <f>S4/L5</f>
        <v>35.833333333333336</v>
      </c>
    </row>
    <row r="5" spans="1:20" ht="21" thickBot="1" x14ac:dyDescent="0.35">
      <c r="A5" s="114">
        <v>3</v>
      </c>
      <c r="B5" s="115">
        <v>45172</v>
      </c>
      <c r="C5" s="87" t="s">
        <v>120</v>
      </c>
      <c r="D5" s="122">
        <v>21</v>
      </c>
      <c r="E5" s="87" t="s">
        <v>121</v>
      </c>
      <c r="F5" s="122">
        <v>16</v>
      </c>
      <c r="G5" s="117" t="str">
        <f t="shared" si="0"/>
        <v>Sandip / Asim</v>
      </c>
      <c r="H5">
        <f t="shared" si="8"/>
        <v>5</v>
      </c>
      <c r="J5" s="135">
        <v>3</v>
      </c>
      <c r="K5" s="2" t="s">
        <v>120</v>
      </c>
      <c r="L5" s="47">
        <f t="shared" si="1"/>
        <v>6</v>
      </c>
      <c r="M5" s="2">
        <f t="shared" si="2"/>
        <v>3</v>
      </c>
      <c r="N5" s="2">
        <f t="shared" si="3"/>
        <v>3</v>
      </c>
      <c r="O5" s="2">
        <f t="shared" si="4"/>
        <v>6</v>
      </c>
      <c r="P5" s="34">
        <f t="shared" si="5"/>
        <v>108</v>
      </c>
      <c r="Q5" s="34">
        <f t="shared" si="6"/>
        <v>107</v>
      </c>
      <c r="R5" s="136">
        <f t="shared" si="7"/>
        <v>1</v>
      </c>
      <c r="S5" s="102" t="e">
        <f>SUM(#REF!)</f>
        <v>#REF!</v>
      </c>
      <c r="T5" s="17" t="e">
        <f>S5/#REF!</f>
        <v>#REF!</v>
      </c>
    </row>
    <row r="6" spans="1:20" ht="21" thickBot="1" x14ac:dyDescent="0.35">
      <c r="A6" s="123">
        <v>4</v>
      </c>
      <c r="B6" s="124">
        <v>45179</v>
      </c>
      <c r="C6" s="125" t="s">
        <v>124</v>
      </c>
      <c r="D6" s="126">
        <v>17</v>
      </c>
      <c r="E6" s="125" t="s">
        <v>125</v>
      </c>
      <c r="F6" s="126">
        <v>21</v>
      </c>
      <c r="G6" s="127" t="str">
        <f t="shared" si="0"/>
        <v>Altamash / Samir</v>
      </c>
      <c r="H6">
        <f t="shared" si="8"/>
        <v>4</v>
      </c>
      <c r="J6" s="135">
        <v>4</v>
      </c>
      <c r="K6" s="2" t="s">
        <v>123</v>
      </c>
      <c r="L6" s="47">
        <f t="shared" si="1"/>
        <v>3</v>
      </c>
      <c r="M6" s="2">
        <f t="shared" si="2"/>
        <v>2</v>
      </c>
      <c r="N6" s="2">
        <f t="shared" si="3"/>
        <v>1</v>
      </c>
      <c r="O6" s="2">
        <f t="shared" si="4"/>
        <v>4</v>
      </c>
      <c r="P6" s="34">
        <f t="shared" si="5"/>
        <v>57</v>
      </c>
      <c r="Q6" s="34">
        <f t="shared" si="6"/>
        <v>46</v>
      </c>
      <c r="R6" s="136">
        <f t="shared" si="7"/>
        <v>11</v>
      </c>
      <c r="S6" s="102" t="e">
        <f>SUM(#REF!)</f>
        <v>#REF!</v>
      </c>
      <c r="T6" s="17" t="e">
        <f>S6/#REF!</f>
        <v>#REF!</v>
      </c>
    </row>
    <row r="7" spans="1:20" ht="20.25" x14ac:dyDescent="0.3">
      <c r="A7" s="118">
        <v>5</v>
      </c>
      <c r="B7" s="142">
        <v>45186</v>
      </c>
      <c r="C7" s="92" t="s">
        <v>120</v>
      </c>
      <c r="D7" s="143">
        <v>16</v>
      </c>
      <c r="E7" s="92" t="s">
        <v>123</v>
      </c>
      <c r="F7" s="143">
        <v>21</v>
      </c>
      <c r="G7" s="113" t="str">
        <f t="shared" si="0"/>
        <v>Farooq S / Vasu</v>
      </c>
      <c r="H7" t="e">
        <f>ABS(#REF!-#REF!)</f>
        <v>#REF!</v>
      </c>
      <c r="J7" s="135">
        <v>5</v>
      </c>
      <c r="K7" s="2" t="s">
        <v>135</v>
      </c>
      <c r="L7" s="47">
        <f t="shared" si="1"/>
        <v>5</v>
      </c>
      <c r="M7" s="2">
        <f t="shared" si="2"/>
        <v>1</v>
      </c>
      <c r="N7" s="2">
        <f t="shared" si="3"/>
        <v>4</v>
      </c>
      <c r="O7" s="2">
        <f t="shared" si="4"/>
        <v>2</v>
      </c>
      <c r="P7" s="34">
        <f t="shared" si="5"/>
        <v>82</v>
      </c>
      <c r="Q7" s="34">
        <f t="shared" si="6"/>
        <v>96</v>
      </c>
      <c r="R7" s="136">
        <f t="shared" si="7"/>
        <v>-14</v>
      </c>
      <c r="S7" s="102" t="e">
        <f>SUM(#REF!)</f>
        <v>#REF!</v>
      </c>
      <c r="T7" s="17" t="e">
        <f>S7/#REF!</f>
        <v>#REF!</v>
      </c>
    </row>
    <row r="8" spans="1:20" ht="20.25" x14ac:dyDescent="0.3">
      <c r="A8" s="14">
        <v>6</v>
      </c>
      <c r="B8" s="142">
        <v>45186</v>
      </c>
      <c r="C8" s="2" t="s">
        <v>120</v>
      </c>
      <c r="D8" s="13">
        <v>21</v>
      </c>
      <c r="E8" s="2" t="s">
        <v>125</v>
      </c>
      <c r="F8" s="13">
        <v>9</v>
      </c>
      <c r="G8" s="11" t="str">
        <f t="shared" si="0"/>
        <v>Sandip / Asim</v>
      </c>
      <c r="H8">
        <f>ABS(D7-F7)</f>
        <v>5</v>
      </c>
      <c r="J8" s="135">
        <v>6</v>
      </c>
      <c r="K8" s="2" t="s">
        <v>125</v>
      </c>
      <c r="L8" s="47">
        <f t="shared" si="1"/>
        <v>4</v>
      </c>
      <c r="M8" s="2">
        <f t="shared" si="2"/>
        <v>1</v>
      </c>
      <c r="N8" s="2">
        <f t="shared" si="3"/>
        <v>3</v>
      </c>
      <c r="O8" s="2">
        <f t="shared" si="4"/>
        <v>2</v>
      </c>
      <c r="P8" s="34">
        <f t="shared" si="5"/>
        <v>57</v>
      </c>
      <c r="Q8" s="34">
        <f t="shared" si="6"/>
        <v>80</v>
      </c>
      <c r="R8" s="136">
        <f t="shared" si="7"/>
        <v>-23</v>
      </c>
      <c r="S8" s="102" t="e">
        <f>SUM(#REF!)</f>
        <v>#REF!</v>
      </c>
      <c r="T8" s="17" t="e">
        <f>S8/#REF!</f>
        <v>#REF!</v>
      </c>
    </row>
    <row r="9" spans="1:20" ht="21" thickBot="1" x14ac:dyDescent="0.35">
      <c r="A9" s="114">
        <v>7</v>
      </c>
      <c r="B9" s="144">
        <v>45186</v>
      </c>
      <c r="C9" s="87" t="s">
        <v>123</v>
      </c>
      <c r="D9" s="147">
        <v>15</v>
      </c>
      <c r="E9" s="87" t="s">
        <v>124</v>
      </c>
      <c r="F9" s="147">
        <v>21</v>
      </c>
      <c r="G9" s="117" t="str">
        <f t="shared" si="0"/>
        <v>Yogi / Purvaiz</v>
      </c>
      <c r="H9">
        <f>ABS(D5-F5)</f>
        <v>5</v>
      </c>
      <c r="J9" s="137">
        <v>7</v>
      </c>
      <c r="K9" s="87" t="s">
        <v>121</v>
      </c>
      <c r="L9" s="138">
        <f t="shared" si="1"/>
        <v>2</v>
      </c>
      <c r="M9" s="87">
        <f t="shared" si="2"/>
        <v>0</v>
      </c>
      <c r="N9" s="87">
        <f t="shared" si="3"/>
        <v>2</v>
      </c>
      <c r="O9" s="87">
        <f t="shared" si="4"/>
        <v>0</v>
      </c>
      <c r="P9" s="139">
        <f t="shared" si="5"/>
        <v>24</v>
      </c>
      <c r="Q9" s="139">
        <f t="shared" si="6"/>
        <v>42</v>
      </c>
      <c r="R9" s="140">
        <f t="shared" si="7"/>
        <v>-18</v>
      </c>
      <c r="S9" s="102" t="e">
        <f>SUM(#REF!)</f>
        <v>#REF!</v>
      </c>
      <c r="T9" s="17" t="e">
        <f>S9/#REF!</f>
        <v>#REF!</v>
      </c>
    </row>
    <row r="10" spans="1:20" ht="20.25" x14ac:dyDescent="0.3">
      <c r="A10" s="110">
        <v>8</v>
      </c>
      <c r="B10" s="145">
        <v>45200</v>
      </c>
      <c r="C10" s="92" t="s">
        <v>120</v>
      </c>
      <c r="D10" s="112">
        <v>12</v>
      </c>
      <c r="E10" s="92" t="s">
        <v>124</v>
      </c>
      <c r="F10" s="112">
        <v>21</v>
      </c>
      <c r="G10" s="113" t="str">
        <f t="shared" si="0"/>
        <v>Yogi / Purvaiz</v>
      </c>
      <c r="H10">
        <f>ABS(D9-F9)</f>
        <v>6</v>
      </c>
      <c r="S10" s="34" t="e">
        <f>SUM(#REF!)</f>
        <v>#REF!</v>
      </c>
      <c r="T10" s="17" t="e">
        <f>S10/#REF!</f>
        <v>#REF!</v>
      </c>
    </row>
    <row r="11" spans="1:20" ht="20.25" x14ac:dyDescent="0.3">
      <c r="A11" s="8">
        <v>9</v>
      </c>
      <c r="B11" s="146">
        <v>45200</v>
      </c>
      <c r="C11" s="2" t="s">
        <v>135</v>
      </c>
      <c r="D11" s="9">
        <v>16</v>
      </c>
      <c r="E11" s="2" t="s">
        <v>124</v>
      </c>
      <c r="F11" s="9">
        <v>21</v>
      </c>
      <c r="G11" s="11" t="str">
        <f t="shared" si="0"/>
        <v>Yogi / Purvaiz</v>
      </c>
      <c r="H11">
        <f>ABS(D10-F10)</f>
        <v>9</v>
      </c>
    </row>
    <row r="12" spans="1:20" ht="20.25" x14ac:dyDescent="0.3">
      <c r="A12" s="8">
        <v>10</v>
      </c>
      <c r="B12" s="146">
        <v>45200</v>
      </c>
      <c r="C12" s="2" t="s">
        <v>122</v>
      </c>
      <c r="D12" s="10">
        <v>21</v>
      </c>
      <c r="E12" s="2" t="s">
        <v>135</v>
      </c>
      <c r="F12" s="10">
        <v>17</v>
      </c>
      <c r="G12" s="11" t="str">
        <f t="shared" si="0"/>
        <v>Rahul J / Waqas</v>
      </c>
    </row>
    <row r="13" spans="1:20" ht="20.25" x14ac:dyDescent="0.3">
      <c r="A13" s="14">
        <v>11</v>
      </c>
      <c r="B13" s="146">
        <v>45200</v>
      </c>
      <c r="C13" s="2" t="s">
        <v>122</v>
      </c>
      <c r="D13" s="10">
        <v>21</v>
      </c>
      <c r="E13" s="2" t="s">
        <v>124</v>
      </c>
      <c r="F13" s="10">
        <v>19</v>
      </c>
      <c r="G13" s="11" t="str">
        <f t="shared" si="0"/>
        <v>Rahul J / Waqas</v>
      </c>
    </row>
    <row r="14" spans="1:20" ht="20.25" x14ac:dyDescent="0.3">
      <c r="A14" s="8">
        <v>12</v>
      </c>
      <c r="B14" s="146">
        <v>45200</v>
      </c>
      <c r="C14" s="2" t="s">
        <v>120</v>
      </c>
      <c r="D14" s="9">
        <v>21</v>
      </c>
      <c r="E14" s="2" t="s">
        <v>135</v>
      </c>
      <c r="F14" s="9">
        <v>19</v>
      </c>
      <c r="G14" s="11" t="str">
        <f t="shared" si="0"/>
        <v>Sandip / Asim</v>
      </c>
    </row>
    <row r="15" spans="1:20" ht="20.25" x14ac:dyDescent="0.3">
      <c r="A15" s="14">
        <v>13</v>
      </c>
      <c r="B15" s="146">
        <v>45200</v>
      </c>
      <c r="C15" s="2" t="s">
        <v>122</v>
      </c>
      <c r="D15" s="10">
        <v>21</v>
      </c>
      <c r="E15" s="2" t="s">
        <v>125</v>
      </c>
      <c r="F15" s="10">
        <v>15</v>
      </c>
      <c r="G15" s="11" t="str">
        <f t="shared" si="0"/>
        <v>Rahul J / Waqas</v>
      </c>
    </row>
    <row r="16" spans="1:20" ht="21" thickBot="1" x14ac:dyDescent="0.35">
      <c r="A16" s="114">
        <v>14</v>
      </c>
      <c r="B16" s="157">
        <v>45200</v>
      </c>
      <c r="C16" s="87" t="s">
        <v>135</v>
      </c>
      <c r="D16" s="116">
        <v>21</v>
      </c>
      <c r="E16" s="87" t="s">
        <v>125</v>
      </c>
      <c r="F16" s="116">
        <v>12</v>
      </c>
      <c r="G16" s="117" t="str">
        <f t="shared" si="0"/>
        <v>Suraj / Jalal</v>
      </c>
    </row>
    <row r="17" spans="1:20" ht="21" thickBot="1" x14ac:dyDescent="0.35">
      <c r="A17" s="123">
        <v>15</v>
      </c>
      <c r="B17" s="178">
        <v>45214</v>
      </c>
      <c r="C17" s="125" t="s">
        <v>135</v>
      </c>
      <c r="D17" s="179">
        <v>9</v>
      </c>
      <c r="E17" s="125" t="s">
        <v>123</v>
      </c>
      <c r="F17" s="179">
        <v>21</v>
      </c>
      <c r="G17" s="127" t="str">
        <f t="shared" si="0"/>
        <v>Farooq S / Vasu</v>
      </c>
    </row>
    <row r="18" spans="1:20" ht="20.25" x14ac:dyDescent="0.3">
      <c r="A18" s="118">
        <v>16</v>
      </c>
      <c r="B18" s="176" t="s">
        <v>156</v>
      </c>
      <c r="C18" s="92" t="s">
        <v>121</v>
      </c>
      <c r="D18" s="156"/>
      <c r="E18" s="92" t="s">
        <v>135</v>
      </c>
      <c r="F18" s="156"/>
      <c r="G18" s="113" t="str">
        <f t="shared" si="0"/>
        <v/>
      </c>
      <c r="H18">
        <f>ABS(D6-F6)</f>
        <v>4</v>
      </c>
      <c r="S18" s="34" t="e">
        <f>SUM(#REF!)</f>
        <v>#REF!</v>
      </c>
      <c r="T18" s="17" t="e">
        <f>S18/#REF!</f>
        <v>#REF!</v>
      </c>
    </row>
    <row r="19" spans="1:20" ht="20.25" x14ac:dyDescent="0.3">
      <c r="A19" s="14">
        <v>17</v>
      </c>
      <c r="B19" s="176" t="s">
        <v>156</v>
      </c>
      <c r="C19" s="2" t="s">
        <v>121</v>
      </c>
      <c r="D19" s="10"/>
      <c r="E19" s="2" t="s">
        <v>123</v>
      </c>
      <c r="F19" s="10"/>
      <c r="G19" s="11" t="str">
        <f t="shared" si="0"/>
        <v/>
      </c>
      <c r="H19">
        <f>ABS(D18-F18)</f>
        <v>0</v>
      </c>
      <c r="S19" s="34" t="e">
        <f>SUM(#REF!)</f>
        <v>#REF!</v>
      </c>
      <c r="T19" s="17" t="e">
        <f>S19/#REF!</f>
        <v>#REF!</v>
      </c>
    </row>
    <row r="20" spans="1:20" ht="20.25" x14ac:dyDescent="0.3">
      <c r="A20" s="8">
        <v>18</v>
      </c>
      <c r="B20" s="176" t="s">
        <v>156</v>
      </c>
      <c r="C20" s="2" t="s">
        <v>121</v>
      </c>
      <c r="D20" s="10"/>
      <c r="E20" s="2" t="s">
        <v>124</v>
      </c>
      <c r="F20" s="10"/>
      <c r="G20" s="11" t="str">
        <f t="shared" si="0"/>
        <v/>
      </c>
      <c r="H20">
        <f>ABS(D8-F8)</f>
        <v>12</v>
      </c>
      <c r="S20" s="34" t="e">
        <f>SUM(#REF!)</f>
        <v>#REF!</v>
      </c>
      <c r="T20" s="17" t="e">
        <f>S20/#REF!</f>
        <v>#REF!</v>
      </c>
    </row>
    <row r="21" spans="1:20" ht="20.25" x14ac:dyDescent="0.3">
      <c r="A21" s="8">
        <v>19</v>
      </c>
      <c r="B21" s="176" t="s">
        <v>156</v>
      </c>
      <c r="C21" s="2" t="s">
        <v>121</v>
      </c>
      <c r="D21" s="10"/>
      <c r="E21" s="2" t="s">
        <v>125</v>
      </c>
      <c r="F21" s="10"/>
      <c r="G21" s="11" t="str">
        <f t="shared" si="0"/>
        <v/>
      </c>
      <c r="H21">
        <f>ABS(D20-F20)</f>
        <v>0</v>
      </c>
      <c r="S21" s="34" t="e">
        <f>SUM(#REF!)</f>
        <v>#REF!</v>
      </c>
      <c r="T21" s="17" t="e">
        <f>S21/#REF!</f>
        <v>#REF!</v>
      </c>
    </row>
    <row r="22" spans="1:20" ht="20.25" x14ac:dyDescent="0.3">
      <c r="A22" s="14">
        <v>20</v>
      </c>
      <c r="B22" s="176" t="s">
        <v>156</v>
      </c>
      <c r="C22" s="2" t="s">
        <v>122</v>
      </c>
      <c r="D22" s="10"/>
      <c r="E22" s="2" t="s">
        <v>123</v>
      </c>
      <c r="F22" s="10"/>
      <c r="G22" s="11" t="str">
        <f t="shared" si="0"/>
        <v/>
      </c>
      <c r="H22">
        <f>ABS(D21-F21)</f>
        <v>0</v>
      </c>
    </row>
    <row r="23" spans="1:20" ht="20.25" x14ac:dyDescent="0.3">
      <c r="A23" s="8">
        <v>21</v>
      </c>
      <c r="B23" s="176" t="s">
        <v>156</v>
      </c>
      <c r="C23" s="2" t="s">
        <v>123</v>
      </c>
      <c r="D23" s="13"/>
      <c r="E23" s="2" t="s">
        <v>125</v>
      </c>
      <c r="F23" s="13"/>
      <c r="G23" s="11" t="str">
        <f t="shared" si="0"/>
        <v/>
      </c>
      <c r="H23">
        <f>ABS(D22-F22)</f>
        <v>0</v>
      </c>
    </row>
    <row r="24" spans="1:20" ht="20.25" x14ac:dyDescent="0.3">
      <c r="A24" s="14"/>
      <c r="B24" s="36"/>
      <c r="C24" s="220" t="s">
        <v>12</v>
      </c>
      <c r="D24" s="221"/>
      <c r="E24" s="221"/>
      <c r="F24" s="222"/>
      <c r="G24" s="2">
        <f>COUNTA(F3:F23)</f>
        <v>15</v>
      </c>
      <c r="H24" t="e">
        <f>ABS(#REF!-#REF!)</f>
        <v>#REF!</v>
      </c>
    </row>
    <row r="25" spans="1:20" x14ac:dyDescent="0.2">
      <c r="H25" t="e">
        <f>ABS(#REF!-#REF!)</f>
        <v>#REF!</v>
      </c>
    </row>
    <row r="26" spans="1:20" x14ac:dyDescent="0.2">
      <c r="H26" t="e">
        <f>ABS(#REF!-#REF!)</f>
        <v>#REF!</v>
      </c>
    </row>
    <row r="27" spans="1:20" x14ac:dyDescent="0.2">
      <c r="H27" t="e">
        <f>ABS(#REF!-#REF!)</f>
        <v>#REF!</v>
      </c>
    </row>
    <row r="28" spans="1:20" x14ac:dyDescent="0.2">
      <c r="H28" t="e">
        <f>ABS(#REF!-#REF!)</f>
        <v>#REF!</v>
      </c>
    </row>
    <row r="29" spans="1:20" x14ac:dyDescent="0.2">
      <c r="H29" t="e">
        <f>ABS(#REF!-#REF!)</f>
        <v>#REF!</v>
      </c>
    </row>
    <row r="30" spans="1:20" x14ac:dyDescent="0.2">
      <c r="B30" s="35"/>
      <c r="H30" t="e">
        <f>ABS(#REF!-#REF!)</f>
        <v>#REF!</v>
      </c>
    </row>
    <row r="31" spans="1:20" x14ac:dyDescent="0.2">
      <c r="H31" t="e">
        <f>ABS(#REF!-#REF!)</f>
        <v>#REF!</v>
      </c>
    </row>
    <row r="32" spans="1:20" x14ac:dyDescent="0.2">
      <c r="H32" t="e">
        <f>ABS(#REF!-#REF!)</f>
        <v>#REF!</v>
      </c>
    </row>
    <row r="33" spans="8:8" x14ac:dyDescent="0.2">
      <c r="H33" t="e">
        <f>ABS(#REF!-#REF!)</f>
        <v>#REF!</v>
      </c>
    </row>
  </sheetData>
  <sortState xmlns:xlrd2="http://schemas.microsoft.com/office/spreadsheetml/2017/richdata2" ref="K3:R9">
    <sortCondition descending="1" ref="O3:O9"/>
    <sortCondition descending="1" ref="R3:R9"/>
  </sortState>
  <mergeCells count="3">
    <mergeCell ref="A1:E1"/>
    <mergeCell ref="J1:N1"/>
    <mergeCell ref="C24:F24"/>
  </mergeCells>
  <conditionalFormatting sqref="S2:S8 S21">
    <cfRule type="top10" dxfId="36" priority="24" rank="1"/>
  </conditionalFormatting>
  <conditionalFormatting sqref="T2:T8 T21">
    <cfRule type="top10" dxfId="35" priority="25" rank="1"/>
  </conditionalFormatting>
  <conditionalFormatting sqref="S20">
    <cfRule type="top10" dxfId="34" priority="22" rank="1"/>
  </conditionalFormatting>
  <conditionalFormatting sqref="T20">
    <cfRule type="top10" dxfId="33" priority="23" rank="1"/>
  </conditionalFormatting>
  <conditionalFormatting sqref="A2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 F20:F23">
    <cfRule type="cellIs" dxfId="32" priority="19" operator="lessThan">
      <formula>30</formula>
    </cfRule>
    <cfRule type="cellIs" dxfId="31" priority="20" operator="equal">
      <formula>30</formula>
    </cfRule>
  </conditionalFormatting>
  <conditionalFormatting sqref="D3:D8 D20:D23">
    <cfRule type="cellIs" dxfId="30" priority="17" operator="lessThan">
      <formula>30</formula>
    </cfRule>
    <cfRule type="cellIs" dxfId="29" priority="18" operator="equal">
      <formula>30</formula>
    </cfRule>
  </conditionalFormatting>
  <conditionalFormatting sqref="S10">
    <cfRule type="top10" dxfId="28" priority="15" rank="1"/>
  </conditionalFormatting>
  <conditionalFormatting sqref="T10">
    <cfRule type="top10" dxfId="27" priority="16" rank="1"/>
  </conditionalFormatting>
  <conditionalFormatting sqref="S9">
    <cfRule type="top10" dxfId="26" priority="13" rank="1"/>
  </conditionalFormatting>
  <conditionalFormatting sqref="T9">
    <cfRule type="top10" dxfId="25" priority="14" rank="1"/>
  </conditionalFormatting>
  <conditionalFormatting sqref="F9:F17">
    <cfRule type="cellIs" dxfId="24" priority="11" operator="lessThan">
      <formula>30</formula>
    </cfRule>
    <cfRule type="cellIs" dxfId="23" priority="12" operator="equal">
      <formula>30</formula>
    </cfRule>
  </conditionalFormatting>
  <conditionalFormatting sqref="D9:D17">
    <cfRule type="cellIs" dxfId="22" priority="9" operator="lessThan">
      <formula>30</formula>
    </cfRule>
    <cfRule type="cellIs" dxfId="21" priority="10" operator="equal">
      <formula>30</formula>
    </cfRule>
  </conditionalFormatting>
  <conditionalFormatting sqref="S19">
    <cfRule type="top10" dxfId="20" priority="7" rank="1"/>
  </conditionalFormatting>
  <conditionalFormatting sqref="T19">
    <cfRule type="top10" dxfId="19" priority="8" rank="1"/>
  </conditionalFormatting>
  <conditionalFormatting sqref="S18">
    <cfRule type="top10" dxfId="18" priority="5" rank="1"/>
  </conditionalFormatting>
  <conditionalFormatting sqref="T18">
    <cfRule type="top10" dxfId="17" priority="6" rank="1"/>
  </conditionalFormatting>
  <conditionalFormatting sqref="F18:F19">
    <cfRule type="cellIs" dxfId="16" priority="3" operator="lessThan">
      <formula>30</formula>
    </cfRule>
    <cfRule type="cellIs" dxfId="15" priority="4" operator="equal">
      <formula>30</formula>
    </cfRule>
  </conditionalFormatting>
  <conditionalFormatting sqref="D18:D19">
    <cfRule type="cellIs" dxfId="14" priority="1" operator="lessThan">
      <formula>30</formula>
    </cfRule>
    <cfRule type="cellIs" dxfId="13" priority="2" operator="equal">
      <formula>30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54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1" sqref="N1"/>
    </sheetView>
  </sheetViews>
  <sheetFormatPr defaultRowHeight="12.75" x14ac:dyDescent="0.2"/>
  <cols>
    <col min="1" max="1" width="8.28515625" customWidth="1"/>
    <col min="2" max="2" width="28.140625" bestFit="1" customWidth="1"/>
    <col min="3" max="3" width="12.85546875" bestFit="1" customWidth="1"/>
    <col min="4" max="4" width="12.42578125" bestFit="1" customWidth="1"/>
    <col min="5" max="5" width="12.85546875" bestFit="1" customWidth="1"/>
    <col min="6" max="6" width="12.42578125" bestFit="1" customWidth="1"/>
    <col min="7" max="8" width="12.85546875" bestFit="1" customWidth="1"/>
    <col min="9" max="9" width="12.42578125" bestFit="1" customWidth="1"/>
    <col min="10" max="11" width="12.85546875" bestFit="1" customWidth="1"/>
    <col min="12" max="13" width="11.42578125" bestFit="1" customWidth="1"/>
    <col min="14" max="14" width="10.7109375" bestFit="1" customWidth="1"/>
  </cols>
  <sheetData>
    <row r="1" spans="1:14" ht="13.5" thickBot="1" x14ac:dyDescent="0.25">
      <c r="A1" s="66"/>
      <c r="B1" s="67" t="s">
        <v>105</v>
      </c>
      <c r="C1" s="68">
        <v>1</v>
      </c>
      <c r="D1" s="68">
        <v>2</v>
      </c>
      <c r="E1" s="68">
        <v>3</v>
      </c>
      <c r="F1" s="68">
        <v>4</v>
      </c>
      <c r="G1" s="68">
        <v>5</v>
      </c>
      <c r="H1" s="68">
        <v>6</v>
      </c>
      <c r="I1" s="68">
        <v>7</v>
      </c>
      <c r="J1" s="68">
        <v>8</v>
      </c>
      <c r="K1" s="68">
        <v>9</v>
      </c>
      <c r="L1" s="69"/>
      <c r="M1" s="191"/>
    </row>
    <row r="2" spans="1:14" ht="48" thickBot="1" x14ac:dyDescent="0.3">
      <c r="A2" s="32" t="s">
        <v>69</v>
      </c>
      <c r="B2" s="25" t="s">
        <v>66</v>
      </c>
      <c r="C2" s="65">
        <v>45172</v>
      </c>
      <c r="D2" s="65">
        <f>C2+7</f>
        <v>45179</v>
      </c>
      <c r="E2" s="65">
        <f t="shared" ref="E2:K2" si="0">D2+7</f>
        <v>45186</v>
      </c>
      <c r="F2" s="65">
        <f t="shared" si="0"/>
        <v>45193</v>
      </c>
      <c r="G2" s="65">
        <f t="shared" si="0"/>
        <v>45200</v>
      </c>
      <c r="H2" s="65">
        <f t="shared" si="0"/>
        <v>45207</v>
      </c>
      <c r="I2" s="65">
        <f t="shared" si="0"/>
        <v>45214</v>
      </c>
      <c r="J2" s="65">
        <f t="shared" si="0"/>
        <v>45221</v>
      </c>
      <c r="K2" s="65">
        <f t="shared" si="0"/>
        <v>45228</v>
      </c>
      <c r="L2" s="188" t="s">
        <v>103</v>
      </c>
      <c r="M2" s="189" t="s">
        <v>104</v>
      </c>
      <c r="N2" s="190" t="s">
        <v>150</v>
      </c>
    </row>
    <row r="3" spans="1:14" ht="18" customHeight="1" x14ac:dyDescent="0.25">
      <c r="A3" s="223" t="s">
        <v>70</v>
      </c>
      <c r="B3" s="103" t="s">
        <v>114</v>
      </c>
      <c r="C3" s="104" t="s">
        <v>132</v>
      </c>
      <c r="D3" s="104" t="s">
        <v>133</v>
      </c>
      <c r="E3" s="104" t="s">
        <v>133</v>
      </c>
      <c r="F3" s="104" t="s">
        <v>132</v>
      </c>
      <c r="G3" s="104" t="s">
        <v>133</v>
      </c>
      <c r="H3" s="104" t="s">
        <v>132</v>
      </c>
      <c r="I3" s="104" t="s">
        <v>133</v>
      </c>
      <c r="J3" s="104" t="s">
        <v>133</v>
      </c>
      <c r="K3" s="104" t="s">
        <v>133</v>
      </c>
      <c r="L3" s="48">
        <f t="shared" ref="L3:L16" si="1">COUNTIF(C3:K3,"Available")</f>
        <v>6</v>
      </c>
      <c r="M3" s="181">
        <f>COUNT(C2:$K$2)</f>
        <v>9</v>
      </c>
      <c r="N3" s="183">
        <f>L3/M3</f>
        <v>0.66666666666666663</v>
      </c>
    </row>
    <row r="4" spans="1:14" ht="18" customHeight="1" x14ac:dyDescent="0.25">
      <c r="A4" s="224"/>
      <c r="B4" s="25" t="s">
        <v>115</v>
      </c>
      <c r="C4" s="104" t="s">
        <v>132</v>
      </c>
      <c r="D4" s="104" t="s">
        <v>133</v>
      </c>
      <c r="E4" s="104" t="s">
        <v>132</v>
      </c>
      <c r="F4" s="104" t="s">
        <v>133</v>
      </c>
      <c r="G4" s="104" t="s">
        <v>133</v>
      </c>
      <c r="H4" s="104" t="s">
        <v>132</v>
      </c>
      <c r="I4" s="104" t="s">
        <v>133</v>
      </c>
      <c r="J4" s="104" t="s">
        <v>133</v>
      </c>
      <c r="K4" s="104" t="s">
        <v>133</v>
      </c>
      <c r="L4" s="48">
        <f t="shared" si="1"/>
        <v>6</v>
      </c>
      <c r="M4" s="181">
        <f>COUNT(C$2:$K3)</f>
        <v>9</v>
      </c>
      <c r="N4" s="183">
        <f t="shared" ref="N4:N16" si="2">L4/M4</f>
        <v>0.66666666666666663</v>
      </c>
    </row>
    <row r="5" spans="1:14" ht="18" customHeight="1" x14ac:dyDescent="0.25">
      <c r="A5" s="224"/>
      <c r="B5" s="25" t="s">
        <v>127</v>
      </c>
      <c r="C5" s="104" t="s">
        <v>132</v>
      </c>
      <c r="D5" s="104" t="s">
        <v>133</v>
      </c>
      <c r="E5" s="104" t="s">
        <v>133</v>
      </c>
      <c r="F5" s="104" t="s">
        <v>132</v>
      </c>
      <c r="G5" s="104" t="s">
        <v>132</v>
      </c>
      <c r="H5" s="104" t="s">
        <v>133</v>
      </c>
      <c r="I5" s="104" t="s">
        <v>132</v>
      </c>
      <c r="J5" s="104" t="s">
        <v>132</v>
      </c>
      <c r="K5" s="104" t="s">
        <v>132</v>
      </c>
      <c r="L5" s="48">
        <f t="shared" si="1"/>
        <v>3</v>
      </c>
      <c r="M5" s="181">
        <f>COUNT(C$2:$K4)</f>
        <v>9</v>
      </c>
      <c r="N5" s="183">
        <f t="shared" si="2"/>
        <v>0.33333333333333331</v>
      </c>
    </row>
    <row r="6" spans="1:14" ht="18" customHeight="1" x14ac:dyDescent="0.25">
      <c r="A6" s="224"/>
      <c r="B6" s="25" t="s">
        <v>116</v>
      </c>
      <c r="C6" s="104" t="s">
        <v>133</v>
      </c>
      <c r="D6" s="104" t="s">
        <v>132</v>
      </c>
      <c r="E6" s="104" t="s">
        <v>133</v>
      </c>
      <c r="F6" s="104" t="s">
        <v>133</v>
      </c>
      <c r="G6" s="104" t="s">
        <v>133</v>
      </c>
      <c r="H6" s="104" t="s">
        <v>133</v>
      </c>
      <c r="I6" s="104" t="s">
        <v>133</v>
      </c>
      <c r="J6" s="104" t="s">
        <v>133</v>
      </c>
      <c r="K6" s="104" t="s">
        <v>133</v>
      </c>
      <c r="L6" s="48">
        <f t="shared" si="1"/>
        <v>8</v>
      </c>
      <c r="M6" s="181">
        <f>COUNT(C$2:$K5)</f>
        <v>9</v>
      </c>
      <c r="N6" s="183">
        <f t="shared" si="2"/>
        <v>0.88888888888888884</v>
      </c>
    </row>
    <row r="7" spans="1:14" ht="18" customHeight="1" x14ac:dyDescent="0.25">
      <c r="A7" s="224"/>
      <c r="B7" s="25" t="s">
        <v>118</v>
      </c>
      <c r="C7" s="104" t="s">
        <v>133</v>
      </c>
      <c r="D7" s="104" t="s">
        <v>132</v>
      </c>
      <c r="E7" s="104" t="s">
        <v>132</v>
      </c>
      <c r="F7" s="104" t="s">
        <v>132</v>
      </c>
      <c r="G7" s="104" t="s">
        <v>133</v>
      </c>
      <c r="H7" s="104" t="s">
        <v>133</v>
      </c>
      <c r="I7" s="104" t="s">
        <v>132</v>
      </c>
      <c r="J7" s="104" t="s">
        <v>132</v>
      </c>
      <c r="K7" s="104" t="s">
        <v>132</v>
      </c>
      <c r="L7" s="48">
        <f t="shared" si="1"/>
        <v>3</v>
      </c>
      <c r="M7" s="181">
        <f>COUNT(C$2:$K6)</f>
        <v>9</v>
      </c>
      <c r="N7" s="183">
        <f t="shared" si="2"/>
        <v>0.33333333333333331</v>
      </c>
    </row>
    <row r="8" spans="1:14" ht="18" x14ac:dyDescent="0.25">
      <c r="A8" s="225"/>
      <c r="B8" s="25" t="s">
        <v>117</v>
      </c>
      <c r="C8" s="104" t="s">
        <v>132</v>
      </c>
      <c r="D8" s="104" t="s">
        <v>133</v>
      </c>
      <c r="E8" s="104" t="s">
        <v>133</v>
      </c>
      <c r="F8" s="104" t="s">
        <v>133</v>
      </c>
      <c r="G8" s="104" t="s">
        <v>132</v>
      </c>
      <c r="H8" s="104" t="s">
        <v>132</v>
      </c>
      <c r="I8" s="104" t="s">
        <v>133</v>
      </c>
      <c r="J8" s="104" t="s">
        <v>132</v>
      </c>
      <c r="K8" s="104" t="s">
        <v>133</v>
      </c>
      <c r="L8" s="48">
        <f t="shared" si="1"/>
        <v>5</v>
      </c>
      <c r="M8" s="181">
        <f>COUNT(C$2:$K7)</f>
        <v>9</v>
      </c>
      <c r="N8" s="183">
        <f t="shared" si="2"/>
        <v>0.55555555555555558</v>
      </c>
    </row>
    <row r="9" spans="1:14" ht="18.75" thickBot="1" x14ac:dyDescent="0.3">
      <c r="A9" s="226"/>
      <c r="B9" s="63" t="s">
        <v>119</v>
      </c>
      <c r="C9" s="105" t="s">
        <v>133</v>
      </c>
      <c r="D9" s="105" t="s">
        <v>132</v>
      </c>
      <c r="E9" s="105" t="s">
        <v>133</v>
      </c>
      <c r="F9" s="105" t="s">
        <v>132</v>
      </c>
      <c r="G9" s="105" t="s">
        <v>132</v>
      </c>
      <c r="H9" s="105" t="s">
        <v>133</v>
      </c>
      <c r="I9" s="105" t="s">
        <v>132</v>
      </c>
      <c r="J9" s="105" t="s">
        <v>132</v>
      </c>
      <c r="K9" s="105" t="s">
        <v>132</v>
      </c>
      <c r="L9" s="70">
        <f t="shared" si="1"/>
        <v>3</v>
      </c>
      <c r="M9" s="181">
        <f>COUNT(C$2:$K8)</f>
        <v>9</v>
      </c>
      <c r="N9" s="183">
        <f t="shared" si="2"/>
        <v>0.33333333333333331</v>
      </c>
    </row>
    <row r="10" spans="1:14" ht="18" x14ac:dyDescent="0.25">
      <c r="A10" s="227" t="s">
        <v>71</v>
      </c>
      <c r="B10" s="106" t="s">
        <v>120</v>
      </c>
      <c r="C10" s="107" t="s">
        <v>133</v>
      </c>
      <c r="D10" s="107" t="s">
        <v>132</v>
      </c>
      <c r="E10" s="107" t="s">
        <v>133</v>
      </c>
      <c r="F10" s="107" t="s">
        <v>132</v>
      </c>
      <c r="G10" s="107" t="s">
        <v>133</v>
      </c>
      <c r="H10" s="107" t="s">
        <v>133</v>
      </c>
      <c r="I10" s="107" t="s">
        <v>132</v>
      </c>
      <c r="J10" s="107" t="s">
        <v>133</v>
      </c>
      <c r="K10" s="107" t="s">
        <v>132</v>
      </c>
      <c r="L10" s="108">
        <f t="shared" si="1"/>
        <v>5</v>
      </c>
      <c r="M10" s="181">
        <f>COUNT(C$2:$K9)</f>
        <v>9</v>
      </c>
      <c r="N10" s="183">
        <f t="shared" si="2"/>
        <v>0.55555555555555558</v>
      </c>
    </row>
    <row r="11" spans="1:14" ht="18" x14ac:dyDescent="0.25">
      <c r="A11" s="228"/>
      <c r="B11" s="25" t="s">
        <v>121</v>
      </c>
      <c r="C11" s="104" t="s">
        <v>133</v>
      </c>
      <c r="D11" s="104" t="s">
        <v>132</v>
      </c>
      <c r="E11" s="104" t="s">
        <v>132</v>
      </c>
      <c r="F11" s="104" t="s">
        <v>132</v>
      </c>
      <c r="G11" s="104" t="s">
        <v>132</v>
      </c>
      <c r="H11" s="104" t="s">
        <v>132</v>
      </c>
      <c r="I11" s="104" t="s">
        <v>132</v>
      </c>
      <c r="J11" s="104" t="s">
        <v>132</v>
      </c>
      <c r="K11" s="104" t="s">
        <v>132</v>
      </c>
      <c r="L11" s="48">
        <f t="shared" si="1"/>
        <v>1</v>
      </c>
      <c r="M11" s="181">
        <f>COUNT(C$2:$K10)</f>
        <v>9</v>
      </c>
      <c r="N11" s="183">
        <f t="shared" si="2"/>
        <v>0.1111111111111111</v>
      </c>
    </row>
    <row r="12" spans="1:14" ht="18" x14ac:dyDescent="0.25">
      <c r="A12" s="228"/>
      <c r="B12" s="25" t="s">
        <v>122</v>
      </c>
      <c r="C12" s="104" t="s">
        <v>133</v>
      </c>
      <c r="D12" s="104" t="s">
        <v>132</v>
      </c>
      <c r="E12" s="104" t="s">
        <v>132</v>
      </c>
      <c r="F12" s="104" t="s">
        <v>132</v>
      </c>
      <c r="G12" s="104" t="s">
        <v>133</v>
      </c>
      <c r="H12" s="104" t="s">
        <v>132</v>
      </c>
      <c r="I12" s="104" t="s">
        <v>132</v>
      </c>
      <c r="J12" s="104" t="s">
        <v>132</v>
      </c>
      <c r="K12" s="104" t="s">
        <v>132</v>
      </c>
      <c r="L12" s="48">
        <f t="shared" si="1"/>
        <v>2</v>
      </c>
      <c r="M12" s="181">
        <f>COUNT(C$2:$K11)</f>
        <v>9</v>
      </c>
      <c r="N12" s="183">
        <f t="shared" si="2"/>
        <v>0.22222222222222221</v>
      </c>
    </row>
    <row r="13" spans="1:14" ht="18" x14ac:dyDescent="0.25">
      <c r="A13" s="228"/>
      <c r="B13" s="25" t="s">
        <v>135</v>
      </c>
      <c r="C13" s="104" t="s">
        <v>132</v>
      </c>
      <c r="D13" s="104" t="s">
        <v>132</v>
      </c>
      <c r="E13" s="104" t="s">
        <v>133</v>
      </c>
      <c r="F13" s="104" t="s">
        <v>132</v>
      </c>
      <c r="G13" s="104" t="s">
        <v>133</v>
      </c>
      <c r="H13" s="104" t="s">
        <v>132</v>
      </c>
      <c r="I13" s="104" t="s">
        <v>133</v>
      </c>
      <c r="J13" s="104" t="s">
        <v>132</v>
      </c>
      <c r="K13" s="104" t="s">
        <v>132</v>
      </c>
      <c r="L13" s="48">
        <f t="shared" si="1"/>
        <v>3</v>
      </c>
      <c r="M13" s="181">
        <f>COUNT(C$2:$K12)</f>
        <v>9</v>
      </c>
      <c r="N13" s="183">
        <f t="shared" si="2"/>
        <v>0.33333333333333331</v>
      </c>
    </row>
    <row r="14" spans="1:14" ht="18" x14ac:dyDescent="0.25">
      <c r="A14" s="228"/>
      <c r="B14" s="25" t="s">
        <v>123</v>
      </c>
      <c r="C14" s="104" t="s">
        <v>132</v>
      </c>
      <c r="D14" s="104" t="s">
        <v>132</v>
      </c>
      <c r="E14" s="104" t="s">
        <v>133</v>
      </c>
      <c r="F14" s="104" t="s">
        <v>132</v>
      </c>
      <c r="G14" s="104" t="s">
        <v>132</v>
      </c>
      <c r="H14" s="104" t="s">
        <v>133</v>
      </c>
      <c r="I14" s="104" t="s">
        <v>133</v>
      </c>
      <c r="J14" s="104" t="s">
        <v>132</v>
      </c>
      <c r="K14" s="104" t="s">
        <v>132</v>
      </c>
      <c r="L14" s="48">
        <f t="shared" si="1"/>
        <v>3</v>
      </c>
      <c r="M14" s="181">
        <f>COUNT(C$2:$K13)</f>
        <v>9</v>
      </c>
      <c r="N14" s="183">
        <f t="shared" si="2"/>
        <v>0.33333333333333331</v>
      </c>
    </row>
    <row r="15" spans="1:14" ht="18" x14ac:dyDescent="0.25">
      <c r="A15" s="229"/>
      <c r="B15" s="25" t="s">
        <v>124</v>
      </c>
      <c r="C15" s="104" t="s">
        <v>133</v>
      </c>
      <c r="D15" s="104" t="s">
        <v>133</v>
      </c>
      <c r="E15" s="104" t="s">
        <v>133</v>
      </c>
      <c r="F15" s="104" t="s">
        <v>132</v>
      </c>
      <c r="G15" s="104" t="s">
        <v>133</v>
      </c>
      <c r="H15" s="104" t="s">
        <v>132</v>
      </c>
      <c r="I15" s="104" t="s">
        <v>132</v>
      </c>
      <c r="J15" s="104" t="s">
        <v>132</v>
      </c>
      <c r="K15" s="104" t="s">
        <v>132</v>
      </c>
      <c r="L15" s="48">
        <f t="shared" si="1"/>
        <v>4</v>
      </c>
      <c r="M15" s="181">
        <f>COUNT(C$2:$K14)</f>
        <v>9</v>
      </c>
      <c r="N15" s="183">
        <f t="shared" si="2"/>
        <v>0.44444444444444442</v>
      </c>
    </row>
    <row r="16" spans="1:14" ht="18.75" thickBot="1" x14ac:dyDescent="0.3">
      <c r="A16" s="230"/>
      <c r="B16" s="25" t="s">
        <v>125</v>
      </c>
      <c r="C16" s="105" t="s">
        <v>132</v>
      </c>
      <c r="D16" s="105" t="s">
        <v>133</v>
      </c>
      <c r="E16" s="105" t="s">
        <v>133</v>
      </c>
      <c r="F16" s="105" t="s">
        <v>132</v>
      </c>
      <c r="G16" s="105" t="s">
        <v>133</v>
      </c>
      <c r="H16" s="105" t="s">
        <v>132</v>
      </c>
      <c r="I16" s="105" t="s">
        <v>132</v>
      </c>
      <c r="J16" s="105" t="s">
        <v>132</v>
      </c>
      <c r="K16" s="105" t="s">
        <v>132</v>
      </c>
      <c r="L16" s="70">
        <f t="shared" si="1"/>
        <v>3</v>
      </c>
      <c r="M16" s="182">
        <f>COUNT(C$2:$K15)</f>
        <v>9</v>
      </c>
      <c r="N16" s="183">
        <f t="shared" si="2"/>
        <v>0.33333333333333331</v>
      </c>
    </row>
    <row r="53" spans="6:6" x14ac:dyDescent="0.2">
      <c r="F53" s="44"/>
    </row>
    <row r="54" spans="6:6" x14ac:dyDescent="0.2">
      <c r="F54" s="44"/>
    </row>
  </sheetData>
  <mergeCells count="2">
    <mergeCell ref="A3:A9"/>
    <mergeCell ref="A10:A16"/>
  </mergeCells>
  <conditionalFormatting sqref="C3:K16">
    <cfRule type="cellIs" dxfId="12" priority="6" operator="equal">
      <formula>"Available"</formula>
    </cfRule>
    <cfRule type="cellIs" dxfId="11" priority="7" operator="equal">
      <formula>"Unavailable"</formula>
    </cfRule>
  </conditionalFormatting>
  <conditionalFormatting sqref="N3:N16">
    <cfRule type="cellIs" dxfId="10" priority="1" operator="lessThan">
      <formula>0.5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X55"/>
  <sheetViews>
    <sheetView zoomScale="95" zoomScaleNormal="95" workbookViewId="0">
      <selection activeCell="X23" sqref="X23:X26"/>
    </sheetView>
  </sheetViews>
  <sheetFormatPr defaultRowHeight="12.75" x14ac:dyDescent="0.2"/>
  <cols>
    <col min="1" max="1" width="3.28515625" style="71" bestFit="1" customWidth="1"/>
    <col min="2" max="2" width="17.28515625" style="71" bestFit="1" customWidth="1"/>
    <col min="3" max="3" width="3.28515625" style="71" customWidth="1"/>
    <col min="4" max="4" width="6.5703125" style="71" customWidth="1"/>
    <col min="5" max="6" width="6.28515625" style="71" customWidth="1"/>
    <col min="7" max="7" width="3.7109375" customWidth="1"/>
    <col min="8" max="8" width="21.42578125" bestFit="1" customWidth="1"/>
    <col min="9" max="9" width="2.5703125" customWidth="1"/>
    <col min="10" max="10" width="5" bestFit="1" customWidth="1"/>
    <col min="11" max="11" width="3.285156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29.85546875" customWidth="1"/>
    <col min="17" max="17" width="2.7109375" customWidth="1"/>
    <col min="18" max="18" width="4.85546875" bestFit="1" customWidth="1"/>
    <col min="19" max="19" width="2.42578125" customWidth="1"/>
    <col min="20" max="20" width="4.85546875" bestFit="1" customWidth="1"/>
    <col min="21" max="21" width="2.42578125" customWidth="1"/>
    <col min="22" max="22" width="4.85546875" bestFit="1" customWidth="1"/>
    <col min="23" max="23" width="9" customWidth="1"/>
    <col min="24" max="24" width="26.7109375" customWidth="1"/>
  </cols>
  <sheetData>
    <row r="2" spans="1:24" x14ac:dyDescent="0.2">
      <c r="A2"/>
      <c r="B2" s="6" t="s">
        <v>147</v>
      </c>
      <c r="C2" s="6"/>
      <c r="D2" s="6"/>
      <c r="E2" s="6"/>
      <c r="F2"/>
      <c r="H2" s="6" t="s">
        <v>22</v>
      </c>
      <c r="J2" s="6" t="s">
        <v>19</v>
      </c>
      <c r="L2" s="6" t="s">
        <v>20</v>
      </c>
      <c r="N2" s="6" t="s">
        <v>21</v>
      </c>
      <c r="P2" s="6" t="s">
        <v>23</v>
      </c>
      <c r="R2" s="6" t="s">
        <v>19</v>
      </c>
      <c r="S2" s="6"/>
      <c r="T2" s="6" t="s">
        <v>20</v>
      </c>
      <c r="U2" s="6"/>
      <c r="V2" s="6" t="s">
        <v>21</v>
      </c>
    </row>
    <row r="3" spans="1:24" x14ac:dyDescent="0.2">
      <c r="A3"/>
      <c r="B3"/>
      <c r="C3"/>
      <c r="D3" s="6" t="s">
        <v>145</v>
      </c>
      <c r="E3" s="6" t="s">
        <v>146</v>
      </c>
      <c r="F3" s="6" t="s">
        <v>21</v>
      </c>
      <c r="H3" s="6"/>
      <c r="J3" s="6"/>
      <c r="L3" s="6"/>
      <c r="N3" s="6"/>
      <c r="P3" s="6"/>
      <c r="R3" s="6"/>
      <c r="S3" s="6"/>
      <c r="T3" s="6"/>
      <c r="U3" s="6"/>
      <c r="V3" s="6"/>
    </row>
    <row r="4" spans="1:24" ht="13.5" customHeight="1" thickBot="1" x14ac:dyDescent="0.25">
      <c r="A4"/>
      <c r="B4"/>
      <c r="C4"/>
      <c r="D4"/>
      <c r="E4"/>
      <c r="F4"/>
      <c r="H4" s="19"/>
      <c r="I4" s="19"/>
    </row>
    <row r="5" spans="1:24" ht="12.75" customHeight="1" thickBot="1" x14ac:dyDescent="0.25">
      <c r="A5" t="s">
        <v>137</v>
      </c>
      <c r="B5" s="154" t="str">
        <f>'Group A'!K3</f>
        <v>Deepesh / Saif</v>
      </c>
      <c r="C5"/>
      <c r="D5" s="4">
        <v>21</v>
      </c>
      <c r="E5" s="4">
        <v>21</v>
      </c>
      <c r="F5" s="4">
        <v>11</v>
      </c>
      <c r="H5" s="243" t="s">
        <v>123</v>
      </c>
      <c r="I5" s="19"/>
      <c r="J5" s="240">
        <v>11</v>
      </c>
      <c r="L5" s="240">
        <v>21</v>
      </c>
      <c r="N5" s="240">
        <v>21</v>
      </c>
    </row>
    <row r="6" spans="1:24" ht="13.5" customHeight="1" thickBot="1" x14ac:dyDescent="0.25">
      <c r="A6"/>
      <c r="B6" s="192">
        <v>45242</v>
      </c>
      <c r="C6" s="155"/>
      <c r="D6" s="155"/>
      <c r="E6" s="155"/>
      <c r="F6" s="155"/>
      <c r="G6" s="155"/>
      <c r="H6" s="244"/>
      <c r="I6" s="19"/>
      <c r="J6" s="241"/>
      <c r="L6" s="241"/>
      <c r="N6" s="241"/>
      <c r="P6" s="20"/>
      <c r="Q6" s="20"/>
    </row>
    <row r="7" spans="1:24" ht="13.5" customHeight="1" thickBot="1" x14ac:dyDescent="0.25">
      <c r="A7" t="s">
        <v>138</v>
      </c>
      <c r="B7" s="154" t="str">
        <f>'Group B'!K6</f>
        <v>Farooq S / Vasu</v>
      </c>
      <c r="C7"/>
      <c r="D7" s="4">
        <v>16</v>
      </c>
      <c r="E7" s="4">
        <v>23</v>
      </c>
      <c r="F7" s="4">
        <v>21</v>
      </c>
      <c r="H7" s="245"/>
      <c r="I7" s="19"/>
      <c r="J7" s="242"/>
      <c r="L7" s="242"/>
      <c r="N7" s="242"/>
      <c r="P7" s="246" t="str">
        <f>IF(J5+L5+N5&gt;0,IF(J5+L5+N5&gt;J11+L11+N11, H5,H11),"")</f>
        <v>Farooq S / Vasu</v>
      </c>
      <c r="Q7" s="20"/>
      <c r="R7" s="231">
        <v>20</v>
      </c>
      <c r="T7" s="231">
        <v>21</v>
      </c>
      <c r="V7" s="234"/>
    </row>
    <row r="8" spans="1:24" ht="13.5" customHeight="1" thickBot="1" x14ac:dyDescent="0.25">
      <c r="A8"/>
      <c r="B8"/>
      <c r="C8"/>
      <c r="D8"/>
      <c r="E8"/>
      <c r="F8"/>
      <c r="I8" s="19"/>
      <c r="P8" s="247"/>
      <c r="Q8" s="20"/>
      <c r="R8" s="232"/>
      <c r="T8" s="232"/>
      <c r="V8" s="235"/>
    </row>
    <row r="9" spans="1:24" ht="13.5" customHeight="1" thickBot="1" x14ac:dyDescent="0.25">
      <c r="A9"/>
      <c r="B9"/>
      <c r="C9"/>
      <c r="D9"/>
      <c r="E9"/>
      <c r="F9"/>
      <c r="H9" s="21">
        <v>45298</v>
      </c>
      <c r="I9" s="19"/>
      <c r="J9" s="19"/>
      <c r="K9" s="19"/>
      <c r="L9" s="19"/>
      <c r="M9" s="19"/>
      <c r="N9" s="19"/>
      <c r="O9" s="19"/>
      <c r="P9" s="247"/>
      <c r="Q9" s="20"/>
      <c r="R9" s="232"/>
      <c r="T9" s="232"/>
      <c r="V9" s="235"/>
    </row>
    <row r="10" spans="1:24" ht="18" customHeight="1" thickBot="1" x14ac:dyDescent="0.25">
      <c r="A10"/>
      <c r="B10"/>
      <c r="C10"/>
      <c r="D10"/>
      <c r="E10"/>
      <c r="F10"/>
      <c r="I10" s="19"/>
      <c r="P10" s="247"/>
      <c r="Q10" s="20"/>
      <c r="R10" s="232"/>
      <c r="T10" s="232"/>
      <c r="V10" s="235"/>
    </row>
    <row r="11" spans="1:24" ht="18.75" customHeight="1" thickBot="1" x14ac:dyDescent="0.4">
      <c r="A11" t="s">
        <v>139</v>
      </c>
      <c r="B11" s="154" t="str">
        <f>'Group B'!K4</f>
        <v>Yogi / Purvaiz</v>
      </c>
      <c r="C11"/>
      <c r="D11" s="4">
        <v>21</v>
      </c>
      <c r="E11" s="4">
        <v>18</v>
      </c>
      <c r="F11" s="4">
        <v>13</v>
      </c>
      <c r="H11" s="237" t="s">
        <v>117</v>
      </c>
      <c r="I11" s="19"/>
      <c r="J11" s="240">
        <v>21</v>
      </c>
      <c r="L11" s="240">
        <v>16</v>
      </c>
      <c r="N11" s="240">
        <v>11</v>
      </c>
      <c r="P11" s="248"/>
      <c r="Q11" s="20"/>
      <c r="R11" s="233"/>
      <c r="T11" s="233"/>
      <c r="V11" s="236"/>
      <c r="X11" s="22" t="s">
        <v>2</v>
      </c>
    </row>
    <row r="12" spans="1:24" ht="12.75" customHeight="1" thickBot="1" x14ac:dyDescent="0.25">
      <c r="A12"/>
      <c r="B12" s="192">
        <v>45242</v>
      </c>
      <c r="C12" s="155"/>
      <c r="D12" s="155"/>
      <c r="E12" s="155"/>
      <c r="F12" s="155"/>
      <c r="G12" s="155"/>
      <c r="H12" s="238"/>
      <c r="I12" s="19"/>
      <c r="J12" s="241"/>
      <c r="L12" s="241"/>
      <c r="N12" s="241"/>
      <c r="Q12" s="20"/>
    </row>
    <row r="13" spans="1:24" ht="12.75" customHeight="1" thickBot="1" x14ac:dyDescent="0.25">
      <c r="A13" t="s">
        <v>140</v>
      </c>
      <c r="B13" s="154" t="str">
        <f>'Group A'!K5</f>
        <v>Kalyan / Umar</v>
      </c>
      <c r="C13"/>
      <c r="D13" s="4">
        <v>18</v>
      </c>
      <c r="E13" s="4">
        <v>21</v>
      </c>
      <c r="F13" s="4">
        <v>21</v>
      </c>
      <c r="H13" s="239"/>
      <c r="I13" s="19"/>
      <c r="J13" s="242"/>
      <c r="L13" s="242"/>
      <c r="N13" s="242"/>
      <c r="Q13" s="20"/>
      <c r="X13" s="249" t="str">
        <f>IF(R7+T7+V7&gt;0,IF(R7+T7+V7&gt;R19+T19+V19, P7,P19),"")</f>
        <v>Thomas / Shreya</v>
      </c>
    </row>
    <row r="14" spans="1:24" ht="12.75" customHeight="1" thickBot="1" x14ac:dyDescent="0.25">
      <c r="A14"/>
      <c r="B14"/>
      <c r="C14"/>
      <c r="D14"/>
      <c r="E14"/>
      <c r="F14"/>
      <c r="H14" s="19"/>
      <c r="I14" s="19"/>
      <c r="Q14" s="20"/>
      <c r="X14" s="250"/>
    </row>
    <row r="15" spans="1:24" ht="12.75" customHeight="1" thickBot="1" x14ac:dyDescent="0.25">
      <c r="A15"/>
      <c r="B15"/>
      <c r="C15"/>
      <c r="D15"/>
      <c r="E15"/>
      <c r="F15"/>
      <c r="P15" s="21">
        <v>45332</v>
      </c>
      <c r="Q15" s="20"/>
      <c r="R15" s="20"/>
      <c r="S15" s="20"/>
      <c r="T15" s="20"/>
      <c r="U15" s="20"/>
      <c r="V15" s="20"/>
      <c r="W15" s="20"/>
      <c r="X15" s="250"/>
    </row>
    <row r="16" spans="1:24" ht="12.75" customHeight="1" thickBot="1" x14ac:dyDescent="0.25">
      <c r="A16"/>
      <c r="B16"/>
      <c r="C16"/>
      <c r="D16"/>
      <c r="E16"/>
      <c r="F16"/>
      <c r="H16" s="19"/>
      <c r="I16" s="19"/>
      <c r="Q16" s="20"/>
      <c r="X16" s="250"/>
    </row>
    <row r="17" spans="1:24" ht="13.5" customHeight="1" thickBot="1" x14ac:dyDescent="0.25">
      <c r="A17" t="s">
        <v>141</v>
      </c>
      <c r="B17" s="154" t="str">
        <f>'Group B'!K3</f>
        <v>Rahul J / Waqas</v>
      </c>
      <c r="C17"/>
      <c r="D17" s="4">
        <v>14</v>
      </c>
      <c r="E17" s="4">
        <v>21</v>
      </c>
      <c r="F17" s="4">
        <v>21</v>
      </c>
      <c r="H17" s="237" t="s">
        <v>122</v>
      </c>
      <c r="I17" s="19"/>
      <c r="J17" s="240">
        <v>20</v>
      </c>
      <c r="L17" s="240">
        <v>13</v>
      </c>
      <c r="N17" s="240"/>
      <c r="Q17" s="20"/>
      <c r="X17" s="251"/>
    </row>
    <row r="18" spans="1:24" ht="13.5" customHeight="1" thickBot="1" x14ac:dyDescent="0.25">
      <c r="A18"/>
      <c r="B18" s="192">
        <v>45319</v>
      </c>
      <c r="C18" s="155"/>
      <c r="D18" s="155"/>
      <c r="E18" s="155"/>
      <c r="F18" s="155"/>
      <c r="G18" s="155"/>
      <c r="H18" s="238"/>
      <c r="I18" s="19"/>
      <c r="J18" s="241"/>
      <c r="L18" s="241"/>
      <c r="N18" s="241"/>
      <c r="Q18" s="20"/>
    </row>
    <row r="19" spans="1:24" ht="12.75" customHeight="1" thickBot="1" x14ac:dyDescent="0.25">
      <c r="A19" t="s">
        <v>142</v>
      </c>
      <c r="B19" s="154" t="str">
        <f>'Group A'!K6</f>
        <v>Santosh / Vishal</v>
      </c>
      <c r="C19"/>
      <c r="D19" s="4">
        <v>21</v>
      </c>
      <c r="E19" s="4">
        <v>19</v>
      </c>
      <c r="F19" s="4">
        <v>16</v>
      </c>
      <c r="H19" s="239"/>
      <c r="I19" s="19"/>
      <c r="J19" s="242"/>
      <c r="L19" s="242"/>
      <c r="N19" s="242"/>
      <c r="P19" s="246" t="str">
        <f>IF(J17+L17+N17&gt;0,IF(J17+L17+N17&gt;J23+L23+N23, H17,H23),"")</f>
        <v>Thomas / Shreya</v>
      </c>
      <c r="Q19" s="20"/>
      <c r="R19" s="231">
        <v>22</v>
      </c>
      <c r="T19" s="231">
        <v>23</v>
      </c>
      <c r="V19" s="234"/>
    </row>
    <row r="20" spans="1:24" ht="13.5" customHeight="1" thickBot="1" x14ac:dyDescent="0.25">
      <c r="A20"/>
      <c r="B20"/>
      <c r="C20"/>
      <c r="D20"/>
      <c r="E20"/>
      <c r="F20"/>
      <c r="I20" s="19"/>
      <c r="P20" s="247"/>
      <c r="Q20" s="20"/>
      <c r="R20" s="232"/>
      <c r="T20" s="232"/>
      <c r="V20" s="235"/>
    </row>
    <row r="21" spans="1:24" ht="20.25" customHeight="1" thickBot="1" x14ac:dyDescent="0.4">
      <c r="A21"/>
      <c r="B21"/>
      <c r="C21"/>
      <c r="D21"/>
      <c r="E21"/>
      <c r="F21"/>
      <c r="H21" s="21">
        <v>45322</v>
      </c>
      <c r="I21" s="19"/>
      <c r="J21" s="19"/>
      <c r="K21" s="19"/>
      <c r="L21" s="19"/>
      <c r="M21" s="19"/>
      <c r="N21" s="19"/>
      <c r="O21" s="19"/>
      <c r="P21" s="247"/>
      <c r="Q21" s="20"/>
      <c r="R21" s="232"/>
      <c r="T21" s="232"/>
      <c r="V21" s="235"/>
      <c r="X21" s="22" t="s">
        <v>24</v>
      </c>
    </row>
    <row r="22" spans="1:24" ht="13.5" customHeight="1" thickBot="1" x14ac:dyDescent="0.25">
      <c r="A22"/>
      <c r="B22"/>
      <c r="C22"/>
      <c r="D22"/>
      <c r="E22"/>
      <c r="F22"/>
      <c r="I22" s="19"/>
      <c r="P22" s="247"/>
      <c r="Q22" s="20"/>
      <c r="R22" s="232"/>
      <c r="T22" s="232"/>
      <c r="V22" s="235"/>
    </row>
    <row r="23" spans="1:24" ht="13.5" customHeight="1" thickBot="1" x14ac:dyDescent="0.25">
      <c r="A23" t="s">
        <v>143</v>
      </c>
      <c r="B23" s="154" t="str">
        <f>'Group A'!K4</f>
        <v>Thomas / Shreya</v>
      </c>
      <c r="C23"/>
      <c r="D23" s="4">
        <v>21</v>
      </c>
      <c r="E23" s="4">
        <v>21</v>
      </c>
      <c r="F23" s="4"/>
      <c r="H23" s="237" t="s">
        <v>119</v>
      </c>
      <c r="I23" s="19"/>
      <c r="J23" s="240">
        <v>22</v>
      </c>
      <c r="L23" s="240">
        <v>21</v>
      </c>
      <c r="N23" s="240"/>
      <c r="P23" s="248"/>
      <c r="Q23" s="20"/>
      <c r="R23" s="233"/>
      <c r="T23" s="233"/>
      <c r="V23" s="236"/>
      <c r="X23" s="252" t="str">
        <f>P7</f>
        <v>Farooq S / Vasu</v>
      </c>
    </row>
    <row r="24" spans="1:24" ht="12.75" customHeight="1" thickBot="1" x14ac:dyDescent="0.25">
      <c r="A24"/>
      <c r="B24" s="192">
        <v>45238</v>
      </c>
      <c r="C24" s="155"/>
      <c r="D24" s="155"/>
      <c r="E24" s="155"/>
      <c r="F24" s="155"/>
      <c r="G24" s="155"/>
      <c r="H24" s="238"/>
      <c r="I24" s="19"/>
      <c r="J24" s="241"/>
      <c r="L24" s="241"/>
      <c r="N24" s="241"/>
      <c r="P24" s="20"/>
      <c r="Q24" s="20"/>
      <c r="X24" s="253"/>
    </row>
    <row r="25" spans="1:24" ht="12.75" customHeight="1" thickBot="1" x14ac:dyDescent="0.25">
      <c r="A25" t="s">
        <v>144</v>
      </c>
      <c r="B25" s="154" t="str">
        <f>'Group B'!K5</f>
        <v>Sandip / Asim</v>
      </c>
      <c r="C25"/>
      <c r="D25" s="4">
        <v>15</v>
      </c>
      <c r="E25" s="4">
        <v>16</v>
      </c>
      <c r="F25" s="4"/>
      <c r="H25" s="239"/>
      <c r="I25" s="19"/>
      <c r="J25" s="242"/>
      <c r="L25" s="242"/>
      <c r="N25" s="242"/>
      <c r="X25" s="253"/>
    </row>
    <row r="26" spans="1:24" ht="13.5" customHeight="1" x14ac:dyDescent="0.2">
      <c r="A26"/>
      <c r="B26"/>
      <c r="C26"/>
      <c r="D26"/>
      <c r="E26"/>
      <c r="F26"/>
      <c r="H26" s="19"/>
      <c r="I26" s="19"/>
      <c r="X26" s="254"/>
    </row>
    <row r="27" spans="1:24" ht="12.75" customHeight="1" x14ac:dyDescent="0.2">
      <c r="A27"/>
      <c r="B27"/>
      <c r="C27"/>
      <c r="D27"/>
      <c r="E27"/>
      <c r="F27"/>
      <c r="P27" s="6" t="s">
        <v>25</v>
      </c>
    </row>
    <row r="28" spans="1:24" ht="13.5" customHeight="1" thickBot="1" x14ac:dyDescent="0.25">
      <c r="A28"/>
      <c r="B28"/>
      <c r="C28"/>
      <c r="D28"/>
      <c r="E28"/>
      <c r="F28"/>
      <c r="P28" s="23"/>
      <c r="Q28" s="23"/>
    </row>
    <row r="29" spans="1:24" ht="12.75" customHeight="1" thickBot="1" x14ac:dyDescent="0.25">
      <c r="A29"/>
      <c r="B29"/>
      <c r="C29"/>
      <c r="D29"/>
      <c r="E29"/>
      <c r="F29"/>
      <c r="P29" s="255" t="str">
        <f>IF(J5+L5+N5&gt;0,IF(J5+L5+N5&gt;J11+L11+N11, H11,H5),"")</f>
        <v>Kalyan / Umar</v>
      </c>
      <c r="Q29" s="23"/>
      <c r="R29" s="231">
        <v>21</v>
      </c>
      <c r="T29" s="231">
        <v>21</v>
      </c>
      <c r="V29" s="234"/>
    </row>
    <row r="30" spans="1:24" ht="45" customHeight="1" thickBot="1" x14ac:dyDescent="0.4">
      <c r="A30"/>
      <c r="B30" s="193" t="s">
        <v>157</v>
      </c>
      <c r="C30" s="194">
        <f>(P15-B24)/7</f>
        <v>13.428571428571429</v>
      </c>
      <c r="D30"/>
      <c r="E30"/>
      <c r="F30"/>
      <c r="P30" s="256"/>
      <c r="Q30" s="23"/>
      <c r="R30" s="232"/>
      <c r="T30" s="232"/>
      <c r="V30" s="235"/>
      <c r="X30" s="22" t="s">
        <v>26</v>
      </c>
    </row>
    <row r="31" spans="1:24" ht="12.75" customHeight="1" x14ac:dyDescent="0.2">
      <c r="A31"/>
      <c r="B31"/>
      <c r="C31"/>
      <c r="D31"/>
      <c r="E31"/>
      <c r="F31"/>
      <c r="P31" s="256"/>
      <c r="Q31" s="23"/>
      <c r="R31" s="232"/>
      <c r="T31" s="232"/>
      <c r="V31" s="235"/>
    </row>
    <row r="32" spans="1:24" ht="13.5" customHeight="1" thickBot="1" x14ac:dyDescent="0.25">
      <c r="A32"/>
      <c r="B32"/>
      <c r="C32"/>
      <c r="D32"/>
      <c r="E32"/>
      <c r="F32"/>
      <c r="P32" s="257"/>
      <c r="Q32" s="23"/>
      <c r="R32" s="233"/>
      <c r="T32" s="233"/>
      <c r="V32" s="236"/>
      <c r="X32" s="258" t="str">
        <f>IF(R29+T29+V29&gt;0,IF(R29+T29+V29&gt;R36+T36+V36, P29,P36),"")</f>
        <v>Kalyan / Umar</v>
      </c>
    </row>
    <row r="33" spans="1:24" ht="12.75" customHeight="1" thickBot="1" x14ac:dyDescent="0.25">
      <c r="A33"/>
      <c r="B33"/>
      <c r="C33"/>
      <c r="D33"/>
      <c r="E33"/>
      <c r="F33"/>
      <c r="Q33" s="23"/>
      <c r="X33" s="259"/>
    </row>
    <row r="34" spans="1:24" ht="12.75" customHeight="1" thickBot="1" x14ac:dyDescent="0.25">
      <c r="A34"/>
      <c r="B34"/>
      <c r="C34"/>
      <c r="D34"/>
      <c r="E34"/>
      <c r="F34"/>
      <c r="P34" s="21">
        <v>45340</v>
      </c>
      <c r="Q34" s="23"/>
      <c r="R34" s="23"/>
      <c r="S34" s="23"/>
      <c r="T34" s="23"/>
      <c r="U34" s="23"/>
      <c r="V34" s="23"/>
      <c r="W34" s="23"/>
      <c r="X34" s="259"/>
    </row>
    <row r="35" spans="1:24" ht="13.5" customHeight="1" thickBot="1" x14ac:dyDescent="0.25">
      <c r="A35"/>
      <c r="B35"/>
      <c r="C35"/>
      <c r="D35"/>
      <c r="E35"/>
      <c r="F35"/>
      <c r="Q35" s="23"/>
      <c r="X35" s="259"/>
    </row>
    <row r="36" spans="1:24" ht="13.5" customHeight="1" x14ac:dyDescent="0.2">
      <c r="A36"/>
      <c r="B36"/>
      <c r="C36"/>
      <c r="D36"/>
      <c r="E36"/>
      <c r="F36"/>
      <c r="P36" s="255" t="str">
        <f>H17</f>
        <v>Rahul J / Waqas</v>
      </c>
      <c r="Q36" s="23"/>
      <c r="R36" s="231">
        <v>15</v>
      </c>
      <c r="T36" s="231">
        <v>14</v>
      </c>
      <c r="V36" s="234"/>
      <c r="X36" s="260"/>
    </row>
    <row r="37" spans="1:24" ht="12.75" customHeight="1" x14ac:dyDescent="0.2">
      <c r="A37"/>
      <c r="B37"/>
      <c r="C37"/>
      <c r="D37"/>
      <c r="E37"/>
      <c r="F37"/>
      <c r="P37" s="256"/>
      <c r="Q37" s="23"/>
      <c r="R37" s="232"/>
      <c r="T37" s="232"/>
      <c r="V37" s="235"/>
    </row>
    <row r="38" spans="1:24" ht="12.75" customHeight="1" x14ac:dyDescent="0.2">
      <c r="A38"/>
      <c r="B38"/>
      <c r="C38"/>
      <c r="D38"/>
      <c r="E38"/>
      <c r="F38"/>
      <c r="P38" s="256"/>
      <c r="Q38" s="23"/>
      <c r="R38" s="232"/>
      <c r="T38" s="232"/>
      <c r="V38" s="235"/>
    </row>
    <row r="39" spans="1:24" ht="13.5" customHeight="1" thickBot="1" x14ac:dyDescent="0.25">
      <c r="A39"/>
      <c r="B39"/>
      <c r="C39"/>
      <c r="D39"/>
      <c r="E39"/>
      <c r="F39"/>
      <c r="P39" s="257"/>
      <c r="Q39" s="23"/>
      <c r="R39" s="233"/>
      <c r="T39" s="233"/>
      <c r="V39" s="236"/>
    </row>
    <row r="40" spans="1:24" x14ac:dyDescent="0.2">
      <c r="A40"/>
      <c r="B40"/>
      <c r="C40"/>
      <c r="D40"/>
      <c r="E40"/>
      <c r="F40"/>
      <c r="P40" s="23"/>
      <c r="Q40" s="23"/>
    </row>
    <row r="41" spans="1:24" x14ac:dyDescent="0.2">
      <c r="A41"/>
      <c r="B41"/>
      <c r="C41"/>
      <c r="D41"/>
      <c r="E41"/>
      <c r="F41"/>
    </row>
    <row r="42" spans="1:24" x14ac:dyDescent="0.2">
      <c r="A42"/>
      <c r="B42"/>
      <c r="C42"/>
      <c r="D42"/>
      <c r="E42"/>
      <c r="F42"/>
    </row>
    <row r="43" spans="1:24" x14ac:dyDescent="0.2">
      <c r="A43"/>
      <c r="B43"/>
      <c r="C43"/>
      <c r="D43"/>
      <c r="E43"/>
      <c r="F43"/>
    </row>
    <row r="44" spans="1:24" x14ac:dyDescent="0.2">
      <c r="A44"/>
      <c r="B44"/>
      <c r="C44"/>
      <c r="D44"/>
      <c r="E44"/>
      <c r="F44"/>
    </row>
    <row r="45" spans="1:24" x14ac:dyDescent="0.2">
      <c r="A45"/>
      <c r="B45"/>
      <c r="C45"/>
      <c r="D45"/>
      <c r="E45"/>
      <c r="F45"/>
    </row>
    <row r="46" spans="1:24" x14ac:dyDescent="0.2">
      <c r="A46"/>
      <c r="B46"/>
      <c r="C46"/>
      <c r="D46"/>
      <c r="E46"/>
      <c r="F46"/>
    </row>
    <row r="47" spans="1:24" x14ac:dyDescent="0.2">
      <c r="A47"/>
      <c r="B47"/>
      <c r="C47"/>
      <c r="D47"/>
      <c r="E47"/>
      <c r="F47"/>
    </row>
    <row r="48" spans="1:24" x14ac:dyDescent="0.2">
      <c r="A48"/>
      <c r="B48"/>
      <c r="C48"/>
      <c r="D48"/>
      <c r="E48"/>
      <c r="F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</sheetData>
  <mergeCells count="35">
    <mergeCell ref="P29:P32"/>
    <mergeCell ref="R29:R32"/>
    <mergeCell ref="T29:T32"/>
    <mergeCell ref="V29:V32"/>
    <mergeCell ref="X32:X36"/>
    <mergeCell ref="P36:P39"/>
    <mergeCell ref="R36:R39"/>
    <mergeCell ref="T36:T39"/>
    <mergeCell ref="V36:V39"/>
    <mergeCell ref="X13:X17"/>
    <mergeCell ref="H17:H19"/>
    <mergeCell ref="J17:J19"/>
    <mergeCell ref="L17:L19"/>
    <mergeCell ref="N17:N19"/>
    <mergeCell ref="P19:P23"/>
    <mergeCell ref="R19:R23"/>
    <mergeCell ref="T19:T23"/>
    <mergeCell ref="V19:V23"/>
    <mergeCell ref="H23:H25"/>
    <mergeCell ref="X23:X26"/>
    <mergeCell ref="J23:J25"/>
    <mergeCell ref="L23:L25"/>
    <mergeCell ref="N23:N25"/>
    <mergeCell ref="T7:T11"/>
    <mergeCell ref="V7:V11"/>
    <mergeCell ref="H11:H13"/>
    <mergeCell ref="J11:J13"/>
    <mergeCell ref="L11:L13"/>
    <mergeCell ref="N11:N13"/>
    <mergeCell ref="H5:H7"/>
    <mergeCell ref="J5:J7"/>
    <mergeCell ref="L5:L7"/>
    <mergeCell ref="N5:N7"/>
    <mergeCell ref="P7:P11"/>
    <mergeCell ref="R7:R1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H10:M22"/>
  <sheetViews>
    <sheetView workbookViewId="0">
      <selection activeCell="L37" sqref="L37"/>
    </sheetView>
  </sheetViews>
  <sheetFormatPr defaultRowHeight="12.75" x14ac:dyDescent="0.2"/>
  <cols>
    <col min="8" max="8" width="13.7109375" customWidth="1"/>
    <col min="9" max="9" width="21.140625" bestFit="1" customWidth="1"/>
    <col min="11" max="11" width="18.28515625" bestFit="1" customWidth="1"/>
    <col min="13" max="13" width="40.42578125" bestFit="1" customWidth="1"/>
  </cols>
  <sheetData>
    <row r="10" spans="8:13" ht="26.25" x14ac:dyDescent="0.4">
      <c r="H10" s="180" t="s">
        <v>149</v>
      </c>
    </row>
    <row r="12" spans="8:13" ht="20.25" x14ac:dyDescent="0.3">
      <c r="H12" s="171" t="s">
        <v>148</v>
      </c>
      <c r="I12" s="162"/>
      <c r="J12" s="162"/>
      <c r="K12" s="171">
        <v>2</v>
      </c>
      <c r="M12" s="24" t="s">
        <v>153</v>
      </c>
    </row>
    <row r="13" spans="8:13" ht="15.75" x14ac:dyDescent="0.25">
      <c r="H13" s="162"/>
      <c r="I13" s="167" t="s">
        <v>115</v>
      </c>
      <c r="J13" s="164"/>
      <c r="K13" s="163" t="s">
        <v>119</v>
      </c>
      <c r="L13" s="184"/>
      <c r="M13" s="4" t="s">
        <v>151</v>
      </c>
    </row>
    <row r="14" spans="8:13" ht="16.5" thickBot="1" x14ac:dyDescent="0.3">
      <c r="H14" s="162"/>
      <c r="I14" s="168" t="s">
        <v>118</v>
      </c>
      <c r="J14" s="169"/>
      <c r="K14" s="170" t="s">
        <v>117</v>
      </c>
      <c r="L14" s="185"/>
      <c r="M14" s="4" t="s">
        <v>152</v>
      </c>
    </row>
    <row r="15" spans="8:13" ht="15.75" x14ac:dyDescent="0.25">
      <c r="H15" s="162"/>
      <c r="I15" s="162"/>
      <c r="J15" s="162"/>
    </row>
    <row r="16" spans="8:13" ht="18.75" thickBot="1" x14ac:dyDescent="0.3">
      <c r="H16" s="171" t="s">
        <v>99</v>
      </c>
      <c r="I16" s="162"/>
      <c r="J16" s="162"/>
      <c r="K16" s="171">
        <v>6</v>
      </c>
    </row>
    <row r="17" spans="9:13" ht="15" x14ac:dyDescent="0.2">
      <c r="I17" s="165" t="s">
        <v>121</v>
      </c>
      <c r="J17" s="172"/>
      <c r="K17" s="166" t="s">
        <v>135</v>
      </c>
      <c r="L17" s="186"/>
      <c r="M17" s="4" t="s">
        <v>154</v>
      </c>
    </row>
    <row r="18" spans="9:13" ht="15" x14ac:dyDescent="0.2">
      <c r="I18" s="167" t="s">
        <v>121</v>
      </c>
      <c r="J18" s="164"/>
      <c r="K18" s="163" t="s">
        <v>123</v>
      </c>
      <c r="L18" s="184"/>
      <c r="M18" s="4" t="s">
        <v>154</v>
      </c>
    </row>
    <row r="19" spans="9:13" ht="15" x14ac:dyDescent="0.2">
      <c r="I19" s="167" t="s">
        <v>121</v>
      </c>
      <c r="J19" s="164"/>
      <c r="K19" s="163" t="s">
        <v>124</v>
      </c>
      <c r="L19" s="184"/>
      <c r="M19" s="4" t="s">
        <v>154</v>
      </c>
    </row>
    <row r="20" spans="9:13" ht="15" x14ac:dyDescent="0.2">
      <c r="I20" s="167" t="s">
        <v>121</v>
      </c>
      <c r="J20" s="164"/>
      <c r="K20" s="163" t="s">
        <v>125</v>
      </c>
      <c r="L20" s="184"/>
      <c r="M20" s="4" t="s">
        <v>154</v>
      </c>
    </row>
    <row r="21" spans="9:13" ht="15" x14ac:dyDescent="0.2">
      <c r="I21" s="167" t="s">
        <v>122</v>
      </c>
      <c r="J21" s="164"/>
      <c r="K21" s="163" t="s">
        <v>123</v>
      </c>
      <c r="L21" s="184"/>
      <c r="M21" s="4" t="s">
        <v>154</v>
      </c>
    </row>
    <row r="22" spans="9:13" ht="15.75" thickBot="1" x14ac:dyDescent="0.25">
      <c r="I22" s="168" t="s">
        <v>123</v>
      </c>
      <c r="J22" s="173"/>
      <c r="K22" s="170" t="s">
        <v>125</v>
      </c>
      <c r="L22" s="187"/>
      <c r="M22" s="4" t="s">
        <v>154</v>
      </c>
    </row>
  </sheetData>
  <conditionalFormatting sqref="L20:L22 J20:J22 L13:L14 J13:J14">
    <cfRule type="cellIs" dxfId="9" priority="15" operator="lessThan">
      <formula>30</formula>
    </cfRule>
    <cfRule type="cellIs" dxfId="8" priority="16" operator="equal">
      <formula>30</formula>
    </cfRule>
  </conditionalFormatting>
  <conditionalFormatting sqref="L17">
    <cfRule type="cellIs" dxfId="7" priority="7" operator="lessThan">
      <formula>30</formula>
    </cfRule>
    <cfRule type="cellIs" dxfId="6" priority="8" operator="equal">
      <formula>30</formula>
    </cfRule>
  </conditionalFormatting>
  <conditionalFormatting sqref="J17">
    <cfRule type="cellIs" dxfId="5" priority="5" operator="lessThan">
      <formula>30</formula>
    </cfRule>
    <cfRule type="cellIs" dxfId="4" priority="6" operator="equal">
      <formula>30</formula>
    </cfRule>
  </conditionalFormatting>
  <conditionalFormatting sqref="L18:L19">
    <cfRule type="cellIs" dxfId="3" priority="3" operator="lessThan">
      <formula>30</formula>
    </cfRule>
    <cfRule type="cellIs" dxfId="2" priority="4" operator="equal">
      <formula>30</formula>
    </cfRule>
  </conditionalFormatting>
  <conditionalFormatting sqref="J18:J19">
    <cfRule type="cellIs" dxfId="1" priority="1" operator="lessThan">
      <formula>30</formula>
    </cfRule>
    <cfRule type="cellIs" dxfId="0" priority="2" operator="equal">
      <formula>30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H8:L23"/>
  <sheetViews>
    <sheetView workbookViewId="0">
      <selection activeCell="H9" sqref="H9:L23"/>
    </sheetView>
  </sheetViews>
  <sheetFormatPr defaultRowHeight="12.75" x14ac:dyDescent="0.2"/>
  <cols>
    <col min="6" max="6" width="16.85546875" bestFit="1" customWidth="1"/>
    <col min="7" max="7" width="6" bestFit="1" customWidth="1"/>
    <col min="8" max="8" width="3" bestFit="1" customWidth="1"/>
    <col min="9" max="9" width="17.85546875" bestFit="1" customWidth="1"/>
    <col min="10" max="10" width="3.140625" customWidth="1"/>
    <col min="11" max="11" width="3" bestFit="1" customWidth="1"/>
    <col min="12" max="12" width="16.5703125" bestFit="1" customWidth="1"/>
  </cols>
  <sheetData>
    <row r="8" spans="8:12" ht="13.5" thickBot="1" x14ac:dyDescent="0.25"/>
    <row r="9" spans="8:12" ht="15.75" x14ac:dyDescent="0.25">
      <c r="H9" s="72"/>
      <c r="I9" s="73" t="s">
        <v>50</v>
      </c>
      <c r="J9" s="74"/>
      <c r="K9" s="62"/>
      <c r="L9" s="75" t="s">
        <v>28</v>
      </c>
    </row>
    <row r="10" spans="8:12" ht="20.25" x14ac:dyDescent="0.3">
      <c r="H10" s="76">
        <v>1</v>
      </c>
      <c r="I10" s="55" t="s">
        <v>38</v>
      </c>
      <c r="J10" s="77"/>
      <c r="K10" s="4">
        <v>15</v>
      </c>
      <c r="L10" s="78" t="s">
        <v>36</v>
      </c>
    </row>
    <row r="11" spans="8:12" ht="20.25" x14ac:dyDescent="0.3">
      <c r="H11" s="76">
        <v>2</v>
      </c>
      <c r="I11" s="55" t="s">
        <v>73</v>
      </c>
      <c r="J11" s="77"/>
      <c r="K11" s="4">
        <v>16</v>
      </c>
      <c r="L11" s="78" t="s">
        <v>40</v>
      </c>
    </row>
    <row r="12" spans="8:12" ht="20.25" x14ac:dyDescent="0.3">
      <c r="H12" s="76">
        <v>3</v>
      </c>
      <c r="I12" s="55" t="s">
        <v>74</v>
      </c>
      <c r="J12" s="77"/>
      <c r="K12" s="4">
        <v>17</v>
      </c>
      <c r="L12" s="78" t="s">
        <v>77</v>
      </c>
    </row>
    <row r="13" spans="8:12" ht="20.25" x14ac:dyDescent="0.3">
      <c r="H13" s="76">
        <v>4</v>
      </c>
      <c r="I13" s="55" t="s">
        <v>37</v>
      </c>
      <c r="J13" s="77"/>
      <c r="K13" s="4">
        <v>18</v>
      </c>
      <c r="L13" s="78" t="s">
        <v>44</v>
      </c>
    </row>
    <row r="14" spans="8:12" ht="20.25" x14ac:dyDescent="0.3">
      <c r="H14" s="76">
        <v>5</v>
      </c>
      <c r="I14" s="55" t="s">
        <v>39</v>
      </c>
      <c r="J14" s="77"/>
      <c r="K14" s="4">
        <v>19</v>
      </c>
      <c r="L14" s="78" t="s">
        <v>75</v>
      </c>
    </row>
    <row r="15" spans="8:12" ht="20.25" x14ac:dyDescent="0.3">
      <c r="H15" s="76">
        <v>6</v>
      </c>
      <c r="I15" s="55" t="s">
        <v>76</v>
      </c>
      <c r="J15" s="77"/>
      <c r="K15" s="4">
        <v>20</v>
      </c>
      <c r="L15" s="78" t="s">
        <v>80</v>
      </c>
    </row>
    <row r="16" spans="8:12" ht="20.25" x14ac:dyDescent="0.3">
      <c r="H16" s="76">
        <v>7</v>
      </c>
      <c r="I16" s="55" t="s">
        <v>34</v>
      </c>
      <c r="J16" s="77"/>
      <c r="K16" s="4">
        <v>21</v>
      </c>
      <c r="L16" s="78" t="s">
        <v>42</v>
      </c>
    </row>
    <row r="17" spans="8:12" ht="20.25" x14ac:dyDescent="0.3">
      <c r="H17" s="76">
        <v>8</v>
      </c>
      <c r="I17" s="55" t="s">
        <v>78</v>
      </c>
      <c r="J17" s="77"/>
      <c r="K17" s="4">
        <v>22</v>
      </c>
      <c r="L17" s="78" t="s">
        <v>33</v>
      </c>
    </row>
    <row r="18" spans="8:12" ht="20.25" x14ac:dyDescent="0.3">
      <c r="H18" s="76">
        <v>9</v>
      </c>
      <c r="I18" s="55" t="s">
        <v>35</v>
      </c>
      <c r="J18" s="77"/>
      <c r="K18" s="4">
        <v>23</v>
      </c>
      <c r="L18" s="79" t="s">
        <v>83</v>
      </c>
    </row>
    <row r="19" spans="8:12" ht="20.25" x14ac:dyDescent="0.3">
      <c r="H19" s="76">
        <v>10</v>
      </c>
      <c r="I19" s="55" t="s">
        <v>43</v>
      </c>
      <c r="J19" s="77"/>
      <c r="K19" s="4">
        <v>24</v>
      </c>
      <c r="L19" s="79" t="s">
        <v>79</v>
      </c>
    </row>
    <row r="20" spans="8:12" ht="20.25" x14ac:dyDescent="0.3">
      <c r="H20" s="76">
        <v>11</v>
      </c>
      <c r="I20" s="55" t="s">
        <v>81</v>
      </c>
      <c r="J20" s="77"/>
      <c r="K20" s="4">
        <v>25</v>
      </c>
      <c r="L20" s="78" t="s">
        <v>85</v>
      </c>
    </row>
    <row r="21" spans="8:12" ht="20.25" x14ac:dyDescent="0.3">
      <c r="H21" s="76">
        <v>12</v>
      </c>
      <c r="I21" s="55" t="s">
        <v>82</v>
      </c>
      <c r="J21" s="77"/>
      <c r="K21" s="4">
        <v>26</v>
      </c>
      <c r="L21" s="79" t="s">
        <v>46</v>
      </c>
    </row>
    <row r="22" spans="8:12" ht="20.25" x14ac:dyDescent="0.3">
      <c r="H22" s="76">
        <v>13</v>
      </c>
      <c r="I22" s="56" t="s">
        <v>45</v>
      </c>
      <c r="J22" s="77"/>
      <c r="K22" s="4">
        <v>27</v>
      </c>
      <c r="L22" s="79" t="s">
        <v>86</v>
      </c>
    </row>
    <row r="23" spans="8:12" ht="21" thickBot="1" x14ac:dyDescent="0.35">
      <c r="H23" s="80">
        <v>14</v>
      </c>
      <c r="I23" s="81" t="s">
        <v>87</v>
      </c>
      <c r="J23" s="82"/>
      <c r="K23" s="64">
        <v>28</v>
      </c>
      <c r="L23" s="83" t="s">
        <v>41</v>
      </c>
    </row>
  </sheetData>
  <sortState xmlns:xlrd2="http://schemas.microsoft.com/office/spreadsheetml/2017/richdata2" ref="F9:G23">
    <sortCondition ref="G9:G2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Dates</vt:lpstr>
      <vt:lpstr>Group A</vt:lpstr>
      <vt:lpstr>Group B</vt:lpstr>
      <vt:lpstr>Availability</vt:lpstr>
      <vt:lpstr>Knockouts</vt:lpstr>
      <vt:lpstr>Sheet1</vt:lpstr>
      <vt:lpstr>Sheet2</vt:lpstr>
      <vt:lpstr>Dates!Criteria</vt:lpstr>
      <vt:lpstr>'Group A'!POINTS_TABLE</vt:lpstr>
      <vt:lpstr>'Group B'!POINTS_TABLE</vt:lpstr>
      <vt:lpstr>POOL_B</vt:lpstr>
      <vt:lpstr>'Group A'!Print_Area</vt:lpstr>
      <vt:lpstr>'Group B'!Print_Area</vt:lpstr>
      <vt:lpstr>'Group A'!TEAMS_B</vt:lpstr>
      <vt:lpstr>'Group B'!TEAMS_B</vt:lpstr>
    </vt:vector>
  </TitlesOfParts>
  <Company>JPMorgan Chase and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2026-06-26T03:24:19Z</dcterms:modified>
</cp:coreProperties>
</file>