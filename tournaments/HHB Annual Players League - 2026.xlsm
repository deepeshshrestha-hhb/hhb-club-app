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All Repositories\hhb_club_app\tournaments\"/>
    </mc:Choice>
  </mc:AlternateContent>
  <bookViews>
    <workbookView xWindow="-120" yWindow="-120" windowWidth="29040" windowHeight="15720" firstSheet="1" activeTab="1"/>
  </bookViews>
  <sheets>
    <sheet name="MatchRules" sheetId="3" state="hidden" r:id="rId1"/>
    <sheet name="PointRules" sheetId="4" r:id="rId2"/>
    <sheet name="Dates" sheetId="1" state="hidden" r:id="rId3"/>
    <sheet name="2026" sheetId="10" r:id="rId4"/>
    <sheet name="Overall Stats" sheetId="6" r:id="rId5"/>
    <sheet name="Individual Stats" sheetId="7" r:id="rId6"/>
    <sheet name="Issues - DAQs" sheetId="5" state="hidden" r:id="rId7"/>
  </sheets>
  <functionGroups builtInGroupCount="18"/>
  <definedNames>
    <definedName name="_xlnm._FilterDatabase" localSheetId="3" hidden="1">'2026'!$A$4:$R$660</definedName>
    <definedName name="_xlnm._FilterDatabase" localSheetId="5" hidden="1">'Individual Stats'!$A$2:$BC$2</definedName>
    <definedName name="_xlnm._FilterDatabase" localSheetId="4" hidden="1">'Overall Stats'!$M$20:$S$27</definedName>
    <definedName name="ALL_COMBOS" localSheetId="3">'2026'!$P$1:$Q$691</definedName>
    <definedName name="ALL_DATES">'2026'!$A$5:$A$660</definedName>
    <definedName name="GROUP_A" localSheetId="3">'2026'!$U$146:$U$163</definedName>
    <definedName name="GROUP_A">'2026'!$U$146:$U$163</definedName>
    <definedName name="GROUP_B" localSheetId="3">'2026'!$U$167:$U$184</definedName>
    <definedName name="GROUP_B">'2026'!$U$167:$U$184</definedName>
    <definedName name="LOSING_TEAM" localSheetId="3">'2026'!$Q$1:$Q$645</definedName>
    <definedName name="PLAYERS_IDS" localSheetId="3">'2026'!$U$145:$V$184</definedName>
    <definedName name="POINTS_TABLE" localSheetId="3">'2026'!$U$2:$AC$34</definedName>
    <definedName name="RANKING_LEAGUE_DATA" localSheetId="3">'2026'!$A$4:$M$692</definedName>
    <definedName name="WINNER_TEAM" localSheetId="3">'2026'!$P$1:$P$691</definedName>
  </definedNames>
  <calcPr calcId="152511"/>
</workbook>
</file>

<file path=xl/calcChain.xml><?xml version="1.0" encoding="utf-8"?>
<calcChain xmlns="http://schemas.openxmlformats.org/spreadsheetml/2006/main">
  <c r="C3" i="7" l="1"/>
  <c r="I28" i="10" l="1"/>
  <c r="J28" i="10"/>
  <c r="J27" i="10" l="1"/>
  <c r="I27" i="10"/>
  <c r="J26" i="10"/>
  <c r="I26" i="10"/>
  <c r="J25" i="10"/>
  <c r="I25" i="10"/>
  <c r="J24" i="10"/>
  <c r="I24" i="10"/>
  <c r="J23" i="10"/>
  <c r="I23" i="10"/>
  <c r="J22" i="10"/>
  <c r="I22" i="10"/>
  <c r="J21" i="10"/>
  <c r="I21" i="10"/>
  <c r="J20" i="10"/>
  <c r="I20" i="10"/>
  <c r="J19" i="10"/>
  <c r="I19" i="10"/>
  <c r="AE31" i="10" l="1"/>
  <c r="AE32" i="10"/>
  <c r="AE33" i="10"/>
  <c r="AE34" i="10"/>
  <c r="AE35" i="10"/>
  <c r="C20" i="7"/>
  <c r="J229" i="10" l="1"/>
  <c r="J230" i="10"/>
  <c r="I229" i="10"/>
  <c r="I230" i="10"/>
  <c r="I223" i="10"/>
  <c r="J223" i="10"/>
  <c r="I209" i="10"/>
  <c r="J209" i="10"/>
  <c r="AA9" i="10"/>
  <c r="Z9" i="10"/>
  <c r="V9" i="10"/>
  <c r="C11" i="7"/>
  <c r="C18" i="7"/>
  <c r="C7" i="7"/>
  <c r="C22" i="7"/>
  <c r="C19" i="7"/>
  <c r="C12" i="7"/>
  <c r="C31" i="7"/>
  <c r="C21" i="7"/>
  <c r="C4" i="7"/>
  <c r="C16" i="7"/>
  <c r="C28" i="7"/>
  <c r="C17" i="7"/>
  <c r="C29" i="7"/>
  <c r="C13" i="7"/>
  <c r="C30" i="7"/>
  <c r="C5" i="7"/>
  <c r="C23" i="7"/>
  <c r="C32" i="7"/>
  <c r="C14" i="7"/>
  <c r="C25" i="7"/>
  <c r="C8" i="7"/>
  <c r="C6" i="7"/>
  <c r="C34" i="7"/>
  <c r="C10" i="7"/>
  <c r="C24" i="7"/>
  <c r="C33" i="7"/>
  <c r="C35" i="7"/>
  <c r="C15" i="7"/>
  <c r="C26" i="7"/>
  <c r="C36" i="7"/>
  <c r="C37" i="7"/>
  <c r="C9" i="7"/>
  <c r="C27" i="7"/>
  <c r="N506" i="10"/>
  <c r="N507" i="10"/>
  <c r="N508" i="10"/>
  <c r="N509" i="10"/>
  <c r="N510" i="10"/>
  <c r="N511" i="10"/>
  <c r="N512" i="10"/>
  <c r="N513" i="10"/>
  <c r="N514" i="10"/>
  <c r="N515" i="10"/>
  <c r="N516" i="10"/>
  <c r="N517" i="10"/>
  <c r="N518" i="10"/>
  <c r="N519" i="10"/>
  <c r="N520" i="10"/>
  <c r="N521" i="10"/>
  <c r="N522" i="10"/>
  <c r="N523" i="10"/>
  <c r="N524" i="10"/>
  <c r="N525" i="10"/>
  <c r="N526" i="10"/>
  <c r="N527" i="10"/>
  <c r="N528" i="10"/>
  <c r="N529" i="10"/>
  <c r="N530" i="10"/>
  <c r="N531" i="10"/>
  <c r="N532" i="10"/>
  <c r="N533" i="10"/>
  <c r="N534" i="10"/>
  <c r="N535" i="10"/>
  <c r="N536" i="10"/>
  <c r="N537" i="10"/>
  <c r="N538" i="10"/>
  <c r="N539" i="10"/>
  <c r="N540" i="10"/>
  <c r="N541" i="10"/>
  <c r="N542" i="10"/>
  <c r="N543" i="10"/>
  <c r="N544" i="10"/>
  <c r="N545" i="10"/>
  <c r="N546" i="10"/>
  <c r="N547" i="10"/>
  <c r="N548" i="10"/>
  <c r="N549" i="10"/>
  <c r="N550" i="10"/>
  <c r="N551" i="10"/>
  <c r="N552" i="10"/>
  <c r="N553" i="10"/>
  <c r="N554" i="10"/>
  <c r="N555" i="10"/>
  <c r="N556" i="10"/>
  <c r="N557" i="10"/>
  <c r="N558" i="10"/>
  <c r="N559" i="10"/>
  <c r="N560" i="10"/>
  <c r="N561" i="10"/>
  <c r="N562" i="10"/>
  <c r="N563" i="10"/>
  <c r="N564" i="10"/>
  <c r="N565" i="10"/>
  <c r="N566" i="10"/>
  <c r="N567" i="10"/>
  <c r="N568" i="10"/>
  <c r="N569" i="10"/>
  <c r="N570" i="10"/>
  <c r="N571" i="10"/>
  <c r="N572" i="10"/>
  <c r="N573" i="10"/>
  <c r="N574" i="10"/>
  <c r="N575" i="10"/>
  <c r="N576" i="10"/>
  <c r="N577" i="10"/>
  <c r="N578" i="10"/>
  <c r="N579" i="10"/>
  <c r="N580" i="10"/>
  <c r="N581" i="10"/>
  <c r="N582" i="10"/>
  <c r="N583" i="10"/>
  <c r="N584" i="10"/>
  <c r="N585" i="10"/>
  <c r="N586" i="10"/>
  <c r="N587" i="10"/>
  <c r="N588" i="10"/>
  <c r="N589" i="10"/>
  <c r="N590" i="10"/>
  <c r="N591" i="10"/>
  <c r="N592" i="10"/>
  <c r="N593" i="10"/>
  <c r="N594" i="10"/>
  <c r="N595" i="10"/>
  <c r="N596" i="10"/>
  <c r="N597" i="10"/>
  <c r="N598" i="10"/>
  <c r="N599" i="10"/>
  <c r="N600" i="10"/>
  <c r="N601" i="10"/>
  <c r="N602" i="10"/>
  <c r="N603" i="10"/>
  <c r="N604" i="10"/>
  <c r="N605" i="10"/>
  <c r="N606" i="10"/>
  <c r="N607" i="10"/>
  <c r="N608" i="10"/>
  <c r="N609" i="10"/>
  <c r="N610" i="10"/>
  <c r="N611" i="10"/>
  <c r="N612" i="10"/>
  <c r="N613" i="10"/>
  <c r="N614" i="10"/>
  <c r="N615" i="10"/>
  <c r="N616" i="10"/>
  <c r="N617" i="10"/>
  <c r="N618" i="10"/>
  <c r="N619" i="10"/>
  <c r="N620" i="10"/>
  <c r="N621" i="10"/>
  <c r="N622" i="10"/>
  <c r="N623" i="10"/>
  <c r="N624" i="10"/>
  <c r="N625" i="10"/>
  <c r="N626" i="10"/>
  <c r="N627" i="10"/>
  <c r="N628" i="10"/>
  <c r="N629" i="10"/>
  <c r="N630" i="10"/>
  <c r="N631" i="10"/>
  <c r="N632" i="10"/>
  <c r="N633" i="10"/>
  <c r="N634" i="10"/>
  <c r="N635" i="10"/>
  <c r="N636" i="10"/>
  <c r="N637" i="10"/>
  <c r="N638" i="10"/>
  <c r="N639" i="10"/>
  <c r="N640" i="10"/>
  <c r="N641" i="10"/>
  <c r="N642" i="10"/>
  <c r="N643" i="10"/>
  <c r="N644" i="10"/>
  <c r="N645" i="10"/>
  <c r="N646" i="10"/>
  <c r="N647" i="10"/>
  <c r="N648" i="10"/>
  <c r="N649" i="10"/>
  <c r="N650" i="10"/>
  <c r="N651" i="10"/>
  <c r="N652" i="10"/>
  <c r="N653" i="10"/>
  <c r="N654" i="10"/>
  <c r="N655" i="10"/>
  <c r="N656" i="10"/>
  <c r="N657" i="10"/>
  <c r="N658" i="10"/>
  <c r="N659" i="10"/>
  <c r="AB9" i="10" l="1"/>
  <c r="I156" i="10" l="1"/>
  <c r="J156" i="10"/>
  <c r="V3" i="10" l="1"/>
  <c r="Z3" i="10"/>
  <c r="AA3" i="10"/>
  <c r="V23" i="10"/>
  <c r="Z23" i="10"/>
  <c r="AA23" i="10"/>
  <c r="V8" i="10"/>
  <c r="Z8" i="10"/>
  <c r="AA8" i="10"/>
  <c r="V6" i="10"/>
  <c r="Z6" i="10"/>
  <c r="AA6" i="10"/>
  <c r="V24" i="10"/>
  <c r="Z24" i="10"/>
  <c r="AA24" i="10"/>
  <c r="V10" i="10"/>
  <c r="Z10" i="10"/>
  <c r="AA10" i="10"/>
  <c r="V21" i="10"/>
  <c r="Z21" i="10"/>
  <c r="AA21" i="10"/>
  <c r="V27" i="10"/>
  <c r="Z27" i="10"/>
  <c r="AA27" i="10"/>
  <c r="V14" i="10"/>
  <c r="Z14" i="10"/>
  <c r="AA14" i="10"/>
  <c r="V4" i="10"/>
  <c r="Z4" i="10"/>
  <c r="AA4" i="10"/>
  <c r="V28" i="10"/>
  <c r="Z28" i="10"/>
  <c r="AA28" i="10"/>
  <c r="V19" i="10"/>
  <c r="Z19" i="10"/>
  <c r="AA19" i="10"/>
  <c r="V18" i="10"/>
  <c r="Z18" i="10"/>
  <c r="AA18" i="10"/>
  <c r="V15" i="10"/>
  <c r="Z15" i="10"/>
  <c r="AA15" i="10"/>
  <c r="V12" i="10"/>
  <c r="Z12" i="10"/>
  <c r="AA12" i="10"/>
  <c r="V16" i="10"/>
  <c r="Z16" i="10"/>
  <c r="AA16" i="10"/>
  <c r="V17" i="10"/>
  <c r="Z17" i="10"/>
  <c r="AA17" i="10"/>
  <c r="V26" i="10"/>
  <c r="Z26" i="10"/>
  <c r="AA26" i="10"/>
  <c r="V22" i="10"/>
  <c r="Z22" i="10"/>
  <c r="AA22" i="10"/>
  <c r="V25" i="10"/>
  <c r="Z25" i="10"/>
  <c r="AA25" i="10"/>
  <c r="V20" i="10"/>
  <c r="Z20" i="10"/>
  <c r="AA20" i="10"/>
  <c r="V7" i="10"/>
  <c r="Z7" i="10"/>
  <c r="AA7" i="10"/>
  <c r="V30" i="10"/>
  <c r="Z30" i="10"/>
  <c r="AA30" i="10"/>
  <c r="AE30" i="10" l="1"/>
  <c r="AB23" i="10"/>
  <c r="AB27" i="10"/>
  <c r="AB4" i="10"/>
  <c r="AB25" i="10"/>
  <c r="AB16" i="10"/>
  <c r="AB19" i="10"/>
  <c r="AB17" i="10"/>
  <c r="AB30" i="10"/>
  <c r="AB26" i="10"/>
  <c r="AB14" i="10"/>
  <c r="AB6" i="10"/>
  <c r="AB3" i="10"/>
  <c r="AB22" i="10"/>
  <c r="AB15" i="10"/>
  <c r="AB28" i="10"/>
  <c r="AB10" i="10"/>
  <c r="AB8" i="10"/>
  <c r="AB7" i="10"/>
  <c r="AB20" i="10"/>
  <c r="AB18" i="10"/>
  <c r="AB24" i="10"/>
  <c r="AB12" i="10"/>
  <c r="AB21" i="10"/>
  <c r="J6" i="10" l="1"/>
  <c r="J7" i="10"/>
  <c r="J8" i="10"/>
  <c r="J9" i="10"/>
  <c r="J10" i="10"/>
  <c r="J11" i="10"/>
  <c r="J12" i="10"/>
  <c r="J13" i="10"/>
  <c r="J14" i="10"/>
  <c r="J15" i="10"/>
  <c r="J16" i="10"/>
  <c r="J17" i="10"/>
  <c r="J1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4" i="10"/>
  <c r="J225" i="10"/>
  <c r="J226" i="10"/>
  <c r="J227" i="10"/>
  <c r="J228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4" i="10"/>
  <c r="I225" i="10"/>
  <c r="I226" i="10"/>
  <c r="I227" i="10"/>
  <c r="I228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J5" i="10"/>
  <c r="I5" i="10"/>
  <c r="D20" i="7" l="1"/>
  <c r="D9" i="7"/>
  <c r="D26" i="7"/>
  <c r="D24" i="7"/>
  <c r="D8" i="7"/>
  <c r="D23" i="7"/>
  <c r="D13" i="7"/>
  <c r="D16" i="7"/>
  <c r="D12" i="7"/>
  <c r="D18" i="7"/>
  <c r="W9" i="10"/>
  <c r="D37" i="7"/>
  <c r="D15" i="7"/>
  <c r="D10" i="7"/>
  <c r="D25" i="7"/>
  <c r="D5" i="7"/>
  <c r="D29" i="7"/>
  <c r="D4" i="7"/>
  <c r="D19" i="7"/>
  <c r="D11" i="7"/>
  <c r="D35" i="7"/>
  <c r="D34" i="7"/>
  <c r="D14" i="7"/>
  <c r="D30" i="7"/>
  <c r="D17" i="7"/>
  <c r="D21" i="7"/>
  <c r="D22" i="7"/>
  <c r="D27" i="7"/>
  <c r="D36" i="7"/>
  <c r="D33" i="7"/>
  <c r="D6" i="7"/>
  <c r="D32" i="7"/>
  <c r="D3" i="7"/>
  <c r="D28" i="7"/>
  <c r="D31" i="7"/>
  <c r="D7" i="7"/>
  <c r="W6" i="10"/>
  <c r="X6" i="10" s="1"/>
  <c r="W10" i="10"/>
  <c r="X10" i="10" s="1"/>
  <c r="W19" i="10"/>
  <c r="X19" i="10" s="1"/>
  <c r="W15" i="10"/>
  <c r="X15" i="10" s="1"/>
  <c r="W25" i="10"/>
  <c r="X25" i="10" s="1"/>
  <c r="W7" i="10"/>
  <c r="X7" i="10" s="1"/>
  <c r="W3" i="10"/>
  <c r="X3" i="10" s="1"/>
  <c r="W21" i="10"/>
  <c r="X21" i="10" s="1"/>
  <c r="W14" i="10"/>
  <c r="X14" i="10" s="1"/>
  <c r="W12" i="10"/>
  <c r="X12" i="10" s="1"/>
  <c r="W17" i="10"/>
  <c r="X17" i="10" s="1"/>
  <c r="W30" i="10"/>
  <c r="X30" i="10" s="1"/>
  <c r="W23" i="10"/>
  <c r="X23" i="10" s="1"/>
  <c r="W27" i="10"/>
  <c r="X27" i="10" s="1"/>
  <c r="W4" i="10"/>
  <c r="X4" i="10" s="1"/>
  <c r="W16" i="10"/>
  <c r="X16" i="10" s="1"/>
  <c r="W26" i="10"/>
  <c r="X26" i="10" s="1"/>
  <c r="W20" i="10"/>
  <c r="X20" i="10" s="1"/>
  <c r="W8" i="10"/>
  <c r="X8" i="10" s="1"/>
  <c r="W24" i="10"/>
  <c r="X24" i="10" s="1"/>
  <c r="W28" i="10"/>
  <c r="X28" i="10" s="1"/>
  <c r="W18" i="10"/>
  <c r="X18" i="10" s="1"/>
  <c r="W22" i="10"/>
  <c r="X22" i="10" s="1"/>
  <c r="Y30" i="10"/>
  <c r="X9" i="10" l="1"/>
  <c r="AD9" i="10"/>
  <c r="Q659" i="10"/>
  <c r="P659" i="10"/>
  <c r="L659" i="10"/>
  <c r="M659" i="10"/>
  <c r="Q658" i="10"/>
  <c r="P658" i="10"/>
  <c r="L658" i="10"/>
  <c r="M658" i="10"/>
  <c r="Q657" i="10"/>
  <c r="P657" i="10"/>
  <c r="M657" i="10"/>
  <c r="L657" i="10"/>
  <c r="Q656" i="10"/>
  <c r="P656" i="10"/>
  <c r="L656" i="10"/>
  <c r="M656" i="10"/>
  <c r="Q655" i="10"/>
  <c r="P655" i="10"/>
  <c r="L655" i="10"/>
  <c r="Q654" i="10"/>
  <c r="P654" i="10"/>
  <c r="L654" i="10"/>
  <c r="M654" i="10"/>
  <c r="Q653" i="10"/>
  <c r="P653" i="10"/>
  <c r="M653" i="10"/>
  <c r="L653" i="10"/>
  <c r="Q652" i="10"/>
  <c r="P652" i="10"/>
  <c r="L652" i="10"/>
  <c r="M652" i="10"/>
  <c r="Q651" i="10"/>
  <c r="P651" i="10"/>
  <c r="L651" i="10"/>
  <c r="M651" i="10"/>
  <c r="Q650" i="10"/>
  <c r="P650" i="10"/>
  <c r="L650" i="10"/>
  <c r="M650" i="10"/>
  <c r="Q649" i="10"/>
  <c r="P649" i="10"/>
  <c r="M649" i="10"/>
  <c r="L649" i="10"/>
  <c r="Q648" i="10"/>
  <c r="P648" i="10"/>
  <c r="L648" i="10"/>
  <c r="M648" i="10"/>
  <c r="Q647" i="10"/>
  <c r="P647" i="10"/>
  <c r="L647" i="10"/>
  <c r="Q646" i="10"/>
  <c r="P646" i="10"/>
  <c r="L646" i="10"/>
  <c r="M646" i="10"/>
  <c r="Q645" i="10"/>
  <c r="P645" i="10"/>
  <c r="M645" i="10"/>
  <c r="L645" i="10"/>
  <c r="Q644" i="10"/>
  <c r="P644" i="10"/>
  <c r="L644" i="10"/>
  <c r="M644" i="10"/>
  <c r="Q643" i="10"/>
  <c r="P643" i="10"/>
  <c r="L643" i="10"/>
  <c r="Q642" i="10"/>
  <c r="P642" i="10"/>
  <c r="L642" i="10"/>
  <c r="M642" i="10"/>
  <c r="Q641" i="10"/>
  <c r="P641" i="10"/>
  <c r="M641" i="10"/>
  <c r="L641" i="10"/>
  <c r="Q640" i="10"/>
  <c r="P640" i="10"/>
  <c r="L640" i="10"/>
  <c r="M640" i="10"/>
  <c r="Q639" i="10"/>
  <c r="P639" i="10"/>
  <c r="L639" i="10"/>
  <c r="Q638" i="10"/>
  <c r="P638" i="10"/>
  <c r="L638" i="10"/>
  <c r="M638" i="10"/>
  <c r="Q637" i="10"/>
  <c r="P637" i="10"/>
  <c r="M637" i="10"/>
  <c r="L637" i="10"/>
  <c r="Q636" i="10"/>
  <c r="P636" i="10"/>
  <c r="L636" i="10"/>
  <c r="M636" i="10"/>
  <c r="Q635" i="10"/>
  <c r="P635" i="10"/>
  <c r="L635" i="10"/>
  <c r="M635" i="10"/>
  <c r="Q634" i="10"/>
  <c r="P634" i="10"/>
  <c r="L634" i="10"/>
  <c r="M634" i="10"/>
  <c r="Q633" i="10"/>
  <c r="P633" i="10"/>
  <c r="M633" i="10"/>
  <c r="L633" i="10"/>
  <c r="Q632" i="10"/>
  <c r="P632" i="10"/>
  <c r="L632" i="10"/>
  <c r="M632" i="10"/>
  <c r="Q631" i="10"/>
  <c r="P631" i="10"/>
  <c r="L631" i="10"/>
  <c r="Q630" i="10"/>
  <c r="P630" i="10"/>
  <c r="L630" i="10"/>
  <c r="M630" i="10"/>
  <c r="Q629" i="10"/>
  <c r="P629" i="10"/>
  <c r="M629" i="10"/>
  <c r="L629" i="10"/>
  <c r="Q628" i="10"/>
  <c r="P628" i="10"/>
  <c r="L628" i="10"/>
  <c r="M628" i="10"/>
  <c r="Q627" i="10"/>
  <c r="P627" i="10"/>
  <c r="L627" i="10"/>
  <c r="Q626" i="10"/>
  <c r="P626" i="10"/>
  <c r="L626" i="10"/>
  <c r="M626" i="10"/>
  <c r="Q625" i="10"/>
  <c r="P625" i="10"/>
  <c r="M625" i="10"/>
  <c r="L625" i="10"/>
  <c r="Q624" i="10"/>
  <c r="P624" i="10"/>
  <c r="L624" i="10"/>
  <c r="M624" i="10"/>
  <c r="Q623" i="10"/>
  <c r="P623" i="10"/>
  <c r="L623" i="10"/>
  <c r="Q622" i="10"/>
  <c r="P622" i="10"/>
  <c r="L622" i="10"/>
  <c r="M622" i="10"/>
  <c r="Q621" i="10"/>
  <c r="P621" i="10"/>
  <c r="M621" i="10"/>
  <c r="L621" i="10"/>
  <c r="Q620" i="10"/>
  <c r="P620" i="10"/>
  <c r="L620" i="10"/>
  <c r="M620" i="10"/>
  <c r="Q619" i="10"/>
  <c r="P619" i="10"/>
  <c r="L619" i="10"/>
  <c r="M619" i="10"/>
  <c r="Q618" i="10"/>
  <c r="P618" i="10"/>
  <c r="L618" i="10"/>
  <c r="M618" i="10"/>
  <c r="Q617" i="10"/>
  <c r="P617" i="10"/>
  <c r="M617" i="10"/>
  <c r="L617" i="10"/>
  <c r="Q616" i="10"/>
  <c r="P616" i="10"/>
  <c r="L616" i="10"/>
  <c r="M616" i="10"/>
  <c r="Q615" i="10"/>
  <c r="P615" i="10"/>
  <c r="L615" i="10"/>
  <c r="Q614" i="10"/>
  <c r="P614" i="10"/>
  <c r="L614" i="10"/>
  <c r="M614" i="10"/>
  <c r="Q613" i="10"/>
  <c r="P613" i="10"/>
  <c r="M613" i="10"/>
  <c r="L613" i="10"/>
  <c r="Q612" i="10"/>
  <c r="P612" i="10"/>
  <c r="L612" i="10"/>
  <c r="M612" i="10"/>
  <c r="Q611" i="10"/>
  <c r="P611" i="10"/>
  <c r="L611" i="10"/>
  <c r="M611" i="10"/>
  <c r="Q610" i="10"/>
  <c r="P610" i="10"/>
  <c r="L610" i="10"/>
  <c r="M610" i="10"/>
  <c r="Q609" i="10"/>
  <c r="P609" i="10"/>
  <c r="M609" i="10"/>
  <c r="L609" i="10"/>
  <c r="Q608" i="10"/>
  <c r="P608" i="10"/>
  <c r="L608" i="10"/>
  <c r="M608" i="10"/>
  <c r="Q607" i="10"/>
  <c r="P607" i="10"/>
  <c r="L607" i="10"/>
  <c r="Q606" i="10"/>
  <c r="P606" i="10"/>
  <c r="L606" i="10"/>
  <c r="M606" i="10"/>
  <c r="Q605" i="10"/>
  <c r="P605" i="10"/>
  <c r="M605" i="10"/>
  <c r="L605" i="10"/>
  <c r="Q604" i="10"/>
  <c r="P604" i="10"/>
  <c r="L604" i="10"/>
  <c r="M604" i="10"/>
  <c r="Q603" i="10"/>
  <c r="P603" i="10"/>
  <c r="L603" i="10"/>
  <c r="M603" i="10"/>
  <c r="Q602" i="10"/>
  <c r="P602" i="10"/>
  <c r="L602" i="10"/>
  <c r="M602" i="10"/>
  <c r="Q601" i="10"/>
  <c r="P601" i="10"/>
  <c r="M601" i="10"/>
  <c r="L601" i="10"/>
  <c r="Q600" i="10"/>
  <c r="P600" i="10"/>
  <c r="L600" i="10"/>
  <c r="M600" i="10"/>
  <c r="Q599" i="10"/>
  <c r="P599" i="10"/>
  <c r="L599" i="10"/>
  <c r="Q598" i="10"/>
  <c r="P598" i="10"/>
  <c r="L598" i="10"/>
  <c r="M598" i="10"/>
  <c r="Q597" i="10"/>
  <c r="P597" i="10"/>
  <c r="M597" i="10"/>
  <c r="L597" i="10"/>
  <c r="Q596" i="10"/>
  <c r="P596" i="10"/>
  <c r="L596" i="10"/>
  <c r="M596" i="10"/>
  <c r="Q595" i="10"/>
  <c r="P595" i="10"/>
  <c r="L595" i="10"/>
  <c r="M595" i="10"/>
  <c r="Q594" i="10"/>
  <c r="P594" i="10"/>
  <c r="L594" i="10"/>
  <c r="M594" i="10"/>
  <c r="Q593" i="10"/>
  <c r="P593" i="10"/>
  <c r="M593" i="10"/>
  <c r="L593" i="10"/>
  <c r="Q592" i="10"/>
  <c r="P592" i="10"/>
  <c r="L592" i="10"/>
  <c r="M592" i="10"/>
  <c r="Q591" i="10"/>
  <c r="P591" i="10"/>
  <c r="L591" i="10"/>
  <c r="Q590" i="10"/>
  <c r="P590" i="10"/>
  <c r="L590" i="10"/>
  <c r="M590" i="10"/>
  <c r="Q589" i="10"/>
  <c r="P589" i="10"/>
  <c r="M589" i="10"/>
  <c r="L589" i="10"/>
  <c r="Q588" i="10"/>
  <c r="P588" i="10"/>
  <c r="L588" i="10"/>
  <c r="M588" i="10"/>
  <c r="Q587" i="10"/>
  <c r="P587" i="10"/>
  <c r="L587" i="10"/>
  <c r="M587" i="10"/>
  <c r="Q586" i="10"/>
  <c r="P586" i="10"/>
  <c r="L586" i="10"/>
  <c r="M586" i="10"/>
  <c r="Q585" i="10"/>
  <c r="P585" i="10"/>
  <c r="M585" i="10"/>
  <c r="L585" i="10"/>
  <c r="Q584" i="10"/>
  <c r="P584" i="10"/>
  <c r="M584" i="10"/>
  <c r="L584" i="10"/>
  <c r="Q583" i="10"/>
  <c r="P583" i="10"/>
  <c r="L583" i="10"/>
  <c r="Q582" i="10"/>
  <c r="P582" i="10"/>
  <c r="L582" i="10"/>
  <c r="M582" i="10"/>
  <c r="Q581" i="10"/>
  <c r="P581" i="10"/>
  <c r="M581" i="10"/>
  <c r="L581" i="10"/>
  <c r="Q580" i="10"/>
  <c r="P580" i="10"/>
  <c r="M580" i="10"/>
  <c r="L580" i="10"/>
  <c r="Q579" i="10"/>
  <c r="P579" i="10"/>
  <c r="L579" i="10"/>
  <c r="Q578" i="10"/>
  <c r="P578" i="10"/>
  <c r="L578" i="10"/>
  <c r="M578" i="10"/>
  <c r="Q577" i="10"/>
  <c r="P577" i="10"/>
  <c r="M577" i="10"/>
  <c r="L577" i="10"/>
  <c r="Q576" i="10"/>
  <c r="P576" i="10"/>
  <c r="M576" i="10"/>
  <c r="L576" i="10"/>
  <c r="Q575" i="10"/>
  <c r="P575" i="10"/>
  <c r="L575" i="10"/>
  <c r="Q574" i="10"/>
  <c r="P574" i="10"/>
  <c r="L574" i="10"/>
  <c r="M574" i="10"/>
  <c r="Q573" i="10"/>
  <c r="P573" i="10"/>
  <c r="L573" i="10"/>
  <c r="M573" i="10"/>
  <c r="Q572" i="10"/>
  <c r="P572" i="10"/>
  <c r="L572" i="10"/>
  <c r="M572" i="10"/>
  <c r="Q571" i="10"/>
  <c r="P571" i="10"/>
  <c r="M571" i="10"/>
  <c r="L571" i="10"/>
  <c r="Q570" i="10"/>
  <c r="P570" i="10"/>
  <c r="L570" i="10"/>
  <c r="M570" i="10"/>
  <c r="Q569" i="10"/>
  <c r="P569" i="10"/>
  <c r="L569" i="10"/>
  <c r="M569" i="10"/>
  <c r="Q568" i="10"/>
  <c r="P568" i="10"/>
  <c r="L568" i="10"/>
  <c r="M568" i="10"/>
  <c r="Q567" i="10"/>
  <c r="P567" i="10"/>
  <c r="M567" i="10"/>
  <c r="L567" i="10"/>
  <c r="Q566" i="10"/>
  <c r="P566" i="10"/>
  <c r="L566" i="10"/>
  <c r="M566" i="10"/>
  <c r="Q565" i="10"/>
  <c r="P565" i="10"/>
  <c r="L565" i="10"/>
  <c r="M565" i="10"/>
  <c r="Q564" i="10"/>
  <c r="P564" i="10"/>
  <c r="L564" i="10"/>
  <c r="M564" i="10"/>
  <c r="Q563" i="10"/>
  <c r="P563" i="10"/>
  <c r="M563" i="10"/>
  <c r="L563" i="10"/>
  <c r="Q562" i="10"/>
  <c r="P562" i="10"/>
  <c r="L562" i="10"/>
  <c r="M562" i="10"/>
  <c r="Q561" i="10"/>
  <c r="P561" i="10"/>
  <c r="L561" i="10"/>
  <c r="M561" i="10"/>
  <c r="Q560" i="10"/>
  <c r="P560" i="10"/>
  <c r="L560" i="10"/>
  <c r="M560" i="10"/>
  <c r="Q559" i="10"/>
  <c r="P559" i="10"/>
  <c r="M559" i="10"/>
  <c r="L559" i="10"/>
  <c r="Q558" i="10"/>
  <c r="P558" i="10"/>
  <c r="L558" i="10"/>
  <c r="M558" i="10"/>
  <c r="Q557" i="10"/>
  <c r="P557" i="10"/>
  <c r="L557" i="10"/>
  <c r="M557" i="10"/>
  <c r="Q556" i="10"/>
  <c r="P556" i="10"/>
  <c r="L556" i="10"/>
  <c r="M556" i="10"/>
  <c r="Q555" i="10"/>
  <c r="P555" i="10"/>
  <c r="M555" i="10"/>
  <c r="L555" i="10"/>
  <c r="Q554" i="10"/>
  <c r="P554" i="10"/>
  <c r="L554" i="10"/>
  <c r="M554" i="10"/>
  <c r="Q553" i="10"/>
  <c r="P553" i="10"/>
  <c r="L553" i="10"/>
  <c r="M553" i="10"/>
  <c r="Q552" i="10"/>
  <c r="P552" i="10"/>
  <c r="L552" i="10"/>
  <c r="M552" i="10"/>
  <c r="Q551" i="10"/>
  <c r="P551" i="10"/>
  <c r="M551" i="10"/>
  <c r="L551" i="10"/>
  <c r="Q550" i="10"/>
  <c r="P550" i="10"/>
  <c r="L550" i="10"/>
  <c r="M550" i="10"/>
  <c r="Q549" i="10"/>
  <c r="P549" i="10"/>
  <c r="L549" i="10"/>
  <c r="M549" i="10"/>
  <c r="Q548" i="10"/>
  <c r="P548" i="10"/>
  <c r="L548" i="10"/>
  <c r="M548" i="10"/>
  <c r="Q547" i="10"/>
  <c r="P547" i="10"/>
  <c r="M547" i="10"/>
  <c r="L547" i="10"/>
  <c r="Q546" i="10"/>
  <c r="P546" i="10"/>
  <c r="L546" i="10"/>
  <c r="M546" i="10"/>
  <c r="Q545" i="10"/>
  <c r="P545" i="10"/>
  <c r="L545" i="10"/>
  <c r="M545" i="10"/>
  <c r="Q544" i="10"/>
  <c r="P544" i="10"/>
  <c r="L544" i="10"/>
  <c r="M544" i="10"/>
  <c r="Q543" i="10"/>
  <c r="P543" i="10"/>
  <c r="M543" i="10"/>
  <c r="L543" i="10"/>
  <c r="Q542" i="10"/>
  <c r="P542" i="10"/>
  <c r="L542" i="10"/>
  <c r="M542" i="10"/>
  <c r="Q541" i="10"/>
  <c r="P541" i="10"/>
  <c r="L541" i="10"/>
  <c r="M541" i="10"/>
  <c r="Q540" i="10"/>
  <c r="P540" i="10"/>
  <c r="L540" i="10"/>
  <c r="M540" i="10"/>
  <c r="Q539" i="10"/>
  <c r="P539" i="10"/>
  <c r="M539" i="10"/>
  <c r="L539" i="10"/>
  <c r="Q538" i="10"/>
  <c r="P538" i="10"/>
  <c r="L538" i="10"/>
  <c r="M538" i="10"/>
  <c r="Q537" i="10"/>
  <c r="P537" i="10"/>
  <c r="L537" i="10"/>
  <c r="M537" i="10"/>
  <c r="Q536" i="10"/>
  <c r="P536" i="10"/>
  <c r="L536" i="10"/>
  <c r="M536" i="10"/>
  <c r="Q535" i="10"/>
  <c r="P535" i="10"/>
  <c r="M535" i="10"/>
  <c r="L535" i="10"/>
  <c r="Q534" i="10"/>
  <c r="P534" i="10"/>
  <c r="L534" i="10"/>
  <c r="M534" i="10"/>
  <c r="Q533" i="10"/>
  <c r="P533" i="10"/>
  <c r="L533" i="10"/>
  <c r="M533" i="10"/>
  <c r="Q532" i="10"/>
  <c r="P532" i="10"/>
  <c r="L532" i="10"/>
  <c r="M532" i="10"/>
  <c r="Q531" i="10"/>
  <c r="P531" i="10"/>
  <c r="M531" i="10"/>
  <c r="L531" i="10"/>
  <c r="Q530" i="10"/>
  <c r="P530" i="10"/>
  <c r="M530" i="10"/>
  <c r="L530" i="10"/>
  <c r="Q529" i="10"/>
  <c r="P529" i="10"/>
  <c r="L529" i="10"/>
  <c r="M529" i="10"/>
  <c r="Q528" i="10"/>
  <c r="P528" i="10"/>
  <c r="L528" i="10"/>
  <c r="M528" i="10"/>
  <c r="Q527" i="10"/>
  <c r="P527" i="10"/>
  <c r="L527" i="10"/>
  <c r="M527" i="10"/>
  <c r="Q526" i="10"/>
  <c r="P526" i="10"/>
  <c r="M526" i="10"/>
  <c r="L526" i="10"/>
  <c r="Q525" i="10"/>
  <c r="P525" i="10"/>
  <c r="L525" i="10"/>
  <c r="M525" i="10"/>
  <c r="Q524" i="10"/>
  <c r="P524" i="10"/>
  <c r="L524" i="10"/>
  <c r="M524" i="10"/>
  <c r="Q523" i="10"/>
  <c r="P523" i="10"/>
  <c r="L523" i="10"/>
  <c r="M523" i="10"/>
  <c r="Q522" i="10"/>
  <c r="P522" i="10"/>
  <c r="M522" i="10"/>
  <c r="L522" i="10"/>
  <c r="Q521" i="10"/>
  <c r="P521" i="10"/>
  <c r="L521" i="10"/>
  <c r="M521" i="10"/>
  <c r="Q520" i="10"/>
  <c r="P520" i="10"/>
  <c r="L520" i="10"/>
  <c r="M520" i="10"/>
  <c r="Q519" i="10"/>
  <c r="P519" i="10"/>
  <c r="L519" i="10"/>
  <c r="M519" i="10"/>
  <c r="Q518" i="10"/>
  <c r="P518" i="10"/>
  <c r="M518" i="10"/>
  <c r="L518" i="10"/>
  <c r="Q517" i="10"/>
  <c r="P517" i="10"/>
  <c r="L517" i="10"/>
  <c r="M517" i="10"/>
  <c r="Q516" i="10"/>
  <c r="P516" i="10"/>
  <c r="L516" i="10"/>
  <c r="M516" i="10"/>
  <c r="Q515" i="10"/>
  <c r="P515" i="10"/>
  <c r="L515" i="10"/>
  <c r="M515" i="10"/>
  <c r="Q514" i="10"/>
  <c r="P514" i="10"/>
  <c r="M514" i="10"/>
  <c r="L514" i="10"/>
  <c r="Q513" i="10"/>
  <c r="P513" i="10"/>
  <c r="L513" i="10"/>
  <c r="M513" i="10"/>
  <c r="Q512" i="10"/>
  <c r="P512" i="10"/>
  <c r="L512" i="10"/>
  <c r="M512" i="10"/>
  <c r="Q511" i="10"/>
  <c r="P511" i="10"/>
  <c r="L511" i="10"/>
  <c r="M511" i="10"/>
  <c r="Q510" i="10"/>
  <c r="P510" i="10"/>
  <c r="M510" i="10"/>
  <c r="L510" i="10"/>
  <c r="Q509" i="10"/>
  <c r="P509" i="10"/>
  <c r="L509" i="10"/>
  <c r="M509" i="10"/>
  <c r="Q508" i="10"/>
  <c r="P508" i="10"/>
  <c r="L508" i="10"/>
  <c r="M508" i="10"/>
  <c r="Q507" i="10"/>
  <c r="P507" i="10"/>
  <c r="L507" i="10"/>
  <c r="M507" i="10"/>
  <c r="Q506" i="10"/>
  <c r="P506" i="10"/>
  <c r="M506" i="10"/>
  <c r="L506" i="10"/>
  <c r="Q505" i="10"/>
  <c r="P505" i="10"/>
  <c r="L505" i="10"/>
  <c r="M505" i="10"/>
  <c r="Q504" i="10"/>
  <c r="P504" i="10"/>
  <c r="L504" i="10"/>
  <c r="M504" i="10"/>
  <c r="Q503" i="10"/>
  <c r="P503" i="10"/>
  <c r="L503" i="10"/>
  <c r="M503" i="10"/>
  <c r="Q502" i="10"/>
  <c r="P502" i="10"/>
  <c r="M502" i="10"/>
  <c r="L502" i="10"/>
  <c r="Q501" i="10"/>
  <c r="P501" i="10"/>
  <c r="L501" i="10"/>
  <c r="M501" i="10"/>
  <c r="Q500" i="10"/>
  <c r="P500" i="10"/>
  <c r="L500" i="10"/>
  <c r="M500" i="10"/>
  <c r="Q499" i="10"/>
  <c r="P499" i="10"/>
  <c r="L499" i="10"/>
  <c r="M499" i="10"/>
  <c r="Q498" i="10"/>
  <c r="P498" i="10"/>
  <c r="M498" i="10"/>
  <c r="L498" i="10"/>
  <c r="Q497" i="10"/>
  <c r="P497" i="10"/>
  <c r="L497" i="10"/>
  <c r="M497" i="10"/>
  <c r="Q496" i="10"/>
  <c r="P496" i="10"/>
  <c r="L496" i="10"/>
  <c r="M496" i="10"/>
  <c r="Q495" i="10"/>
  <c r="P495" i="10"/>
  <c r="L495" i="10"/>
  <c r="M495" i="10"/>
  <c r="Q494" i="10"/>
  <c r="P494" i="10"/>
  <c r="M494" i="10"/>
  <c r="L494" i="10"/>
  <c r="Q493" i="10"/>
  <c r="P493" i="10"/>
  <c r="L493" i="10"/>
  <c r="M493" i="10"/>
  <c r="Q492" i="10"/>
  <c r="P492" i="10"/>
  <c r="L492" i="10"/>
  <c r="M492" i="10"/>
  <c r="Q491" i="10"/>
  <c r="P491" i="10"/>
  <c r="L491" i="10"/>
  <c r="M491" i="10"/>
  <c r="Q490" i="10"/>
  <c r="P490" i="10"/>
  <c r="M490" i="10"/>
  <c r="L490" i="10"/>
  <c r="Q489" i="10"/>
  <c r="P489" i="10"/>
  <c r="L489" i="10"/>
  <c r="M489" i="10"/>
  <c r="Q488" i="10"/>
  <c r="P488" i="10"/>
  <c r="L488" i="10"/>
  <c r="M488" i="10"/>
  <c r="Q487" i="10"/>
  <c r="P487" i="10"/>
  <c r="L487" i="10"/>
  <c r="M487" i="10"/>
  <c r="Q486" i="10"/>
  <c r="P486" i="10"/>
  <c r="M486" i="10"/>
  <c r="L486" i="10"/>
  <c r="Q485" i="10"/>
  <c r="P485" i="10"/>
  <c r="L485" i="10"/>
  <c r="M485" i="10"/>
  <c r="Q484" i="10"/>
  <c r="P484" i="10"/>
  <c r="L484" i="10"/>
  <c r="M484" i="10"/>
  <c r="Q483" i="10"/>
  <c r="P483" i="10"/>
  <c r="L483" i="10"/>
  <c r="M483" i="10"/>
  <c r="Q482" i="10"/>
  <c r="P482" i="10"/>
  <c r="M482" i="10"/>
  <c r="L482" i="10"/>
  <c r="Q481" i="10"/>
  <c r="P481" i="10"/>
  <c r="L481" i="10"/>
  <c r="M481" i="10"/>
  <c r="Q480" i="10"/>
  <c r="P480" i="10"/>
  <c r="L480" i="10"/>
  <c r="M480" i="10"/>
  <c r="Q479" i="10"/>
  <c r="P479" i="10"/>
  <c r="L479" i="10"/>
  <c r="M479" i="10"/>
  <c r="Q478" i="10"/>
  <c r="P478" i="10"/>
  <c r="M478" i="10"/>
  <c r="L478" i="10"/>
  <c r="Q477" i="10"/>
  <c r="P477" i="10"/>
  <c r="L477" i="10"/>
  <c r="M477" i="10"/>
  <c r="Q476" i="10"/>
  <c r="P476" i="10"/>
  <c r="L476" i="10"/>
  <c r="M476" i="10"/>
  <c r="Q475" i="10"/>
  <c r="P475" i="10"/>
  <c r="L475" i="10"/>
  <c r="M475" i="10"/>
  <c r="Q474" i="10"/>
  <c r="P474" i="10"/>
  <c r="M474" i="10"/>
  <c r="L474" i="10"/>
  <c r="Q473" i="10"/>
  <c r="P473" i="10"/>
  <c r="L473" i="10"/>
  <c r="M473" i="10"/>
  <c r="Q472" i="10"/>
  <c r="P472" i="10"/>
  <c r="M472" i="10"/>
  <c r="L472" i="10"/>
  <c r="Q471" i="10"/>
  <c r="P471" i="10"/>
  <c r="L471" i="10"/>
  <c r="M471" i="10"/>
  <c r="Q470" i="10"/>
  <c r="P470" i="10"/>
  <c r="L470" i="10"/>
  <c r="M470" i="10"/>
  <c r="Q469" i="10"/>
  <c r="P469" i="10"/>
  <c r="L469" i="10"/>
  <c r="M469" i="10"/>
  <c r="Q468" i="10"/>
  <c r="P468" i="10"/>
  <c r="M468" i="10"/>
  <c r="L468" i="10"/>
  <c r="Q467" i="10"/>
  <c r="P467" i="10"/>
  <c r="L467" i="10"/>
  <c r="M467" i="10"/>
  <c r="Q466" i="10"/>
  <c r="P466" i="10"/>
  <c r="L466" i="10"/>
  <c r="Q465" i="10"/>
  <c r="P465" i="10"/>
  <c r="L465" i="10"/>
  <c r="M465" i="10"/>
  <c r="Q464" i="10"/>
  <c r="P464" i="10"/>
  <c r="M464" i="10"/>
  <c r="L464" i="10"/>
  <c r="Q463" i="10"/>
  <c r="P463" i="10"/>
  <c r="L463" i="10"/>
  <c r="M463" i="10"/>
  <c r="Q462" i="10"/>
  <c r="P462" i="10"/>
  <c r="L462" i="10"/>
  <c r="M462" i="10"/>
  <c r="Q461" i="10"/>
  <c r="P461" i="10"/>
  <c r="L461" i="10"/>
  <c r="M461" i="10"/>
  <c r="Q460" i="10"/>
  <c r="P460" i="10"/>
  <c r="M460" i="10"/>
  <c r="L460" i="10"/>
  <c r="Q459" i="10"/>
  <c r="P459" i="10"/>
  <c r="L459" i="10"/>
  <c r="M459" i="10"/>
  <c r="Q458" i="10"/>
  <c r="P458" i="10"/>
  <c r="L458" i="10"/>
  <c r="Q457" i="10"/>
  <c r="P457" i="10"/>
  <c r="L457" i="10"/>
  <c r="M457" i="10"/>
  <c r="Q456" i="10"/>
  <c r="P456" i="10"/>
  <c r="M456" i="10"/>
  <c r="L456" i="10"/>
  <c r="Q455" i="10"/>
  <c r="P455" i="10"/>
  <c r="L455" i="10"/>
  <c r="M455" i="10"/>
  <c r="Q454" i="10"/>
  <c r="P454" i="10"/>
  <c r="L454" i="10"/>
  <c r="M454" i="10"/>
  <c r="Q453" i="10"/>
  <c r="P453" i="10"/>
  <c r="L453" i="10"/>
  <c r="M453" i="10"/>
  <c r="Q452" i="10"/>
  <c r="P452" i="10"/>
  <c r="M452" i="10"/>
  <c r="L452" i="10"/>
  <c r="Q451" i="10"/>
  <c r="P451" i="10"/>
  <c r="L451" i="10"/>
  <c r="M451" i="10"/>
  <c r="Q450" i="10"/>
  <c r="P450" i="10"/>
  <c r="L450" i="10"/>
  <c r="Q449" i="10"/>
  <c r="P449" i="10"/>
  <c r="L449" i="10"/>
  <c r="M449" i="10"/>
  <c r="Q448" i="10"/>
  <c r="P448" i="10"/>
  <c r="M448" i="10"/>
  <c r="L448" i="10"/>
  <c r="Q447" i="10"/>
  <c r="P447" i="10"/>
  <c r="L447" i="10"/>
  <c r="M447" i="10"/>
  <c r="Q446" i="10"/>
  <c r="P446" i="10"/>
  <c r="L446" i="10"/>
  <c r="M446" i="10"/>
  <c r="Q445" i="10"/>
  <c r="P445" i="10"/>
  <c r="L445" i="10"/>
  <c r="M445" i="10"/>
  <c r="Q444" i="10"/>
  <c r="P444" i="10"/>
  <c r="M444" i="10"/>
  <c r="L444" i="10"/>
  <c r="Q443" i="10"/>
  <c r="P443" i="10"/>
  <c r="L443" i="10"/>
  <c r="M443" i="10"/>
  <c r="Q442" i="10"/>
  <c r="P442" i="10"/>
  <c r="L442" i="10"/>
  <c r="Q441" i="10"/>
  <c r="P441" i="10"/>
  <c r="L441" i="10"/>
  <c r="M441" i="10"/>
  <c r="Q440" i="10"/>
  <c r="P440" i="10"/>
  <c r="M440" i="10"/>
  <c r="L440" i="10"/>
  <c r="Q439" i="10"/>
  <c r="P439" i="10"/>
  <c r="L439" i="10"/>
  <c r="M439" i="10"/>
  <c r="Q438" i="10"/>
  <c r="P438" i="10"/>
  <c r="L438" i="10"/>
  <c r="M438" i="10"/>
  <c r="Q437" i="10"/>
  <c r="P437" i="10"/>
  <c r="L437" i="10"/>
  <c r="M437" i="10"/>
  <c r="Q436" i="10"/>
  <c r="P436" i="10"/>
  <c r="M436" i="10"/>
  <c r="L436" i="10"/>
  <c r="Q435" i="10"/>
  <c r="P435" i="10"/>
  <c r="L435" i="10"/>
  <c r="M435" i="10"/>
  <c r="Q434" i="10"/>
  <c r="P434" i="10"/>
  <c r="L434" i="10"/>
  <c r="Q433" i="10"/>
  <c r="P433" i="10"/>
  <c r="L433" i="10"/>
  <c r="M433" i="10"/>
  <c r="Q432" i="10"/>
  <c r="P432" i="10"/>
  <c r="M432" i="10"/>
  <c r="L432" i="10"/>
  <c r="Q431" i="10"/>
  <c r="P431" i="10"/>
  <c r="L431" i="10"/>
  <c r="M431" i="10"/>
  <c r="Q430" i="10"/>
  <c r="P430" i="10"/>
  <c r="L430" i="10"/>
  <c r="M430" i="10"/>
  <c r="Q429" i="10"/>
  <c r="P429" i="10"/>
  <c r="L429" i="10"/>
  <c r="M429" i="10"/>
  <c r="Q428" i="10"/>
  <c r="P428" i="10"/>
  <c r="M428" i="10"/>
  <c r="L428" i="10"/>
  <c r="Q427" i="10"/>
  <c r="P427" i="10"/>
  <c r="L427" i="10"/>
  <c r="M427" i="10"/>
  <c r="Q426" i="10"/>
  <c r="P426" i="10"/>
  <c r="L426" i="10"/>
  <c r="Q425" i="10"/>
  <c r="P425" i="10"/>
  <c r="L425" i="10"/>
  <c r="M425" i="10"/>
  <c r="Q424" i="10"/>
  <c r="P424" i="10"/>
  <c r="M424" i="10"/>
  <c r="L424" i="10"/>
  <c r="Q423" i="10"/>
  <c r="P423" i="10"/>
  <c r="L423" i="10"/>
  <c r="M423" i="10"/>
  <c r="Q422" i="10"/>
  <c r="P422" i="10"/>
  <c r="L422" i="10"/>
  <c r="M422" i="10"/>
  <c r="Q421" i="10"/>
  <c r="P421" i="10"/>
  <c r="L421" i="10"/>
  <c r="M421" i="10"/>
  <c r="Q420" i="10"/>
  <c r="P420" i="10"/>
  <c r="M420" i="10"/>
  <c r="L420" i="10"/>
  <c r="Q419" i="10"/>
  <c r="P419" i="10"/>
  <c r="L419" i="10"/>
  <c r="M419" i="10"/>
  <c r="Q418" i="10"/>
  <c r="P418" i="10"/>
  <c r="L418" i="10"/>
  <c r="Q417" i="10"/>
  <c r="P417" i="10"/>
  <c r="L417" i="10"/>
  <c r="M417" i="10"/>
  <c r="Q416" i="10"/>
  <c r="P416" i="10"/>
  <c r="M416" i="10"/>
  <c r="L416" i="10"/>
  <c r="Q415" i="10"/>
  <c r="P415" i="10"/>
  <c r="L415" i="10"/>
  <c r="M415" i="10"/>
  <c r="Q414" i="10"/>
  <c r="P414" i="10"/>
  <c r="L414" i="10"/>
  <c r="M414" i="10"/>
  <c r="Q413" i="10"/>
  <c r="P413" i="10"/>
  <c r="L413" i="10"/>
  <c r="M413" i="10"/>
  <c r="Q412" i="10"/>
  <c r="P412" i="10"/>
  <c r="M412" i="10"/>
  <c r="L412" i="10"/>
  <c r="Q411" i="10"/>
  <c r="P411" i="10"/>
  <c r="L411" i="10"/>
  <c r="M411" i="10"/>
  <c r="Q410" i="10"/>
  <c r="P410" i="10"/>
  <c r="L410" i="10"/>
  <c r="Q409" i="10"/>
  <c r="P409" i="10"/>
  <c r="L409" i="10"/>
  <c r="M409" i="10"/>
  <c r="Q408" i="10"/>
  <c r="P408" i="10"/>
  <c r="M408" i="10"/>
  <c r="L408" i="10"/>
  <c r="Q407" i="10"/>
  <c r="P407" i="10"/>
  <c r="L407" i="10"/>
  <c r="M407" i="10"/>
  <c r="Q406" i="10"/>
  <c r="P406" i="10"/>
  <c r="L406" i="10"/>
  <c r="M406" i="10"/>
  <c r="Q405" i="10"/>
  <c r="P405" i="10"/>
  <c r="L405" i="10"/>
  <c r="M405" i="10"/>
  <c r="Q404" i="10"/>
  <c r="P404" i="10"/>
  <c r="M404" i="10"/>
  <c r="L404" i="10"/>
  <c r="Q403" i="10"/>
  <c r="P403" i="10"/>
  <c r="L403" i="10"/>
  <c r="M403" i="10"/>
  <c r="Q402" i="10"/>
  <c r="P402" i="10"/>
  <c r="L402" i="10"/>
  <c r="Q401" i="10"/>
  <c r="P401" i="10"/>
  <c r="L401" i="10"/>
  <c r="M401" i="10"/>
  <c r="Q400" i="10"/>
  <c r="P400" i="10"/>
  <c r="M400" i="10"/>
  <c r="L400" i="10"/>
  <c r="Q399" i="10"/>
  <c r="P399" i="10"/>
  <c r="L399" i="10"/>
  <c r="M399" i="10"/>
  <c r="Q398" i="10"/>
  <c r="P398" i="10"/>
  <c r="L398" i="10"/>
  <c r="M398" i="10"/>
  <c r="Q397" i="10"/>
  <c r="P397" i="10"/>
  <c r="L397" i="10"/>
  <c r="M397" i="10"/>
  <c r="Q396" i="10"/>
  <c r="P396" i="10"/>
  <c r="M396" i="10"/>
  <c r="L396" i="10"/>
  <c r="Q395" i="10"/>
  <c r="P395" i="10"/>
  <c r="L395" i="10"/>
  <c r="M395" i="10"/>
  <c r="Q394" i="10"/>
  <c r="P394" i="10"/>
  <c r="L394" i="10"/>
  <c r="Q393" i="10"/>
  <c r="P393" i="10"/>
  <c r="L393" i="10"/>
  <c r="M393" i="10"/>
  <c r="Q392" i="10"/>
  <c r="P392" i="10"/>
  <c r="M392" i="10"/>
  <c r="L392" i="10"/>
  <c r="Q391" i="10"/>
  <c r="P391" i="10"/>
  <c r="L391" i="10"/>
  <c r="M391" i="10"/>
  <c r="Q390" i="10"/>
  <c r="P390" i="10"/>
  <c r="L390" i="10"/>
  <c r="M390" i="10"/>
  <c r="Q389" i="10"/>
  <c r="P389" i="10"/>
  <c r="M389" i="10"/>
  <c r="L389" i="10"/>
  <c r="Q388" i="10"/>
  <c r="P388" i="10"/>
  <c r="M388" i="10"/>
  <c r="L388" i="10"/>
  <c r="Q387" i="10"/>
  <c r="P387" i="10"/>
  <c r="L387" i="10"/>
  <c r="M387" i="10"/>
  <c r="Q386" i="10"/>
  <c r="P386" i="10"/>
  <c r="L386" i="10"/>
  <c r="M386" i="10"/>
  <c r="Q385" i="10"/>
  <c r="P385" i="10"/>
  <c r="M385" i="10"/>
  <c r="L385" i="10"/>
  <c r="Q384" i="10"/>
  <c r="P384" i="10"/>
  <c r="M384" i="10"/>
  <c r="L384" i="10"/>
  <c r="Q383" i="10"/>
  <c r="P383" i="10"/>
  <c r="L383" i="10"/>
  <c r="M383" i="10"/>
  <c r="Q382" i="10"/>
  <c r="P382" i="10"/>
  <c r="L382" i="10"/>
  <c r="M382" i="10"/>
  <c r="Q381" i="10"/>
  <c r="P381" i="10"/>
  <c r="M381" i="10"/>
  <c r="L381" i="10"/>
  <c r="Q380" i="10"/>
  <c r="P380" i="10"/>
  <c r="M380" i="10"/>
  <c r="L380" i="10"/>
  <c r="Q379" i="10"/>
  <c r="P379" i="10"/>
  <c r="L379" i="10"/>
  <c r="M379" i="10"/>
  <c r="Q378" i="10"/>
  <c r="P378" i="10"/>
  <c r="L378" i="10"/>
  <c r="Q377" i="10"/>
  <c r="P377" i="10"/>
  <c r="M377" i="10"/>
  <c r="L377" i="10"/>
  <c r="Q376" i="10"/>
  <c r="P376" i="10"/>
  <c r="M376" i="10"/>
  <c r="L376" i="10"/>
  <c r="Q375" i="10"/>
  <c r="P375" i="10"/>
  <c r="L375" i="10"/>
  <c r="M375" i="10"/>
  <c r="Q374" i="10"/>
  <c r="P374" i="10"/>
  <c r="L374" i="10"/>
  <c r="M374" i="10"/>
  <c r="Q373" i="10"/>
  <c r="P373" i="10"/>
  <c r="M373" i="10"/>
  <c r="L373" i="10"/>
  <c r="Q372" i="10"/>
  <c r="P372" i="10"/>
  <c r="L372" i="10"/>
  <c r="M372" i="10"/>
  <c r="Q371" i="10"/>
  <c r="P371" i="10"/>
  <c r="L371" i="10"/>
  <c r="M371" i="10"/>
  <c r="Q370" i="10"/>
  <c r="P370" i="10"/>
  <c r="L370" i="10"/>
  <c r="M370" i="10"/>
  <c r="Q369" i="10"/>
  <c r="P369" i="10"/>
  <c r="L369" i="10"/>
  <c r="M369" i="10"/>
  <c r="Q368" i="10"/>
  <c r="P368" i="10"/>
  <c r="M368" i="10"/>
  <c r="L368" i="10"/>
  <c r="Q367" i="10"/>
  <c r="P367" i="10"/>
  <c r="M367" i="10"/>
  <c r="L367" i="10"/>
  <c r="Q366" i="10"/>
  <c r="P366" i="10"/>
  <c r="L366" i="10"/>
  <c r="M366" i="10"/>
  <c r="Q365" i="10"/>
  <c r="P365" i="10"/>
  <c r="L365" i="10"/>
  <c r="M365" i="10"/>
  <c r="Q364" i="10"/>
  <c r="P364" i="10"/>
  <c r="M364" i="10"/>
  <c r="L364" i="10"/>
  <c r="Q363" i="10"/>
  <c r="P363" i="10"/>
  <c r="M363" i="10"/>
  <c r="L363" i="10"/>
  <c r="Q362" i="10"/>
  <c r="P362" i="10"/>
  <c r="L362" i="10"/>
  <c r="M362" i="10"/>
  <c r="Q361" i="10"/>
  <c r="P361" i="10"/>
  <c r="L361" i="10"/>
  <c r="M361" i="10"/>
  <c r="Q360" i="10"/>
  <c r="P360" i="10"/>
  <c r="M360" i="10"/>
  <c r="L360" i="10"/>
  <c r="Q359" i="10"/>
  <c r="P359" i="10"/>
  <c r="M359" i="10"/>
  <c r="L359" i="10"/>
  <c r="Q358" i="10"/>
  <c r="P358" i="10"/>
  <c r="L358" i="10"/>
  <c r="M358" i="10"/>
  <c r="Q357" i="10"/>
  <c r="P357" i="10"/>
  <c r="L357" i="10"/>
  <c r="M357" i="10"/>
  <c r="Q356" i="10"/>
  <c r="P356" i="10"/>
  <c r="M356" i="10"/>
  <c r="L356" i="10"/>
  <c r="Q355" i="10"/>
  <c r="P355" i="10"/>
  <c r="M355" i="10"/>
  <c r="L355" i="10"/>
  <c r="Q354" i="10"/>
  <c r="P354" i="10"/>
  <c r="L354" i="10"/>
  <c r="M354" i="10"/>
  <c r="Q353" i="10"/>
  <c r="P353" i="10"/>
  <c r="L353" i="10"/>
  <c r="M353" i="10"/>
  <c r="Q352" i="10"/>
  <c r="P352" i="10"/>
  <c r="M352" i="10"/>
  <c r="L352" i="10"/>
  <c r="Q351" i="10"/>
  <c r="P351" i="10"/>
  <c r="M351" i="10"/>
  <c r="L351" i="10"/>
  <c r="Q350" i="10"/>
  <c r="P350" i="10"/>
  <c r="L350" i="10"/>
  <c r="M350" i="10"/>
  <c r="Q349" i="10"/>
  <c r="P349" i="10"/>
  <c r="L349" i="10"/>
  <c r="M349" i="10"/>
  <c r="Q348" i="10"/>
  <c r="P348" i="10"/>
  <c r="M348" i="10"/>
  <c r="L348" i="10"/>
  <c r="Q347" i="10"/>
  <c r="P347" i="10"/>
  <c r="M347" i="10"/>
  <c r="L347" i="10"/>
  <c r="Q346" i="10"/>
  <c r="P346" i="10"/>
  <c r="L346" i="10"/>
  <c r="M346" i="10"/>
  <c r="Q345" i="10"/>
  <c r="P345" i="10"/>
  <c r="L345" i="10"/>
  <c r="M345" i="10"/>
  <c r="Q344" i="10"/>
  <c r="P344" i="10"/>
  <c r="L344" i="10"/>
  <c r="M344" i="10"/>
  <c r="Q343" i="10"/>
  <c r="P343" i="10"/>
  <c r="M343" i="10"/>
  <c r="L343" i="10"/>
  <c r="Q342" i="10"/>
  <c r="P342" i="10"/>
  <c r="M342" i="10"/>
  <c r="L342" i="10"/>
  <c r="Q341" i="10"/>
  <c r="P341" i="10"/>
  <c r="L341" i="10"/>
  <c r="M341" i="10"/>
  <c r="Q340" i="10"/>
  <c r="P340" i="10"/>
  <c r="L340" i="10"/>
  <c r="M340" i="10"/>
  <c r="Q339" i="10"/>
  <c r="P339" i="10"/>
  <c r="M339" i="10"/>
  <c r="L339" i="10"/>
  <c r="Q338" i="10"/>
  <c r="P338" i="10"/>
  <c r="M338" i="10"/>
  <c r="L338" i="10"/>
  <c r="Q337" i="10"/>
  <c r="P337" i="10"/>
  <c r="L337" i="10"/>
  <c r="M337" i="10"/>
  <c r="Q336" i="10"/>
  <c r="P336" i="10"/>
  <c r="L336" i="10"/>
  <c r="M336" i="10"/>
  <c r="Q335" i="10"/>
  <c r="P335" i="10"/>
  <c r="M335" i="10"/>
  <c r="L335" i="10"/>
  <c r="Q334" i="10"/>
  <c r="P334" i="10"/>
  <c r="M334" i="10"/>
  <c r="L334" i="10"/>
  <c r="Q333" i="10"/>
  <c r="P333" i="10"/>
  <c r="L333" i="10"/>
  <c r="M333" i="10"/>
  <c r="Q332" i="10"/>
  <c r="P332" i="10"/>
  <c r="L332" i="10"/>
  <c r="M332" i="10"/>
  <c r="Q331" i="10"/>
  <c r="P331" i="10"/>
  <c r="M331" i="10"/>
  <c r="L331" i="10"/>
  <c r="Q330" i="10"/>
  <c r="P330" i="10"/>
  <c r="L330" i="10"/>
  <c r="M330" i="10"/>
  <c r="Q329" i="10"/>
  <c r="P329" i="10"/>
  <c r="L329" i="10"/>
  <c r="M329" i="10"/>
  <c r="Q328" i="10"/>
  <c r="P328" i="10"/>
  <c r="L328" i="10"/>
  <c r="M328" i="10"/>
  <c r="Q327" i="10"/>
  <c r="P327" i="10"/>
  <c r="M327" i="10"/>
  <c r="L327" i="10"/>
  <c r="Q326" i="10"/>
  <c r="P326" i="10"/>
  <c r="L326" i="10"/>
  <c r="M326" i="10"/>
  <c r="Q325" i="10"/>
  <c r="P325" i="10"/>
  <c r="L325" i="10"/>
  <c r="M325" i="10"/>
  <c r="Q324" i="10"/>
  <c r="P324" i="10"/>
  <c r="L324" i="10"/>
  <c r="M324" i="10"/>
  <c r="Q323" i="10"/>
  <c r="P323" i="10"/>
  <c r="M323" i="10"/>
  <c r="L323" i="10"/>
  <c r="Q322" i="10"/>
  <c r="P322" i="10"/>
  <c r="L322" i="10"/>
  <c r="M322" i="10"/>
  <c r="Q321" i="10"/>
  <c r="P321" i="10"/>
  <c r="L321" i="10"/>
  <c r="M321" i="10"/>
  <c r="Q320" i="10"/>
  <c r="P320" i="10"/>
  <c r="L320" i="10"/>
  <c r="M320" i="10"/>
  <c r="Q319" i="10"/>
  <c r="P319" i="10"/>
  <c r="M319" i="10"/>
  <c r="L319" i="10"/>
  <c r="Q318" i="10"/>
  <c r="P318" i="10"/>
  <c r="L318" i="10"/>
  <c r="M318" i="10"/>
  <c r="Q317" i="10"/>
  <c r="P317" i="10"/>
  <c r="L317" i="10"/>
  <c r="M317" i="10"/>
  <c r="Q316" i="10"/>
  <c r="P316" i="10"/>
  <c r="L316" i="10"/>
  <c r="M316" i="10"/>
  <c r="Q315" i="10"/>
  <c r="P315" i="10"/>
  <c r="M315" i="10"/>
  <c r="L315" i="10"/>
  <c r="Q314" i="10"/>
  <c r="P314" i="10"/>
  <c r="L314" i="10"/>
  <c r="M314" i="10"/>
  <c r="Q313" i="10"/>
  <c r="P313" i="10"/>
  <c r="L313" i="10"/>
  <c r="M313" i="10"/>
  <c r="Q312" i="10"/>
  <c r="P312" i="10"/>
  <c r="L312" i="10"/>
  <c r="M312" i="10"/>
  <c r="Q311" i="10"/>
  <c r="P311" i="10"/>
  <c r="M311" i="10"/>
  <c r="L311" i="10"/>
  <c r="Q310" i="10"/>
  <c r="P310" i="10"/>
  <c r="L310" i="10"/>
  <c r="M310" i="10"/>
  <c r="Q309" i="10"/>
  <c r="P309" i="10"/>
  <c r="L309" i="10"/>
  <c r="M309" i="10"/>
  <c r="Q308" i="10"/>
  <c r="P308" i="10"/>
  <c r="L308" i="10"/>
  <c r="M308" i="10"/>
  <c r="Q307" i="10"/>
  <c r="P307" i="10"/>
  <c r="M307" i="10"/>
  <c r="L307" i="10"/>
  <c r="Q306" i="10"/>
  <c r="P306" i="10"/>
  <c r="L306" i="10"/>
  <c r="M306" i="10"/>
  <c r="Q305" i="10"/>
  <c r="P305" i="10"/>
  <c r="L305" i="10"/>
  <c r="M305" i="10"/>
  <c r="Q304" i="10"/>
  <c r="P304" i="10"/>
  <c r="L304" i="10"/>
  <c r="M304" i="10"/>
  <c r="Q303" i="10"/>
  <c r="P303" i="10"/>
  <c r="M303" i="10"/>
  <c r="L303" i="10"/>
  <c r="Q302" i="10"/>
  <c r="P302" i="10"/>
  <c r="L302" i="10"/>
  <c r="M302" i="10"/>
  <c r="Q301" i="10"/>
  <c r="P301" i="10"/>
  <c r="L301" i="10"/>
  <c r="M301" i="10"/>
  <c r="Q300" i="10"/>
  <c r="P300" i="10"/>
  <c r="L300" i="10"/>
  <c r="M300" i="10"/>
  <c r="Q299" i="10"/>
  <c r="P299" i="10"/>
  <c r="M299" i="10"/>
  <c r="L299" i="10"/>
  <c r="Q298" i="10"/>
  <c r="P298" i="10"/>
  <c r="L298" i="10"/>
  <c r="M298" i="10"/>
  <c r="Q297" i="10"/>
  <c r="P297" i="10"/>
  <c r="L297" i="10"/>
  <c r="M297" i="10"/>
  <c r="Q296" i="10"/>
  <c r="P296" i="10"/>
  <c r="L296" i="10"/>
  <c r="M296" i="10"/>
  <c r="Q295" i="10"/>
  <c r="P295" i="10"/>
  <c r="M295" i="10"/>
  <c r="L295" i="10"/>
  <c r="Q294" i="10"/>
  <c r="P294" i="10"/>
  <c r="L294" i="10"/>
  <c r="M294" i="10"/>
  <c r="Q293" i="10"/>
  <c r="P293" i="10"/>
  <c r="L293" i="10"/>
  <c r="M293" i="10"/>
  <c r="Q292" i="10"/>
  <c r="P292" i="10"/>
  <c r="L292" i="10"/>
  <c r="M292" i="10"/>
  <c r="Q291" i="10"/>
  <c r="P291" i="10"/>
  <c r="M291" i="10"/>
  <c r="L291" i="10"/>
  <c r="Q290" i="10"/>
  <c r="P290" i="10"/>
  <c r="L290" i="10"/>
  <c r="M290" i="10"/>
  <c r="Q289" i="10"/>
  <c r="P289" i="10"/>
  <c r="L289" i="10"/>
  <c r="M289" i="10"/>
  <c r="Q288" i="10"/>
  <c r="P288" i="10"/>
  <c r="L288" i="10"/>
  <c r="M288" i="10"/>
  <c r="Q287" i="10"/>
  <c r="P287" i="10"/>
  <c r="M287" i="10"/>
  <c r="L287" i="10"/>
  <c r="Q286" i="10"/>
  <c r="P286" i="10"/>
  <c r="L286" i="10"/>
  <c r="M286" i="10"/>
  <c r="Q285" i="10"/>
  <c r="P285" i="10"/>
  <c r="L285" i="10"/>
  <c r="M285" i="10"/>
  <c r="Q284" i="10"/>
  <c r="P284" i="10"/>
  <c r="L284" i="10"/>
  <c r="M284" i="10"/>
  <c r="Q283" i="10"/>
  <c r="P283" i="10"/>
  <c r="M283" i="10"/>
  <c r="L283" i="10"/>
  <c r="Q282" i="10"/>
  <c r="P282" i="10"/>
  <c r="L282" i="10"/>
  <c r="M282" i="10"/>
  <c r="Q281" i="10"/>
  <c r="P281" i="10"/>
  <c r="L281" i="10"/>
  <c r="M281" i="10"/>
  <c r="Q280" i="10"/>
  <c r="P280" i="10"/>
  <c r="L280" i="10"/>
  <c r="M280" i="10"/>
  <c r="Q279" i="10"/>
  <c r="P279" i="10"/>
  <c r="M279" i="10"/>
  <c r="L279" i="10"/>
  <c r="Q278" i="10"/>
  <c r="P278" i="10"/>
  <c r="L278" i="10"/>
  <c r="M278" i="10"/>
  <c r="Q277" i="10"/>
  <c r="P277" i="10"/>
  <c r="L277" i="10"/>
  <c r="M277" i="10"/>
  <c r="Q276" i="10"/>
  <c r="P276" i="10"/>
  <c r="L276" i="10"/>
  <c r="M276" i="10"/>
  <c r="Q275" i="10"/>
  <c r="P275" i="10"/>
  <c r="M275" i="10"/>
  <c r="L275" i="10"/>
  <c r="Q274" i="10"/>
  <c r="P274" i="10"/>
  <c r="L274" i="10"/>
  <c r="M274" i="10"/>
  <c r="Q273" i="10"/>
  <c r="P273" i="10"/>
  <c r="L273" i="10"/>
  <c r="M273" i="10"/>
  <c r="Q272" i="10"/>
  <c r="P272" i="10"/>
  <c r="L272" i="10"/>
  <c r="M272" i="10"/>
  <c r="Q271" i="10"/>
  <c r="P271" i="10"/>
  <c r="M271" i="10"/>
  <c r="L271" i="10"/>
  <c r="Q270" i="10"/>
  <c r="P270" i="10"/>
  <c r="L270" i="10"/>
  <c r="M270" i="10"/>
  <c r="Q269" i="10"/>
  <c r="P269" i="10"/>
  <c r="L269" i="10"/>
  <c r="M269" i="10"/>
  <c r="Q268" i="10"/>
  <c r="P268" i="10"/>
  <c r="L268" i="10"/>
  <c r="M268" i="10"/>
  <c r="Q267" i="10"/>
  <c r="P267" i="10"/>
  <c r="M267" i="10"/>
  <c r="L267" i="10"/>
  <c r="Q266" i="10"/>
  <c r="P266" i="10"/>
  <c r="L266" i="10"/>
  <c r="M266" i="10"/>
  <c r="Q265" i="10"/>
  <c r="P265" i="10"/>
  <c r="L265" i="10"/>
  <c r="M265" i="10"/>
  <c r="Q264" i="10"/>
  <c r="P264" i="10"/>
  <c r="L264" i="10"/>
  <c r="M264" i="10"/>
  <c r="Q263" i="10"/>
  <c r="P263" i="10"/>
  <c r="M263" i="10"/>
  <c r="L263" i="10"/>
  <c r="Q262" i="10"/>
  <c r="P262" i="10"/>
  <c r="L262" i="10"/>
  <c r="M262" i="10"/>
  <c r="Q261" i="10"/>
  <c r="P261" i="10"/>
  <c r="L261" i="10"/>
  <c r="M261" i="10"/>
  <c r="Q260" i="10"/>
  <c r="P260" i="10"/>
  <c r="L260" i="10"/>
  <c r="M260" i="10"/>
  <c r="Q259" i="10"/>
  <c r="P259" i="10"/>
  <c r="M259" i="10"/>
  <c r="L259" i="10"/>
  <c r="Q258" i="10"/>
  <c r="P258" i="10"/>
  <c r="L258" i="10"/>
  <c r="M258" i="10"/>
  <c r="Q257" i="10"/>
  <c r="P257" i="10"/>
  <c r="L257" i="10"/>
  <c r="M257" i="10"/>
  <c r="Q256" i="10"/>
  <c r="P256" i="10"/>
  <c r="L256" i="10"/>
  <c r="M256" i="10"/>
  <c r="Q255" i="10"/>
  <c r="P255" i="10"/>
  <c r="M255" i="10"/>
  <c r="L255" i="10"/>
  <c r="Q254" i="10"/>
  <c r="P254" i="10"/>
  <c r="L254" i="10"/>
  <c r="M254" i="10"/>
  <c r="Q253" i="10"/>
  <c r="P253" i="10"/>
  <c r="L253" i="10"/>
  <c r="M253" i="10"/>
  <c r="Q252" i="10"/>
  <c r="P252" i="10"/>
  <c r="L252" i="10"/>
  <c r="M252" i="10"/>
  <c r="Q251" i="10"/>
  <c r="P251" i="10"/>
  <c r="L251" i="10"/>
  <c r="M251" i="10"/>
  <c r="Q250" i="10"/>
  <c r="P250" i="10"/>
  <c r="L250" i="10"/>
  <c r="M250" i="10"/>
  <c r="Q249" i="10"/>
  <c r="P249" i="10"/>
  <c r="L249" i="10"/>
  <c r="M249" i="10"/>
  <c r="Q248" i="10"/>
  <c r="P248" i="10"/>
  <c r="M248" i="10"/>
  <c r="L248" i="10"/>
  <c r="Q247" i="10"/>
  <c r="P247" i="10"/>
  <c r="L247" i="10"/>
  <c r="M247" i="10"/>
  <c r="Q246" i="10"/>
  <c r="P246" i="10"/>
  <c r="L246" i="10"/>
  <c r="M246" i="10"/>
  <c r="Q245" i="10"/>
  <c r="P245" i="10"/>
  <c r="L245" i="10"/>
  <c r="M245" i="10"/>
  <c r="Q244" i="10"/>
  <c r="P244" i="10"/>
  <c r="M244" i="10"/>
  <c r="L244" i="10"/>
  <c r="Q243" i="10"/>
  <c r="P243" i="10"/>
  <c r="L243" i="10"/>
  <c r="M243" i="10"/>
  <c r="Q242" i="10"/>
  <c r="P242" i="10"/>
  <c r="L242" i="10"/>
  <c r="M242" i="10"/>
  <c r="Q241" i="10"/>
  <c r="P241" i="10"/>
  <c r="M241" i="10"/>
  <c r="L241" i="10"/>
  <c r="Q240" i="10"/>
  <c r="P240" i="10"/>
  <c r="L240" i="10"/>
  <c r="M240" i="10"/>
  <c r="Q239" i="10"/>
  <c r="P239" i="10"/>
  <c r="L239" i="10"/>
  <c r="M239" i="10"/>
  <c r="Q238" i="10"/>
  <c r="P238" i="10"/>
  <c r="L238" i="10"/>
  <c r="M238" i="10"/>
  <c r="Q237" i="10"/>
  <c r="P237" i="10"/>
  <c r="M237" i="10"/>
  <c r="L237" i="10"/>
  <c r="Q236" i="10"/>
  <c r="P236" i="10"/>
  <c r="L236" i="10"/>
  <c r="M236" i="10"/>
  <c r="Q235" i="10"/>
  <c r="P235" i="10"/>
  <c r="L235" i="10"/>
  <c r="M235" i="10"/>
  <c r="Q234" i="10"/>
  <c r="P234" i="10"/>
  <c r="L234" i="10"/>
  <c r="M234" i="10"/>
  <c r="Q233" i="10"/>
  <c r="P233" i="10"/>
  <c r="M233" i="10"/>
  <c r="L233" i="10"/>
  <c r="Q232" i="10"/>
  <c r="P232" i="10"/>
  <c r="L232" i="10"/>
  <c r="M232" i="10"/>
  <c r="Q231" i="10"/>
  <c r="P231" i="10"/>
  <c r="L231" i="10"/>
  <c r="M231" i="10"/>
  <c r="Q230" i="10"/>
  <c r="P230" i="10"/>
  <c r="L230" i="10"/>
  <c r="M230" i="10"/>
  <c r="Q229" i="10"/>
  <c r="P229" i="10"/>
  <c r="M229" i="10"/>
  <c r="L229" i="10"/>
  <c r="Q228" i="10"/>
  <c r="P228" i="10"/>
  <c r="L228" i="10"/>
  <c r="M228" i="10"/>
  <c r="Q227" i="10"/>
  <c r="P227" i="10"/>
  <c r="L227" i="10"/>
  <c r="M227" i="10"/>
  <c r="Q226" i="10"/>
  <c r="P226" i="10"/>
  <c r="L226" i="10"/>
  <c r="M226" i="10"/>
  <c r="Q225" i="10"/>
  <c r="P225" i="10"/>
  <c r="M225" i="10"/>
  <c r="L225" i="10"/>
  <c r="Q224" i="10"/>
  <c r="P224" i="10"/>
  <c r="L224" i="10"/>
  <c r="M224" i="10"/>
  <c r="Q223" i="10"/>
  <c r="P223" i="10"/>
  <c r="L223" i="10"/>
  <c r="M223" i="10"/>
  <c r="Q222" i="10"/>
  <c r="P222" i="10"/>
  <c r="L222" i="10"/>
  <c r="M222" i="10"/>
  <c r="Q221" i="10"/>
  <c r="P221" i="10"/>
  <c r="M221" i="10"/>
  <c r="L221" i="10"/>
  <c r="Q220" i="10"/>
  <c r="P220" i="10"/>
  <c r="L220" i="10"/>
  <c r="M220" i="10"/>
  <c r="Q219" i="10"/>
  <c r="P219" i="10"/>
  <c r="L219" i="10"/>
  <c r="M219" i="10"/>
  <c r="Q218" i="10"/>
  <c r="P218" i="10"/>
  <c r="L218" i="10"/>
  <c r="M218" i="10"/>
  <c r="Q217" i="10"/>
  <c r="P217" i="10"/>
  <c r="M217" i="10"/>
  <c r="L217" i="10"/>
  <c r="Q216" i="10"/>
  <c r="P216" i="10"/>
  <c r="L216" i="10"/>
  <c r="M216" i="10"/>
  <c r="Q215" i="10"/>
  <c r="P215" i="10"/>
  <c r="L215" i="10"/>
  <c r="M215" i="10"/>
  <c r="Q214" i="10"/>
  <c r="P214" i="10"/>
  <c r="L214" i="10"/>
  <c r="M214" i="10"/>
  <c r="Q213" i="10"/>
  <c r="P213" i="10"/>
  <c r="M213" i="10"/>
  <c r="L213" i="10"/>
  <c r="Q212" i="10"/>
  <c r="P212" i="10"/>
  <c r="L212" i="10"/>
  <c r="M212" i="10"/>
  <c r="Q211" i="10"/>
  <c r="P211" i="10"/>
  <c r="L211" i="10"/>
  <c r="M211" i="10"/>
  <c r="Q210" i="10"/>
  <c r="P210" i="10"/>
  <c r="L210" i="10"/>
  <c r="M210" i="10"/>
  <c r="Q209" i="10"/>
  <c r="P209" i="10"/>
  <c r="M209" i="10"/>
  <c r="L209" i="10"/>
  <c r="Q208" i="10"/>
  <c r="P208" i="10"/>
  <c r="L208" i="10"/>
  <c r="M208" i="10"/>
  <c r="Q207" i="10"/>
  <c r="P207" i="10"/>
  <c r="L207" i="10"/>
  <c r="M207" i="10"/>
  <c r="Q206" i="10"/>
  <c r="P206" i="10"/>
  <c r="L206" i="10"/>
  <c r="M206" i="10"/>
  <c r="Q205" i="10"/>
  <c r="P205" i="10"/>
  <c r="M205" i="10"/>
  <c r="L205" i="10"/>
  <c r="Q204" i="10"/>
  <c r="P204" i="10"/>
  <c r="L204" i="10"/>
  <c r="M204" i="10"/>
  <c r="Q203" i="10"/>
  <c r="P203" i="10"/>
  <c r="L203" i="10"/>
  <c r="M203" i="10"/>
  <c r="Q202" i="10"/>
  <c r="P202" i="10"/>
  <c r="L202" i="10"/>
  <c r="M202" i="10"/>
  <c r="Q201" i="10"/>
  <c r="P201" i="10"/>
  <c r="M201" i="10"/>
  <c r="L201" i="10"/>
  <c r="Q200" i="10"/>
  <c r="P200" i="10"/>
  <c r="L200" i="10"/>
  <c r="M200" i="10"/>
  <c r="Q199" i="10"/>
  <c r="P199" i="10"/>
  <c r="L199" i="10"/>
  <c r="M199" i="10"/>
  <c r="Q198" i="10"/>
  <c r="P198" i="10"/>
  <c r="L198" i="10"/>
  <c r="M198" i="10"/>
  <c r="Q197" i="10"/>
  <c r="P197" i="10"/>
  <c r="M197" i="10"/>
  <c r="L197" i="10"/>
  <c r="Q196" i="10"/>
  <c r="P196" i="10"/>
  <c r="L196" i="10"/>
  <c r="M196" i="10"/>
  <c r="Q195" i="10"/>
  <c r="P195" i="10"/>
  <c r="L195" i="10"/>
  <c r="M195" i="10"/>
  <c r="Q194" i="10"/>
  <c r="P194" i="10"/>
  <c r="L194" i="10"/>
  <c r="M194" i="10"/>
  <c r="Q193" i="10"/>
  <c r="P193" i="10"/>
  <c r="M193" i="10"/>
  <c r="L193" i="10"/>
  <c r="Q192" i="10"/>
  <c r="P192" i="10"/>
  <c r="L192" i="10"/>
  <c r="M192" i="10"/>
  <c r="Q191" i="10"/>
  <c r="P191" i="10"/>
  <c r="L191" i="10"/>
  <c r="M191" i="10"/>
  <c r="Q190" i="10"/>
  <c r="P190" i="10"/>
  <c r="L190" i="10"/>
  <c r="M190" i="10"/>
  <c r="Q189" i="10"/>
  <c r="P189" i="10"/>
  <c r="L189" i="10"/>
  <c r="M189" i="10"/>
  <c r="Q188" i="10"/>
  <c r="P188" i="10"/>
  <c r="L188" i="10"/>
  <c r="M188" i="10"/>
  <c r="Q187" i="10"/>
  <c r="P187" i="10"/>
  <c r="L187" i="10"/>
  <c r="M187" i="10"/>
  <c r="Q186" i="10"/>
  <c r="P186" i="10"/>
  <c r="M186" i="10"/>
  <c r="L186" i="10"/>
  <c r="Q185" i="10"/>
  <c r="P185" i="10"/>
  <c r="L185" i="10"/>
  <c r="M185" i="10"/>
  <c r="Q184" i="10"/>
  <c r="P184" i="10"/>
  <c r="L184" i="10"/>
  <c r="M184" i="10"/>
  <c r="Q183" i="10"/>
  <c r="P183" i="10"/>
  <c r="L183" i="10"/>
  <c r="M183" i="10"/>
  <c r="Q182" i="10"/>
  <c r="P182" i="10"/>
  <c r="L182" i="10"/>
  <c r="M182" i="10"/>
  <c r="Q181" i="10"/>
  <c r="P181" i="10"/>
  <c r="L181" i="10"/>
  <c r="M181" i="10"/>
  <c r="Q180" i="10"/>
  <c r="P180" i="10"/>
  <c r="M180" i="10"/>
  <c r="L180" i="10"/>
  <c r="Q179" i="10"/>
  <c r="P179" i="10"/>
  <c r="M179" i="10"/>
  <c r="L179" i="10"/>
  <c r="Q178" i="10"/>
  <c r="P178" i="10"/>
  <c r="L178" i="10"/>
  <c r="M178" i="10"/>
  <c r="Q177" i="10"/>
  <c r="P177" i="10"/>
  <c r="L177" i="10"/>
  <c r="M177" i="10"/>
  <c r="Q176" i="10"/>
  <c r="P176" i="10"/>
  <c r="M176" i="10"/>
  <c r="L176" i="10"/>
  <c r="Q175" i="10"/>
  <c r="P175" i="10"/>
  <c r="M175" i="10"/>
  <c r="L175" i="10"/>
  <c r="Q174" i="10"/>
  <c r="P174" i="10"/>
  <c r="L174" i="10"/>
  <c r="M174" i="10"/>
  <c r="Q173" i="10"/>
  <c r="P173" i="10"/>
  <c r="L173" i="10"/>
  <c r="M173" i="10"/>
  <c r="Q172" i="10"/>
  <c r="P172" i="10"/>
  <c r="M172" i="10"/>
  <c r="L172" i="10"/>
  <c r="Q171" i="10"/>
  <c r="P171" i="10"/>
  <c r="M171" i="10"/>
  <c r="L171" i="10"/>
  <c r="Q170" i="10"/>
  <c r="P170" i="10"/>
  <c r="L170" i="10"/>
  <c r="M170" i="10"/>
  <c r="Q169" i="10"/>
  <c r="P169" i="10"/>
  <c r="L169" i="10"/>
  <c r="M169" i="10"/>
  <c r="Q168" i="10"/>
  <c r="P168" i="10"/>
  <c r="M168" i="10"/>
  <c r="L168" i="10"/>
  <c r="Q167" i="10"/>
  <c r="P167" i="10"/>
  <c r="M167" i="10"/>
  <c r="L167" i="10"/>
  <c r="Q166" i="10"/>
  <c r="P166" i="10"/>
  <c r="L166" i="10"/>
  <c r="M166" i="10"/>
  <c r="Q165" i="10"/>
  <c r="P165" i="10"/>
  <c r="L165" i="10"/>
  <c r="M165" i="10"/>
  <c r="Q164" i="10"/>
  <c r="P164" i="10"/>
  <c r="M164" i="10"/>
  <c r="L164" i="10"/>
  <c r="Q163" i="10"/>
  <c r="P163" i="10"/>
  <c r="M163" i="10"/>
  <c r="L163" i="10"/>
  <c r="Q162" i="10"/>
  <c r="P162" i="10"/>
  <c r="L162" i="10"/>
  <c r="M162" i="10"/>
  <c r="Q161" i="10"/>
  <c r="P161" i="10"/>
  <c r="L161" i="10"/>
  <c r="M161" i="10"/>
  <c r="Q160" i="10"/>
  <c r="P160" i="10"/>
  <c r="M160" i="10"/>
  <c r="L160" i="10"/>
  <c r="Q159" i="10"/>
  <c r="P159" i="10"/>
  <c r="M159" i="10"/>
  <c r="L159" i="10"/>
  <c r="Q158" i="10"/>
  <c r="P158" i="10"/>
  <c r="L158" i="10"/>
  <c r="M158" i="10"/>
  <c r="Q157" i="10"/>
  <c r="P157" i="10"/>
  <c r="L157" i="10"/>
  <c r="M157" i="10"/>
  <c r="Q156" i="10"/>
  <c r="P156" i="10"/>
  <c r="M156" i="10"/>
  <c r="L156" i="10"/>
  <c r="Q155" i="10"/>
  <c r="P155" i="10"/>
  <c r="M155" i="10"/>
  <c r="L155" i="10"/>
  <c r="Q154" i="10"/>
  <c r="P154" i="10"/>
  <c r="L154" i="10"/>
  <c r="M154" i="10"/>
  <c r="Q153" i="10"/>
  <c r="P153" i="10"/>
  <c r="L153" i="10"/>
  <c r="M153" i="10"/>
  <c r="Q152" i="10"/>
  <c r="P152" i="10"/>
  <c r="M152" i="10"/>
  <c r="L152" i="10"/>
  <c r="Q151" i="10"/>
  <c r="P151" i="10"/>
  <c r="M151" i="10"/>
  <c r="L151" i="10"/>
  <c r="Q150" i="10"/>
  <c r="P150" i="10"/>
  <c r="L150" i="10"/>
  <c r="M150" i="10"/>
  <c r="Q149" i="10"/>
  <c r="P149" i="10"/>
  <c r="L149" i="10"/>
  <c r="M149" i="10"/>
  <c r="Q148" i="10"/>
  <c r="P148" i="10"/>
  <c r="M148" i="10"/>
  <c r="L148" i="10"/>
  <c r="Q147" i="10"/>
  <c r="P147" i="10"/>
  <c r="M147" i="10"/>
  <c r="L147" i="10"/>
  <c r="Q146" i="10"/>
  <c r="P146" i="10"/>
  <c r="L146" i="10"/>
  <c r="M146" i="10"/>
  <c r="Q145" i="10"/>
  <c r="P145" i="10"/>
  <c r="L145" i="10"/>
  <c r="M145" i="10"/>
  <c r="Q144" i="10"/>
  <c r="P144" i="10"/>
  <c r="M144" i="10"/>
  <c r="L144" i="10"/>
  <c r="Q143" i="10"/>
  <c r="P143" i="10"/>
  <c r="M143" i="10"/>
  <c r="L143" i="10"/>
  <c r="Q142" i="10"/>
  <c r="P142" i="10"/>
  <c r="L142" i="10"/>
  <c r="M142" i="10"/>
  <c r="Q141" i="10"/>
  <c r="P141" i="10"/>
  <c r="L141" i="10"/>
  <c r="M141" i="10"/>
  <c r="Q140" i="10"/>
  <c r="P140" i="10"/>
  <c r="M140" i="10"/>
  <c r="L140" i="10"/>
  <c r="Q139" i="10"/>
  <c r="P139" i="10"/>
  <c r="M139" i="10"/>
  <c r="L139" i="10"/>
  <c r="Q138" i="10"/>
  <c r="P138" i="10"/>
  <c r="L138" i="10"/>
  <c r="M138" i="10"/>
  <c r="Q137" i="10"/>
  <c r="P137" i="10"/>
  <c r="L137" i="10"/>
  <c r="M137" i="10"/>
  <c r="Q136" i="10"/>
  <c r="P136" i="10"/>
  <c r="M136" i="10"/>
  <c r="L136" i="10"/>
  <c r="Q135" i="10"/>
  <c r="P135" i="10"/>
  <c r="M135" i="10"/>
  <c r="L135" i="10"/>
  <c r="Q134" i="10"/>
  <c r="P134" i="10"/>
  <c r="L134" i="10"/>
  <c r="M134" i="10"/>
  <c r="Q133" i="10"/>
  <c r="P133" i="10"/>
  <c r="L133" i="10"/>
  <c r="M133" i="10"/>
  <c r="Q132" i="10"/>
  <c r="P132" i="10"/>
  <c r="M132" i="10"/>
  <c r="L132" i="10"/>
  <c r="Q131" i="10"/>
  <c r="P131" i="10"/>
  <c r="M131" i="10"/>
  <c r="L131" i="10"/>
  <c r="Q130" i="10"/>
  <c r="P130" i="10"/>
  <c r="L130" i="10"/>
  <c r="M130" i="10"/>
  <c r="Q129" i="10"/>
  <c r="P129" i="10"/>
  <c r="L129" i="10"/>
  <c r="M129" i="10"/>
  <c r="Q128" i="10"/>
  <c r="P128" i="10"/>
  <c r="M128" i="10"/>
  <c r="L128" i="10"/>
  <c r="Q127" i="10"/>
  <c r="P127" i="10"/>
  <c r="L127" i="10"/>
  <c r="M127" i="10"/>
  <c r="Q126" i="10"/>
  <c r="P126" i="10"/>
  <c r="M126" i="10"/>
  <c r="L126" i="10"/>
  <c r="Q125" i="10"/>
  <c r="P125" i="10"/>
  <c r="M125" i="10"/>
  <c r="L125" i="10"/>
  <c r="Q124" i="10"/>
  <c r="P124" i="10"/>
  <c r="L124" i="10"/>
  <c r="M124" i="10"/>
  <c r="Q123" i="10"/>
  <c r="P123" i="10"/>
  <c r="L123" i="10"/>
  <c r="M123" i="10"/>
  <c r="Q122" i="10"/>
  <c r="P122" i="10"/>
  <c r="M122" i="10"/>
  <c r="L122" i="10"/>
  <c r="Q121" i="10"/>
  <c r="P121" i="10"/>
  <c r="M121" i="10"/>
  <c r="L121" i="10"/>
  <c r="Q120" i="10"/>
  <c r="P120" i="10"/>
  <c r="L120" i="10"/>
  <c r="M120" i="10"/>
  <c r="Q119" i="10"/>
  <c r="P119" i="10"/>
  <c r="L119" i="10"/>
  <c r="M119" i="10"/>
  <c r="Q118" i="10"/>
  <c r="P118" i="10"/>
  <c r="M118" i="10"/>
  <c r="L118" i="10"/>
  <c r="Q117" i="10"/>
  <c r="P117" i="10"/>
  <c r="M117" i="10"/>
  <c r="L117" i="10"/>
  <c r="Q116" i="10"/>
  <c r="P116" i="10"/>
  <c r="L116" i="10"/>
  <c r="M116" i="10"/>
  <c r="Q115" i="10"/>
  <c r="P115" i="10"/>
  <c r="L115" i="10"/>
  <c r="Q114" i="10"/>
  <c r="P114" i="10"/>
  <c r="M114" i="10"/>
  <c r="L114" i="10"/>
  <c r="Q113" i="10"/>
  <c r="P113" i="10"/>
  <c r="M113" i="10"/>
  <c r="L113" i="10"/>
  <c r="Q112" i="10"/>
  <c r="P112" i="10"/>
  <c r="L112" i="10"/>
  <c r="M112" i="10"/>
  <c r="Q111" i="10"/>
  <c r="P111" i="10"/>
  <c r="L111" i="10"/>
  <c r="Q110" i="10"/>
  <c r="P110" i="10"/>
  <c r="M110" i="10"/>
  <c r="L110" i="10"/>
  <c r="Q109" i="10"/>
  <c r="P109" i="10"/>
  <c r="M109" i="10"/>
  <c r="L109" i="10"/>
  <c r="Q108" i="10"/>
  <c r="P108" i="10"/>
  <c r="L108" i="10"/>
  <c r="M108" i="10"/>
  <c r="Q107" i="10"/>
  <c r="P107" i="10"/>
  <c r="L107" i="10"/>
  <c r="M107" i="10"/>
  <c r="Q106" i="10"/>
  <c r="P106" i="10"/>
  <c r="M106" i="10"/>
  <c r="L106" i="10"/>
  <c r="Q105" i="10"/>
  <c r="P105" i="10"/>
  <c r="M105" i="10"/>
  <c r="L105" i="10"/>
  <c r="Q104" i="10"/>
  <c r="P104" i="10"/>
  <c r="L104" i="10"/>
  <c r="M104" i="10"/>
  <c r="Q103" i="10"/>
  <c r="P103" i="10"/>
  <c r="L103" i="10"/>
  <c r="M103" i="10"/>
  <c r="Q102" i="10"/>
  <c r="P102" i="10"/>
  <c r="M102" i="10"/>
  <c r="L102" i="10"/>
  <c r="Q101" i="10"/>
  <c r="P101" i="10"/>
  <c r="M101" i="10"/>
  <c r="L101" i="10"/>
  <c r="Q100" i="10"/>
  <c r="P100" i="10"/>
  <c r="L100" i="10"/>
  <c r="M100" i="10"/>
  <c r="Q99" i="10"/>
  <c r="P99" i="10"/>
  <c r="L99" i="10"/>
  <c r="Q98" i="10"/>
  <c r="P98" i="10"/>
  <c r="M98" i="10"/>
  <c r="L98" i="10"/>
  <c r="Q97" i="10"/>
  <c r="P97" i="10"/>
  <c r="M97" i="10"/>
  <c r="L97" i="10"/>
  <c r="Q96" i="10"/>
  <c r="P96" i="10"/>
  <c r="L96" i="10"/>
  <c r="M96" i="10"/>
  <c r="Q95" i="10"/>
  <c r="P95" i="10"/>
  <c r="L95" i="10"/>
  <c r="Q94" i="10"/>
  <c r="P94" i="10"/>
  <c r="M94" i="10"/>
  <c r="L94" i="10"/>
  <c r="Q93" i="10"/>
  <c r="P93" i="10"/>
  <c r="M93" i="10"/>
  <c r="L93" i="10"/>
  <c r="Q92" i="10"/>
  <c r="P92" i="10"/>
  <c r="L92" i="10"/>
  <c r="M92" i="10"/>
  <c r="Q91" i="10"/>
  <c r="P91" i="10"/>
  <c r="L91" i="10"/>
  <c r="M91" i="10"/>
  <c r="Q90" i="10"/>
  <c r="P90" i="10"/>
  <c r="M90" i="10"/>
  <c r="L90" i="10"/>
  <c r="Q89" i="10"/>
  <c r="P89" i="10"/>
  <c r="M89" i="10"/>
  <c r="L89" i="10"/>
  <c r="Q88" i="10"/>
  <c r="P88" i="10"/>
  <c r="L88" i="10"/>
  <c r="M88" i="10"/>
  <c r="Q87" i="10"/>
  <c r="P87" i="10"/>
  <c r="L87" i="10"/>
  <c r="M87" i="10"/>
  <c r="Q86" i="10"/>
  <c r="P86" i="10"/>
  <c r="M86" i="10"/>
  <c r="L86" i="10"/>
  <c r="Q85" i="10"/>
  <c r="P85" i="10"/>
  <c r="M85" i="10"/>
  <c r="L85" i="10"/>
  <c r="Q84" i="10"/>
  <c r="P84" i="10"/>
  <c r="L84" i="10"/>
  <c r="M84" i="10"/>
  <c r="Q83" i="10"/>
  <c r="P83" i="10"/>
  <c r="L83" i="10"/>
  <c r="Q82" i="10"/>
  <c r="P82" i="10"/>
  <c r="M82" i="10"/>
  <c r="L82" i="10"/>
  <c r="Q81" i="10"/>
  <c r="P81" i="10"/>
  <c r="M81" i="10"/>
  <c r="L81" i="10"/>
  <c r="Q80" i="10"/>
  <c r="P80" i="10"/>
  <c r="L80" i="10"/>
  <c r="M80" i="10"/>
  <c r="Q79" i="10"/>
  <c r="P79" i="10"/>
  <c r="L79" i="10"/>
  <c r="M79" i="10"/>
  <c r="Q78" i="10"/>
  <c r="P78" i="10"/>
  <c r="M78" i="10"/>
  <c r="L78" i="10"/>
  <c r="Q77" i="10"/>
  <c r="P77" i="10"/>
  <c r="M77" i="10"/>
  <c r="L77" i="10"/>
  <c r="Q76" i="10"/>
  <c r="P76" i="10"/>
  <c r="L76" i="10"/>
  <c r="M76" i="10"/>
  <c r="Q75" i="10"/>
  <c r="P75" i="10"/>
  <c r="L75" i="10"/>
  <c r="M75" i="10"/>
  <c r="Q74" i="10"/>
  <c r="P74" i="10"/>
  <c r="M74" i="10"/>
  <c r="L74" i="10"/>
  <c r="Q73" i="10"/>
  <c r="P73" i="10"/>
  <c r="M73" i="10"/>
  <c r="L73" i="10"/>
  <c r="Q72" i="10"/>
  <c r="P72" i="10"/>
  <c r="L72" i="10"/>
  <c r="M72" i="10"/>
  <c r="Q71" i="10"/>
  <c r="P71" i="10"/>
  <c r="L71" i="10"/>
  <c r="M71" i="10"/>
  <c r="Q70" i="10"/>
  <c r="P70" i="10"/>
  <c r="M70" i="10"/>
  <c r="L70" i="10"/>
  <c r="Q69" i="10"/>
  <c r="P69" i="10"/>
  <c r="M69" i="10"/>
  <c r="L69" i="10"/>
  <c r="Q68" i="10"/>
  <c r="P68" i="10"/>
  <c r="L68" i="10"/>
  <c r="M68" i="10"/>
  <c r="Q67" i="10"/>
  <c r="P67" i="10"/>
  <c r="L67" i="10"/>
  <c r="Q66" i="10"/>
  <c r="P66" i="10"/>
  <c r="M66" i="10"/>
  <c r="L66" i="10"/>
  <c r="Q65" i="10"/>
  <c r="P65" i="10"/>
  <c r="M65" i="10"/>
  <c r="L65" i="10"/>
  <c r="Q64" i="10"/>
  <c r="P64" i="10"/>
  <c r="L64" i="10"/>
  <c r="M64" i="10"/>
  <c r="Q63" i="10"/>
  <c r="P63" i="10"/>
  <c r="L63" i="10"/>
  <c r="M63" i="10"/>
  <c r="Q62" i="10"/>
  <c r="P62" i="10"/>
  <c r="M62" i="10"/>
  <c r="L62" i="10"/>
  <c r="Q61" i="10"/>
  <c r="P61" i="10"/>
  <c r="M61" i="10"/>
  <c r="L61" i="10"/>
  <c r="Q60" i="10"/>
  <c r="P60" i="10"/>
  <c r="L60" i="10"/>
  <c r="M60" i="10"/>
  <c r="Q59" i="10"/>
  <c r="P59" i="10"/>
  <c r="L59" i="10"/>
  <c r="M59" i="10"/>
  <c r="Q58" i="10"/>
  <c r="P58" i="10"/>
  <c r="M58" i="10"/>
  <c r="L58" i="10"/>
  <c r="Q57" i="10"/>
  <c r="P57" i="10"/>
  <c r="M57" i="10"/>
  <c r="L57" i="10"/>
  <c r="Q56" i="10"/>
  <c r="P56" i="10"/>
  <c r="L56" i="10"/>
  <c r="M56" i="10"/>
  <c r="Q55" i="10"/>
  <c r="P55" i="10"/>
  <c r="L55" i="10"/>
  <c r="M55" i="10"/>
  <c r="Q54" i="10"/>
  <c r="P54" i="10"/>
  <c r="M54" i="10"/>
  <c r="L54" i="10"/>
  <c r="Q53" i="10"/>
  <c r="P53" i="10"/>
  <c r="M53" i="10"/>
  <c r="L53" i="10"/>
  <c r="Q52" i="10"/>
  <c r="P52" i="10"/>
  <c r="L52" i="10"/>
  <c r="M52" i="10"/>
  <c r="Q51" i="10"/>
  <c r="P51" i="10"/>
  <c r="L51" i="10"/>
  <c r="Q50" i="10"/>
  <c r="P50" i="10"/>
  <c r="M50" i="10"/>
  <c r="L50" i="10"/>
  <c r="Q49" i="10"/>
  <c r="P49" i="10"/>
  <c r="M49" i="10"/>
  <c r="L49" i="10"/>
  <c r="Q48" i="10"/>
  <c r="P48" i="10"/>
  <c r="L48" i="10"/>
  <c r="M48" i="10"/>
  <c r="Q47" i="10"/>
  <c r="P47" i="10"/>
  <c r="L47" i="10"/>
  <c r="M47" i="10"/>
  <c r="Q46" i="10"/>
  <c r="P46" i="10"/>
  <c r="M46" i="10"/>
  <c r="L46" i="10"/>
  <c r="Q45" i="10"/>
  <c r="P45" i="10"/>
  <c r="M45" i="10"/>
  <c r="L45" i="10"/>
  <c r="Q44" i="10"/>
  <c r="P44" i="10"/>
  <c r="L44" i="10"/>
  <c r="M44" i="10"/>
  <c r="Q43" i="10"/>
  <c r="P43" i="10"/>
  <c r="L43" i="10"/>
  <c r="M43" i="10"/>
  <c r="Q42" i="10"/>
  <c r="P42" i="10"/>
  <c r="M42" i="10"/>
  <c r="L42" i="10"/>
  <c r="Q41" i="10"/>
  <c r="P41" i="10"/>
  <c r="M41" i="10"/>
  <c r="L41" i="10"/>
  <c r="Q40" i="10"/>
  <c r="P40" i="10"/>
  <c r="L40" i="10"/>
  <c r="M40" i="10"/>
  <c r="Q39" i="10"/>
  <c r="P39" i="10"/>
  <c r="L39" i="10"/>
  <c r="M39" i="10"/>
  <c r="Q38" i="10"/>
  <c r="P38" i="10"/>
  <c r="M38" i="10"/>
  <c r="L38" i="10"/>
  <c r="Q37" i="10"/>
  <c r="P37" i="10"/>
  <c r="M37" i="10"/>
  <c r="L37" i="10"/>
  <c r="Q36" i="10"/>
  <c r="P36" i="10"/>
  <c r="L36" i="10"/>
  <c r="M36" i="10"/>
  <c r="Q35" i="10"/>
  <c r="P35" i="10"/>
  <c r="L35" i="10"/>
  <c r="M35" i="10"/>
  <c r="Q34" i="10"/>
  <c r="P34" i="10"/>
  <c r="L34" i="10"/>
  <c r="M34" i="10"/>
  <c r="AA50" i="10"/>
  <c r="Z50" i="10"/>
  <c r="V50" i="10"/>
  <c r="Q33" i="10"/>
  <c r="P33" i="10"/>
  <c r="M33" i="10"/>
  <c r="L33" i="10"/>
  <c r="Q32" i="10"/>
  <c r="P32" i="10"/>
  <c r="L32" i="10"/>
  <c r="M32" i="10"/>
  <c r="Q31" i="10"/>
  <c r="P31" i="10"/>
  <c r="M31" i="10"/>
  <c r="L31" i="10"/>
  <c r="AA5" i="10"/>
  <c r="Z5" i="10"/>
  <c r="V5" i="10"/>
  <c r="Q30" i="10"/>
  <c r="P30" i="10"/>
  <c r="M30" i="10"/>
  <c r="L30" i="10"/>
  <c r="AA48" i="10"/>
  <c r="Z48" i="10"/>
  <c r="V48" i="10"/>
  <c r="Q29" i="10"/>
  <c r="P29" i="10"/>
  <c r="L29" i="10"/>
  <c r="M29" i="10"/>
  <c r="AA29" i="10"/>
  <c r="Z29" i="10"/>
  <c r="V29" i="10"/>
  <c r="Q28" i="10"/>
  <c r="P28" i="10"/>
  <c r="L28" i="10"/>
  <c r="M28" i="10"/>
  <c r="Q27" i="10"/>
  <c r="P27" i="10"/>
  <c r="L27" i="10"/>
  <c r="M27" i="10"/>
  <c r="Q26" i="10"/>
  <c r="P26" i="10"/>
  <c r="M26" i="10"/>
  <c r="L26" i="10"/>
  <c r="Q25" i="10"/>
  <c r="P25" i="10"/>
  <c r="M25" i="10"/>
  <c r="L25" i="10"/>
  <c r="Q24" i="10"/>
  <c r="P24" i="10"/>
  <c r="L24" i="10"/>
  <c r="M24" i="10"/>
  <c r="Q23" i="10"/>
  <c r="P23" i="10"/>
  <c r="L23" i="10"/>
  <c r="M23" i="10"/>
  <c r="AA45" i="10"/>
  <c r="Z45" i="10"/>
  <c r="V45" i="10"/>
  <c r="Q22" i="10"/>
  <c r="P22" i="10"/>
  <c r="M22" i="10"/>
  <c r="L22" i="10"/>
  <c r="Q21" i="10"/>
  <c r="P21" i="10"/>
  <c r="M21" i="10"/>
  <c r="L21" i="10"/>
  <c r="Q20" i="10"/>
  <c r="P20" i="10"/>
  <c r="L20" i="10"/>
  <c r="M20" i="10"/>
  <c r="AA11" i="10"/>
  <c r="Z11" i="10"/>
  <c r="V11" i="10"/>
  <c r="Q19" i="10"/>
  <c r="P19" i="10"/>
  <c r="L19" i="10"/>
  <c r="M19" i="10"/>
  <c r="Q18" i="10"/>
  <c r="P18" i="10"/>
  <c r="M18" i="10"/>
  <c r="L18" i="10"/>
  <c r="Q17" i="10"/>
  <c r="P17" i="10"/>
  <c r="M17" i="10"/>
  <c r="L17" i="10"/>
  <c r="AA13" i="10"/>
  <c r="Z13" i="10"/>
  <c r="V13" i="10"/>
  <c r="Q16" i="10"/>
  <c r="P16" i="10"/>
  <c r="L16" i="10"/>
  <c r="M16" i="10"/>
  <c r="Q15" i="10"/>
  <c r="P15" i="10"/>
  <c r="L15" i="10"/>
  <c r="M15" i="10"/>
  <c r="Q14" i="10"/>
  <c r="P14" i="10"/>
  <c r="M14" i="10"/>
  <c r="L14" i="10"/>
  <c r="Q13" i="10"/>
  <c r="P13" i="10"/>
  <c r="M13" i="10"/>
  <c r="L13" i="10"/>
  <c r="Q12" i="10"/>
  <c r="P12" i="10"/>
  <c r="L12" i="10"/>
  <c r="M12" i="10"/>
  <c r="Q11" i="10"/>
  <c r="P11" i="10"/>
  <c r="L11" i="10"/>
  <c r="M11" i="10"/>
  <c r="Q10" i="10"/>
  <c r="P10" i="10"/>
  <c r="M10" i="10"/>
  <c r="L10" i="10"/>
  <c r="Q9" i="10"/>
  <c r="P9" i="10"/>
  <c r="M9" i="10"/>
  <c r="L9" i="10"/>
  <c r="Q8" i="10"/>
  <c r="P8" i="10"/>
  <c r="L8" i="10"/>
  <c r="AA40" i="10"/>
  <c r="Z40" i="10"/>
  <c r="V40" i="10"/>
  <c r="Q7" i="10"/>
  <c r="P7" i="10"/>
  <c r="L7" i="10"/>
  <c r="M7" i="10"/>
  <c r="AA39" i="10"/>
  <c r="Z39" i="10"/>
  <c r="W39" i="10"/>
  <c r="V39" i="10"/>
  <c r="Q6" i="10"/>
  <c r="P6" i="10"/>
  <c r="M6" i="10"/>
  <c r="L6" i="10"/>
  <c r="Q5" i="10"/>
  <c r="P5" i="10"/>
  <c r="M5" i="10"/>
  <c r="L5" i="10"/>
  <c r="H18" i="6"/>
  <c r="C18" i="6"/>
  <c r="D18" i="6"/>
  <c r="AE26" i="10" l="1"/>
  <c r="R655" i="10"/>
  <c r="R659" i="10"/>
  <c r="AE27" i="10"/>
  <c r="AE29" i="10"/>
  <c r="AE28" i="10"/>
  <c r="R648" i="10"/>
  <c r="AE11" i="10"/>
  <c r="AE24" i="10"/>
  <c r="AE22" i="10"/>
  <c r="AE13" i="10"/>
  <c r="AE17" i="10"/>
  <c r="AE14" i="10"/>
  <c r="AE4" i="10"/>
  <c r="AE23" i="10"/>
  <c r="AE5" i="10"/>
  <c r="AE19" i="10"/>
  <c r="AE21" i="10"/>
  <c r="AE18" i="10"/>
  <c r="AE9" i="10"/>
  <c r="AE7" i="10"/>
  <c r="AE25" i="10"/>
  <c r="AE6" i="10"/>
  <c r="AE20" i="10"/>
  <c r="AE8" i="10"/>
  <c r="AE16" i="10"/>
  <c r="AE10" i="10"/>
  <c r="AE15" i="10"/>
  <c r="AE12" i="10"/>
  <c r="R651" i="10"/>
  <c r="R521" i="10"/>
  <c r="R530" i="10"/>
  <c r="AD30" i="10"/>
  <c r="R462" i="10"/>
  <c r="R534" i="10"/>
  <c r="R542" i="10"/>
  <c r="R616" i="10"/>
  <c r="R620" i="10"/>
  <c r="N7" i="10"/>
  <c r="O7" i="10" s="1"/>
  <c r="R576" i="10"/>
  <c r="R599" i="10"/>
  <c r="R628" i="10"/>
  <c r="R647" i="10"/>
  <c r="N6" i="10"/>
  <c r="O6" i="10" s="1"/>
  <c r="R203" i="10"/>
  <c r="R475" i="10"/>
  <c r="R477" i="10"/>
  <c r="R481" i="10"/>
  <c r="R483" i="10"/>
  <c r="R485" i="10"/>
  <c r="R600" i="10"/>
  <c r="R604" i="10"/>
  <c r="R656" i="10"/>
  <c r="R658" i="10"/>
  <c r="R430" i="10"/>
  <c r="R531" i="10"/>
  <c r="R584" i="10"/>
  <c r="R588" i="10"/>
  <c r="R640" i="10"/>
  <c r="R202" i="10"/>
  <c r="R204" i="10"/>
  <c r="R518" i="10"/>
  <c r="R526" i="10"/>
  <c r="AB29" i="10"/>
  <c r="AB39" i="10"/>
  <c r="AB11" i="10"/>
  <c r="AB45" i="10"/>
  <c r="AE3" i="10"/>
  <c r="R125" i="10"/>
  <c r="R131" i="10"/>
  <c r="R134" i="10"/>
  <c r="R138" i="10"/>
  <c r="R491" i="10"/>
  <c r="R493" i="10"/>
  <c r="R497" i="10"/>
  <c r="R210" i="10"/>
  <c r="R211" i="10"/>
  <c r="R212" i="10"/>
  <c r="R234" i="10"/>
  <c r="R235" i="10"/>
  <c r="R236" i="10"/>
  <c r="R242" i="10"/>
  <c r="R248" i="10"/>
  <c r="R249" i="10"/>
  <c r="R250" i="10"/>
  <c r="R255" i="10"/>
  <c r="R256" i="10"/>
  <c r="R257" i="10"/>
  <c r="R261" i="10"/>
  <c r="R263" i="10"/>
  <c r="R264" i="10"/>
  <c r="R265" i="10"/>
  <c r="R271" i="10"/>
  <c r="R272" i="10"/>
  <c r="R273" i="10"/>
  <c r="R289" i="10"/>
  <c r="R373" i="10"/>
  <c r="R374" i="10"/>
  <c r="R375" i="10"/>
  <c r="R413" i="10"/>
  <c r="R414" i="10"/>
  <c r="R415" i="10"/>
  <c r="R416" i="10"/>
  <c r="R417" i="10"/>
  <c r="R445" i="10"/>
  <c r="R446" i="10"/>
  <c r="R447" i="10"/>
  <c r="R448" i="10"/>
  <c r="R449" i="10"/>
  <c r="R579" i="10"/>
  <c r="R580" i="10"/>
  <c r="R582" i="10"/>
  <c r="R607" i="10"/>
  <c r="R610" i="10"/>
  <c r="R611" i="10"/>
  <c r="R612" i="10"/>
  <c r="R613" i="10"/>
  <c r="R614" i="10"/>
  <c r="R631" i="10"/>
  <c r="R632" i="10"/>
  <c r="R634" i="10"/>
  <c r="R635" i="10"/>
  <c r="R638" i="10"/>
  <c r="R171" i="10"/>
  <c r="R174" i="10"/>
  <c r="R499" i="10"/>
  <c r="R501" i="10"/>
  <c r="R507" i="10"/>
  <c r="R68" i="10"/>
  <c r="R72" i="10"/>
  <c r="R113" i="10"/>
  <c r="R274" i="10"/>
  <c r="R285" i="10"/>
  <c r="R380" i="10"/>
  <c r="R451" i="10"/>
  <c r="R52" i="10"/>
  <c r="R100" i="10"/>
  <c r="R290" i="10"/>
  <c r="R293" i="10"/>
  <c r="R298" i="10"/>
  <c r="R301" i="10"/>
  <c r="R350" i="10"/>
  <c r="R509" i="10"/>
  <c r="R515" i="10"/>
  <c r="R517" i="10"/>
  <c r="R179" i="10"/>
  <c r="R182" i="10"/>
  <c r="R282" i="10"/>
  <c r="R387" i="10"/>
  <c r="R419" i="10"/>
  <c r="R35" i="10"/>
  <c r="R124" i="10"/>
  <c r="R399" i="10"/>
  <c r="R32" i="10"/>
  <c r="R41" i="10"/>
  <c r="R48" i="10"/>
  <c r="R96" i="10"/>
  <c r="R192" i="10"/>
  <c r="R351" i="10"/>
  <c r="R366" i="10"/>
  <c r="R410" i="10"/>
  <c r="R442" i="10"/>
  <c r="R11" i="10"/>
  <c r="R19" i="10"/>
  <c r="R27" i="10"/>
  <c r="R78" i="10"/>
  <c r="R79" i="10"/>
  <c r="R80" i="10"/>
  <c r="R85" i="10"/>
  <c r="R88" i="10"/>
  <c r="R92" i="10"/>
  <c r="R117" i="10"/>
  <c r="R120" i="10"/>
  <c r="R144" i="10"/>
  <c r="R145" i="10"/>
  <c r="R146" i="10"/>
  <c r="R152" i="10"/>
  <c r="R153" i="10"/>
  <c r="R154" i="10"/>
  <c r="R158" i="10"/>
  <c r="R160" i="10"/>
  <c r="R161" i="10"/>
  <c r="R162" i="10"/>
  <c r="R165" i="10"/>
  <c r="R166" i="10"/>
  <c r="R213" i="10"/>
  <c r="R216" i="10"/>
  <c r="R221" i="10"/>
  <c r="R224" i="10"/>
  <c r="R228" i="10"/>
  <c r="R400" i="10"/>
  <c r="R401" i="10"/>
  <c r="R406" i="10"/>
  <c r="R407" i="10"/>
  <c r="R431" i="10"/>
  <c r="R432" i="10"/>
  <c r="R433" i="10"/>
  <c r="R438" i="10"/>
  <c r="R439" i="10"/>
  <c r="R464" i="10"/>
  <c r="R465" i="10"/>
  <c r="R466" i="10"/>
  <c r="R471" i="10"/>
  <c r="R6" i="10"/>
  <c r="R44" i="10"/>
  <c r="R185" i="10"/>
  <c r="R354" i="10"/>
  <c r="R359" i="10"/>
  <c r="R9" i="10"/>
  <c r="R29" i="10"/>
  <c r="R58" i="10"/>
  <c r="R59" i="10"/>
  <c r="R60" i="10"/>
  <c r="R64" i="10"/>
  <c r="R66" i="10"/>
  <c r="R106" i="10"/>
  <c r="R107" i="10"/>
  <c r="R108" i="10"/>
  <c r="R315" i="10"/>
  <c r="R316" i="10"/>
  <c r="R317" i="10"/>
  <c r="R323" i="10"/>
  <c r="R324" i="10"/>
  <c r="R325" i="10"/>
  <c r="R331" i="10"/>
  <c r="R332" i="10"/>
  <c r="R333" i="10"/>
  <c r="R339" i="10"/>
  <c r="R340" i="10"/>
  <c r="R341" i="10"/>
  <c r="R348" i="10"/>
  <c r="R349" i="10"/>
  <c r="R391" i="10"/>
  <c r="R398" i="10"/>
  <c r="R423" i="10"/>
  <c r="R455" i="10"/>
  <c r="R552" i="10"/>
  <c r="R553" i="10"/>
  <c r="R554" i="10"/>
  <c r="R560" i="10"/>
  <c r="R561" i="10"/>
  <c r="R562" i="10"/>
  <c r="R566" i="10"/>
  <c r="R568" i="10"/>
  <c r="R569" i="10"/>
  <c r="R570" i="10"/>
  <c r="R591" i="10"/>
  <c r="R592" i="10"/>
  <c r="R594" i="10"/>
  <c r="R595" i="10"/>
  <c r="R596" i="10"/>
  <c r="R597" i="10"/>
  <c r="R598" i="10"/>
  <c r="R623" i="10"/>
  <c r="R626" i="10"/>
  <c r="R49" i="10"/>
  <c r="R53" i="10"/>
  <c r="R61" i="10"/>
  <c r="R73" i="10"/>
  <c r="R81" i="10"/>
  <c r="R97" i="10"/>
  <c r="R104" i="10"/>
  <c r="R109" i="10"/>
  <c r="R139" i="10"/>
  <c r="R150" i="10"/>
  <c r="R639" i="10"/>
  <c r="R8" i="10"/>
  <c r="R12" i="10"/>
  <c r="R16" i="10"/>
  <c r="R20" i="10"/>
  <c r="R24" i="10"/>
  <c r="R115" i="10"/>
  <c r="R116" i="10"/>
  <c r="R122" i="10"/>
  <c r="R175" i="10"/>
  <c r="R177" i="10"/>
  <c r="R178" i="10"/>
  <c r="R181" i="10"/>
  <c r="R229" i="10"/>
  <c r="R232" i="10"/>
  <c r="R237" i="10"/>
  <c r="R240" i="10"/>
  <c r="R367" i="10"/>
  <c r="R371" i="10"/>
  <c r="R376" i="10"/>
  <c r="R390" i="10"/>
  <c r="R411" i="10"/>
  <c r="R422" i="10"/>
  <c r="R443" i="10"/>
  <c r="R454" i="10"/>
  <c r="R463" i="10"/>
  <c r="R473" i="10"/>
  <c r="R478" i="10"/>
  <c r="R31" i="10"/>
  <c r="R56" i="10"/>
  <c r="R76" i="10"/>
  <c r="R93" i="10"/>
  <c r="R101" i="10"/>
  <c r="R147" i="10"/>
  <c r="R7" i="10"/>
  <c r="R15" i="10"/>
  <c r="R23" i="10"/>
  <c r="R36" i="10"/>
  <c r="R38" i="10"/>
  <c r="R39" i="10"/>
  <c r="R40" i="10"/>
  <c r="R46" i="10"/>
  <c r="R47" i="10"/>
  <c r="R51" i="10"/>
  <c r="R70" i="10"/>
  <c r="R71" i="10"/>
  <c r="R83" i="10"/>
  <c r="R84" i="10"/>
  <c r="R90" i="10"/>
  <c r="R91" i="10"/>
  <c r="R95" i="10"/>
  <c r="R99" i="10"/>
  <c r="R111" i="10"/>
  <c r="R112" i="10"/>
  <c r="R128" i="10"/>
  <c r="R129" i="10"/>
  <c r="R130" i="10"/>
  <c r="R136" i="10"/>
  <c r="R137" i="10"/>
  <c r="R187" i="10"/>
  <c r="R188" i="10"/>
  <c r="R189" i="10"/>
  <c r="R194" i="10"/>
  <c r="R195" i="10"/>
  <c r="R196" i="10"/>
  <c r="R295" i="10"/>
  <c r="R296" i="10"/>
  <c r="R297" i="10"/>
  <c r="R303" i="10"/>
  <c r="R304" i="10"/>
  <c r="R305" i="10"/>
  <c r="R307" i="10"/>
  <c r="R308" i="10"/>
  <c r="R309" i="10"/>
  <c r="R535" i="10"/>
  <c r="R536" i="10"/>
  <c r="R537" i="10"/>
  <c r="R538" i="10"/>
  <c r="R544" i="10"/>
  <c r="R545" i="10"/>
  <c r="R546" i="10"/>
  <c r="R243" i="10"/>
  <c r="R246" i="10"/>
  <c r="R251" i="10"/>
  <c r="R253" i="10"/>
  <c r="R310" i="10"/>
  <c r="R313" i="10"/>
  <c r="R318" i="10"/>
  <c r="R321" i="10"/>
  <c r="R326" i="10"/>
  <c r="R329" i="10"/>
  <c r="R486" i="10"/>
  <c r="R489" i="10"/>
  <c r="R494" i="10"/>
  <c r="R549" i="10"/>
  <c r="R550" i="10"/>
  <c r="R558" i="10"/>
  <c r="R575" i="10"/>
  <c r="R587" i="10"/>
  <c r="R608" i="10"/>
  <c r="R619" i="10"/>
  <c r="R627" i="10"/>
  <c r="R636" i="10"/>
  <c r="R123" i="10"/>
  <c r="R155" i="10"/>
  <c r="R163" i="10"/>
  <c r="R169" i="10"/>
  <c r="R170" i="10"/>
  <c r="R173" i="10"/>
  <c r="R197" i="10"/>
  <c r="R200" i="10"/>
  <c r="R205" i="10"/>
  <c r="R208" i="10"/>
  <c r="R218" i="10"/>
  <c r="R219" i="10"/>
  <c r="R220" i="10"/>
  <c r="R226" i="10"/>
  <c r="R227" i="10"/>
  <c r="R258" i="10"/>
  <c r="R266" i="10"/>
  <c r="R269" i="10"/>
  <c r="R279" i="10"/>
  <c r="R280" i="10"/>
  <c r="R281" i="10"/>
  <c r="R287" i="10"/>
  <c r="R288" i="10"/>
  <c r="R334" i="10"/>
  <c r="R337" i="10"/>
  <c r="R342" i="10"/>
  <c r="R346" i="10"/>
  <c r="R356" i="10"/>
  <c r="R357" i="10"/>
  <c r="R358" i="10"/>
  <c r="R362" i="10"/>
  <c r="R364" i="10"/>
  <c r="R365" i="10"/>
  <c r="R378" i="10"/>
  <c r="R379" i="10"/>
  <c r="R383" i="10"/>
  <c r="R385" i="10"/>
  <c r="R386" i="10"/>
  <c r="R394" i="10"/>
  <c r="R395" i="10"/>
  <c r="R396" i="10"/>
  <c r="R397" i="10"/>
  <c r="R403" i="10"/>
  <c r="R418" i="10"/>
  <c r="R426" i="10"/>
  <c r="R427" i="10"/>
  <c r="R429" i="10"/>
  <c r="R435" i="10"/>
  <c r="R450" i="10"/>
  <c r="R458" i="10"/>
  <c r="R459" i="10"/>
  <c r="R461" i="10"/>
  <c r="R467" i="10"/>
  <c r="R470" i="10"/>
  <c r="R502" i="10"/>
  <c r="R505" i="10"/>
  <c r="R510" i="10"/>
  <c r="R513" i="10"/>
  <c r="R523" i="10"/>
  <c r="R524" i="10"/>
  <c r="R525" i="10"/>
  <c r="R529" i="10"/>
  <c r="R571" i="10"/>
  <c r="R574" i="10"/>
  <c r="R603" i="10"/>
  <c r="R624" i="10"/>
  <c r="R643" i="10"/>
  <c r="R644" i="10"/>
  <c r="R645" i="10"/>
  <c r="R646" i="10"/>
  <c r="R652" i="10"/>
  <c r="AB5" i="10"/>
  <c r="R142" i="10"/>
  <c r="R10" i="10"/>
  <c r="R5" i="10"/>
  <c r="AB40" i="10"/>
  <c r="R167" i="10"/>
  <c r="R277" i="10"/>
  <c r="R13" i="10"/>
  <c r="R14" i="10"/>
  <c r="R21" i="10"/>
  <c r="R22" i="10"/>
  <c r="AB48" i="10"/>
  <c r="AB50" i="10"/>
  <c r="R34" i="10"/>
  <c r="R37" i="10"/>
  <c r="R42" i="10"/>
  <c r="R43" i="10"/>
  <c r="R57" i="10"/>
  <c r="R62" i="10"/>
  <c r="R63" i="10"/>
  <c r="R67" i="10"/>
  <c r="R77" i="10"/>
  <c r="R82" i="10"/>
  <c r="R86" i="10"/>
  <c r="R87" i="10"/>
  <c r="R105" i="10"/>
  <c r="R110" i="10"/>
  <c r="R114" i="10"/>
  <c r="R118" i="10"/>
  <c r="R119" i="10"/>
  <c r="R132" i="10"/>
  <c r="R133" i="10"/>
  <c r="R143" i="10"/>
  <c r="R148" i="10"/>
  <c r="R149" i="10"/>
  <c r="R159" i="10"/>
  <c r="R186" i="10"/>
  <c r="R190" i="10"/>
  <c r="R191" i="10"/>
  <c r="R201" i="10"/>
  <c r="R206" i="10"/>
  <c r="R207" i="10"/>
  <c r="R217" i="10"/>
  <c r="R222" i="10"/>
  <c r="R223" i="10"/>
  <c r="R233" i="10"/>
  <c r="R238" i="10"/>
  <c r="R239" i="10"/>
  <c r="R247" i="10"/>
  <c r="R252" i="10"/>
  <c r="R262" i="10"/>
  <c r="R267" i="10"/>
  <c r="R268" i="10"/>
  <c r="R278" i="10"/>
  <c r="R283" i="10"/>
  <c r="R284" i="10"/>
  <c r="R294" i="10"/>
  <c r="R299" i="10"/>
  <c r="R300" i="10"/>
  <c r="R583" i="10"/>
  <c r="R615" i="10"/>
  <c r="R28" i="10"/>
  <c r="AB13" i="10"/>
  <c r="R17" i="10"/>
  <c r="R18" i="10"/>
  <c r="R25" i="10"/>
  <c r="R26" i="10"/>
  <c r="R45" i="10"/>
  <c r="R50" i="10"/>
  <c r="R54" i="10"/>
  <c r="R55" i="10"/>
  <c r="R65" i="10"/>
  <c r="R69" i="10"/>
  <c r="R74" i="10"/>
  <c r="R75" i="10"/>
  <c r="R89" i="10"/>
  <c r="R94" i="10"/>
  <c r="R98" i="10"/>
  <c r="R102" i="10"/>
  <c r="R103" i="10"/>
  <c r="R121" i="10"/>
  <c r="R126" i="10"/>
  <c r="R127" i="10"/>
  <c r="R135" i="10"/>
  <c r="R140" i="10"/>
  <c r="R141" i="10"/>
  <c r="R151" i="10"/>
  <c r="R156" i="10"/>
  <c r="R157" i="10"/>
  <c r="R183" i="10"/>
  <c r="R184" i="10"/>
  <c r="R193" i="10"/>
  <c r="R198" i="10"/>
  <c r="R199" i="10"/>
  <c r="R209" i="10"/>
  <c r="R214" i="10"/>
  <c r="R215" i="10"/>
  <c r="R225" i="10"/>
  <c r="R230" i="10"/>
  <c r="R231" i="10"/>
  <c r="R241" i="10"/>
  <c r="R244" i="10"/>
  <c r="R245" i="10"/>
  <c r="R254" i="10"/>
  <c r="R259" i="10"/>
  <c r="R260" i="10"/>
  <c r="R270" i="10"/>
  <c r="R275" i="10"/>
  <c r="R276" i="10"/>
  <c r="R286" i="10"/>
  <c r="R291" i="10"/>
  <c r="R292" i="10"/>
  <c r="R302" i="10"/>
  <c r="R402" i="10"/>
  <c r="R434" i="10"/>
  <c r="R306" i="10"/>
  <c r="R311" i="10"/>
  <c r="R312" i="10"/>
  <c r="R322" i="10"/>
  <c r="R327" i="10"/>
  <c r="R328" i="10"/>
  <c r="R338" i="10"/>
  <c r="R343" i="10"/>
  <c r="R344" i="10"/>
  <c r="R345" i="10"/>
  <c r="R355" i="10"/>
  <c r="R360" i="10"/>
  <c r="R361" i="10"/>
  <c r="R372" i="10"/>
  <c r="R377" i="10"/>
  <c r="R381" i="10"/>
  <c r="R382" i="10"/>
  <c r="R392" i="10"/>
  <c r="R393" i="10"/>
  <c r="R405" i="10"/>
  <c r="R424" i="10"/>
  <c r="R425" i="10"/>
  <c r="R437" i="10"/>
  <c r="R456" i="10"/>
  <c r="R457" i="10"/>
  <c r="R469" i="10"/>
  <c r="R474" i="10"/>
  <c r="R479" i="10"/>
  <c r="R490" i="10"/>
  <c r="R495" i="10"/>
  <c r="R506" i="10"/>
  <c r="R511" i="10"/>
  <c r="R522" i="10"/>
  <c r="R527" i="10"/>
  <c r="R528" i="10"/>
  <c r="R539" i="10"/>
  <c r="R540" i="10"/>
  <c r="R541" i="10"/>
  <c r="R556" i="10"/>
  <c r="R557" i="10"/>
  <c r="R567" i="10"/>
  <c r="R572" i="10"/>
  <c r="R573" i="10"/>
  <c r="R586" i="10"/>
  <c r="R605" i="10"/>
  <c r="R606" i="10"/>
  <c r="R618" i="10"/>
  <c r="R629" i="10"/>
  <c r="R630" i="10"/>
  <c r="R642" i="10"/>
  <c r="R654" i="10"/>
  <c r="R314" i="10"/>
  <c r="R319" i="10"/>
  <c r="R320" i="10"/>
  <c r="R330" i="10"/>
  <c r="R335" i="10"/>
  <c r="R336" i="10"/>
  <c r="R347" i="10"/>
  <c r="R352" i="10"/>
  <c r="R353" i="10"/>
  <c r="R363" i="10"/>
  <c r="R368" i="10"/>
  <c r="R369" i="10"/>
  <c r="R370" i="10"/>
  <c r="R384" i="10"/>
  <c r="R388" i="10"/>
  <c r="R389" i="10"/>
  <c r="R408" i="10"/>
  <c r="R409" i="10"/>
  <c r="R421" i="10"/>
  <c r="R440" i="10"/>
  <c r="R441" i="10"/>
  <c r="R453" i="10"/>
  <c r="R482" i="10"/>
  <c r="R487" i="10"/>
  <c r="R498" i="10"/>
  <c r="R503" i="10"/>
  <c r="R514" i="10"/>
  <c r="R519" i="10"/>
  <c r="R532" i="10"/>
  <c r="R533" i="10"/>
  <c r="R543" i="10"/>
  <c r="R548" i="10"/>
  <c r="R564" i="10"/>
  <c r="R565" i="10"/>
  <c r="R578" i="10"/>
  <c r="R589" i="10"/>
  <c r="R590" i="10"/>
  <c r="R602" i="10"/>
  <c r="R621" i="10"/>
  <c r="R622" i="10"/>
  <c r="R650" i="10"/>
  <c r="W50" i="10"/>
  <c r="AD50" i="10" s="1"/>
  <c r="AD3" i="10"/>
  <c r="X39" i="10"/>
  <c r="AD12" i="10"/>
  <c r="N5" i="10"/>
  <c r="O5" i="10" s="1"/>
  <c r="M8" i="10"/>
  <c r="N8" i="10" s="1"/>
  <c r="O8" i="10" s="1"/>
  <c r="W13" i="10"/>
  <c r="AD39" i="10"/>
  <c r="W29" i="10"/>
  <c r="AD29" i="10" s="1"/>
  <c r="R33" i="10"/>
  <c r="M95" i="10"/>
  <c r="M111" i="10"/>
  <c r="W45" i="10"/>
  <c r="AD45" i="10" s="1"/>
  <c r="AD4" i="10"/>
  <c r="W48" i="10"/>
  <c r="AD48" i="10" s="1"/>
  <c r="W40" i="10"/>
  <c r="AD40" i="10" s="1"/>
  <c r="AD6" i="10"/>
  <c r="AD26" i="10"/>
  <c r="W11" i="10"/>
  <c r="AD11" i="10" s="1"/>
  <c r="AD7" i="10"/>
  <c r="R30" i="10"/>
  <c r="W5" i="10"/>
  <c r="AD5" i="10" s="1"/>
  <c r="M51" i="10"/>
  <c r="N315" i="10" s="1"/>
  <c r="O315" i="10" s="1"/>
  <c r="M67" i="10"/>
  <c r="M83" i="10"/>
  <c r="N329" i="10" s="1"/>
  <c r="O329" i="10" s="1"/>
  <c r="M99" i="10"/>
  <c r="N309" i="10" s="1"/>
  <c r="O309" i="10" s="1"/>
  <c r="M115" i="10"/>
  <c r="N419" i="10"/>
  <c r="O419" i="10" s="1"/>
  <c r="N503" i="10"/>
  <c r="O503" i="10" s="1"/>
  <c r="N371" i="10"/>
  <c r="O371" i="10" s="1"/>
  <c r="N460" i="10"/>
  <c r="O460" i="10" s="1"/>
  <c r="R164" i="10"/>
  <c r="R168" i="10"/>
  <c r="R172" i="10"/>
  <c r="R176" i="10"/>
  <c r="R180" i="10"/>
  <c r="N451" i="10"/>
  <c r="O451" i="10" s="1"/>
  <c r="N325" i="10"/>
  <c r="O325" i="10" s="1"/>
  <c r="N428" i="10"/>
  <c r="O428" i="10" s="1"/>
  <c r="N351" i="10"/>
  <c r="O351" i="10" s="1"/>
  <c r="N411" i="10"/>
  <c r="O411" i="10" s="1"/>
  <c r="N363" i="10"/>
  <c r="O363" i="10" s="1"/>
  <c r="N413" i="10"/>
  <c r="O413" i="10" s="1"/>
  <c r="N445" i="10"/>
  <c r="O445" i="10" s="1"/>
  <c r="N483" i="10"/>
  <c r="O483" i="10" s="1"/>
  <c r="O515" i="10"/>
  <c r="N368" i="10"/>
  <c r="O368" i="10" s="1"/>
  <c r="N459" i="10"/>
  <c r="O459" i="10" s="1"/>
  <c r="N400" i="10"/>
  <c r="O400" i="10" s="1"/>
  <c r="M402" i="10"/>
  <c r="R412" i="10"/>
  <c r="N416" i="10"/>
  <c r="O416" i="10" s="1"/>
  <c r="M418" i="10"/>
  <c r="R428" i="10"/>
  <c r="N432" i="10"/>
  <c r="O432" i="10" s="1"/>
  <c r="M434" i="10"/>
  <c r="R444" i="10"/>
  <c r="N448" i="10"/>
  <c r="O448" i="10" s="1"/>
  <c r="M450" i="10"/>
  <c r="R460" i="10"/>
  <c r="N464" i="10"/>
  <c r="O464" i="10" s="1"/>
  <c r="M466" i="10"/>
  <c r="N374" i="10"/>
  <c r="O374" i="10" s="1"/>
  <c r="N404" i="10"/>
  <c r="O404" i="10" s="1"/>
  <c r="N421" i="10"/>
  <c r="O421" i="10" s="1"/>
  <c r="N438" i="10"/>
  <c r="O438" i="10" s="1"/>
  <c r="N468" i="10"/>
  <c r="O468" i="10" s="1"/>
  <c r="N480" i="10"/>
  <c r="O480" i="10" s="1"/>
  <c r="N496" i="10"/>
  <c r="O496" i="10" s="1"/>
  <c r="O512" i="10"/>
  <c r="M378" i="10"/>
  <c r="N389" i="10"/>
  <c r="O389" i="10" s="1"/>
  <c r="M394" i="10"/>
  <c r="R404" i="10"/>
  <c r="M410" i="10"/>
  <c r="R420" i="10"/>
  <c r="M426" i="10"/>
  <c r="R436" i="10"/>
  <c r="M442" i="10"/>
  <c r="R452" i="10"/>
  <c r="M458" i="10"/>
  <c r="R468" i="10"/>
  <c r="O538" i="10"/>
  <c r="O562" i="10"/>
  <c r="O539" i="10"/>
  <c r="O571" i="10"/>
  <c r="O530" i="10"/>
  <c r="O541" i="10"/>
  <c r="O566" i="10"/>
  <c r="R472" i="10"/>
  <c r="R476" i="10"/>
  <c r="N478" i="10"/>
  <c r="O478" i="10" s="1"/>
  <c r="R480" i="10"/>
  <c r="R484" i="10"/>
  <c r="N486" i="10"/>
  <c r="O486" i="10" s="1"/>
  <c r="R488" i="10"/>
  <c r="R492" i="10"/>
  <c r="N494" i="10"/>
  <c r="O494" i="10" s="1"/>
  <c r="R496" i="10"/>
  <c r="R500" i="10"/>
  <c r="N502" i="10"/>
  <c r="O502" i="10" s="1"/>
  <c r="R504" i="10"/>
  <c r="R508" i="10"/>
  <c r="O510" i="10"/>
  <c r="R512" i="10"/>
  <c r="R516" i="10"/>
  <c r="O518" i="10"/>
  <c r="R520" i="10"/>
  <c r="O528" i="10"/>
  <c r="O559" i="10"/>
  <c r="R547" i="10"/>
  <c r="R551" i="10"/>
  <c r="R555" i="10"/>
  <c r="R559" i="10"/>
  <c r="R563" i="10"/>
  <c r="O569" i="10"/>
  <c r="O548" i="10"/>
  <c r="O564" i="10"/>
  <c r="O581" i="10"/>
  <c r="M575" i="10"/>
  <c r="O575" i="10" s="1"/>
  <c r="R577" i="10"/>
  <c r="M579" i="10"/>
  <c r="R581" i="10"/>
  <c r="M583" i="10"/>
  <c r="O583" i="10" s="1"/>
  <c r="R585" i="10"/>
  <c r="M591" i="10"/>
  <c r="O591" i="10" s="1"/>
  <c r="R601" i="10"/>
  <c r="M607" i="10"/>
  <c r="O607" i="10" s="1"/>
  <c r="R617" i="10"/>
  <c r="M623" i="10"/>
  <c r="O623" i="10" s="1"/>
  <c r="R633" i="10"/>
  <c r="M639" i="10"/>
  <c r="O639" i="10" s="1"/>
  <c r="R649" i="10"/>
  <c r="M655" i="10"/>
  <c r="O658" i="10"/>
  <c r="O609" i="10"/>
  <c r="O626" i="10"/>
  <c r="M627" i="10"/>
  <c r="R637" i="10"/>
  <c r="O642" i="10"/>
  <c r="M643" i="10"/>
  <c r="R653" i="10"/>
  <c r="R593" i="10"/>
  <c r="M599" i="10"/>
  <c r="R609" i="10"/>
  <c r="M615" i="10"/>
  <c r="R625" i="10"/>
  <c r="M631" i="10"/>
  <c r="R641" i="10"/>
  <c r="M647" i="10"/>
  <c r="R657" i="10"/>
  <c r="N349" i="10" l="1"/>
  <c r="O349" i="10" s="1"/>
  <c r="N342" i="10"/>
  <c r="O342" i="10" s="1"/>
  <c r="N340" i="10"/>
  <c r="O340" i="10" s="1"/>
  <c r="N331" i="10"/>
  <c r="O331" i="10" s="1"/>
  <c r="N313" i="10"/>
  <c r="O313" i="10" s="1"/>
  <c r="N323" i="10"/>
  <c r="O323" i="10" s="1"/>
  <c r="N281" i="10"/>
  <c r="O281" i="10" s="1"/>
  <c r="N287" i="10"/>
  <c r="O287" i="10" s="1"/>
  <c r="N293" i="10"/>
  <c r="O293" i="10" s="1"/>
  <c r="N300" i="10"/>
  <c r="O300" i="10" s="1"/>
  <c r="N288" i="10"/>
  <c r="O288" i="10" s="1"/>
  <c r="N303" i="10"/>
  <c r="O303" i="10" s="1"/>
  <c r="N297" i="10"/>
  <c r="O297" i="10" s="1"/>
  <c r="N277" i="10"/>
  <c r="O277" i="10" s="1"/>
  <c r="N237" i="10"/>
  <c r="O237" i="10" s="1"/>
  <c r="N246" i="10"/>
  <c r="O246" i="10" s="1"/>
  <c r="N250" i="10"/>
  <c r="O250" i="10" s="1"/>
  <c r="N227" i="10"/>
  <c r="O227" i="10" s="1"/>
  <c r="N211" i="10"/>
  <c r="O211" i="10" s="1"/>
  <c r="N255" i="10"/>
  <c r="O255" i="10" s="1"/>
  <c r="N46" i="10"/>
  <c r="O46" i="10" s="1"/>
  <c r="N271" i="10"/>
  <c r="O271" i="10" s="1"/>
  <c r="N261" i="10"/>
  <c r="O261" i="10" s="1"/>
  <c r="N268" i="10"/>
  <c r="O268" i="10" s="1"/>
  <c r="N234" i="10"/>
  <c r="O234" i="10" s="1"/>
  <c r="N256" i="10"/>
  <c r="O256" i="10" s="1"/>
  <c r="N245" i="10"/>
  <c r="O245" i="10" s="1"/>
  <c r="N265" i="10"/>
  <c r="O265" i="10" s="1"/>
  <c r="N195" i="10"/>
  <c r="O195" i="10" s="1"/>
  <c r="N221" i="10"/>
  <c r="O221" i="10" s="1"/>
  <c r="N205" i="10"/>
  <c r="O205" i="10" s="1"/>
  <c r="N65" i="10"/>
  <c r="O65" i="10" s="1"/>
  <c r="N168" i="10"/>
  <c r="O168" i="10" s="1"/>
  <c r="N154" i="10"/>
  <c r="O154" i="10" s="1"/>
  <c r="N138" i="10"/>
  <c r="O138" i="10" s="1"/>
  <c r="N47" i="10"/>
  <c r="O47" i="10" s="1"/>
  <c r="N85" i="10"/>
  <c r="O85" i="10" s="1"/>
  <c r="N124" i="10"/>
  <c r="O124" i="10" s="1"/>
  <c r="N110" i="10"/>
  <c r="O110" i="10" s="1"/>
  <c r="N67" i="10"/>
  <c r="O67" i="10" s="1"/>
  <c r="AD18" i="10"/>
  <c r="AD13" i="10"/>
  <c r="AD14" i="10"/>
  <c r="AD24" i="10"/>
  <c r="AD15" i="10"/>
  <c r="AD23" i="10"/>
  <c r="AD20" i="10"/>
  <c r="AD25" i="10"/>
  <c r="AD21" i="10"/>
  <c r="X50" i="10"/>
  <c r="O624" i="10"/>
  <c r="O640" i="10"/>
  <c r="O608" i="10"/>
  <c r="AD28" i="10"/>
  <c r="N171" i="10"/>
  <c r="O171" i="10" s="1"/>
  <c r="N156" i="10"/>
  <c r="O156" i="10" s="1"/>
  <c r="N140" i="10"/>
  <c r="O140" i="10" s="1"/>
  <c r="N126" i="10"/>
  <c r="O126" i="10" s="1"/>
  <c r="N111" i="10"/>
  <c r="O111" i="10" s="1"/>
  <c r="N90" i="10"/>
  <c r="O90" i="10" s="1"/>
  <c r="N187" i="10"/>
  <c r="O187" i="10" s="1"/>
  <c r="N202" i="10"/>
  <c r="O202" i="10" s="1"/>
  <c r="N218" i="10"/>
  <c r="O218" i="10" s="1"/>
  <c r="N407" i="10"/>
  <c r="O407" i="10" s="1"/>
  <c r="N372" i="10"/>
  <c r="O372" i="10" s="1"/>
  <c r="N455" i="10"/>
  <c r="O455" i="10" s="1"/>
  <c r="N358" i="10"/>
  <c r="O358" i="10" s="1"/>
  <c r="N395" i="10"/>
  <c r="O395" i="10" s="1"/>
  <c r="N485" i="10"/>
  <c r="O485" i="10" s="1"/>
  <c r="N501" i="10"/>
  <c r="O501" i="10" s="1"/>
  <c r="O517" i="10"/>
  <c r="N415" i="10"/>
  <c r="O415" i="10" s="1"/>
  <c r="O596" i="10"/>
  <c r="O588" i="10"/>
  <c r="N181" i="10"/>
  <c r="O181" i="10" s="1"/>
  <c r="N165" i="10"/>
  <c r="O165" i="10" s="1"/>
  <c r="N148" i="10"/>
  <c r="O148" i="10" s="1"/>
  <c r="N132" i="10"/>
  <c r="O132" i="10" s="1"/>
  <c r="N118" i="10"/>
  <c r="O118" i="10" s="1"/>
  <c r="N100" i="10"/>
  <c r="O100" i="10" s="1"/>
  <c r="N84" i="10"/>
  <c r="O84" i="10" s="1"/>
  <c r="N66" i="10"/>
  <c r="O66" i="10" s="1"/>
  <c r="N240" i="10"/>
  <c r="O240" i="10" s="1"/>
  <c r="N223" i="10"/>
  <c r="O223" i="10" s="1"/>
  <c r="N207" i="10"/>
  <c r="O207" i="10" s="1"/>
  <c r="N191" i="10"/>
  <c r="O191" i="10" s="1"/>
  <c r="N178" i="10"/>
  <c r="O178" i="10" s="1"/>
  <c r="N162" i="10"/>
  <c r="O162" i="10" s="1"/>
  <c r="N146" i="10"/>
  <c r="O146" i="10" s="1"/>
  <c r="N130" i="10"/>
  <c r="O130" i="10" s="1"/>
  <c r="N116" i="10"/>
  <c r="O116" i="10" s="1"/>
  <c r="N93" i="10"/>
  <c r="O93" i="10" s="1"/>
  <c r="N77" i="10"/>
  <c r="O77" i="10" s="1"/>
  <c r="N61" i="10"/>
  <c r="O61" i="10" s="1"/>
  <c r="N45" i="10"/>
  <c r="O45" i="10" s="1"/>
  <c r="N50" i="10"/>
  <c r="O50" i="10" s="1"/>
  <c r="N25" i="10"/>
  <c r="O25" i="10" s="1"/>
  <c r="N9" i="10"/>
  <c r="O9" i="10" s="1"/>
  <c r="N108" i="10"/>
  <c r="O108" i="10" s="1"/>
  <c r="N44" i="10"/>
  <c r="O44" i="10" s="1"/>
  <c r="N27" i="10"/>
  <c r="O27" i="10" s="1"/>
  <c r="N19" i="10"/>
  <c r="O19" i="10" s="1"/>
  <c r="N11" i="10"/>
  <c r="O11" i="10" s="1"/>
  <c r="N10" i="10"/>
  <c r="O10" i="10" s="1"/>
  <c r="N64" i="10"/>
  <c r="O64" i="10" s="1"/>
  <c r="X13" i="10"/>
  <c r="O647" i="10"/>
  <c r="O631" i="10"/>
  <c r="O615" i="10"/>
  <c r="O599" i="10"/>
  <c r="O657" i="10"/>
  <c r="O641" i="10"/>
  <c r="O625" i="10"/>
  <c r="O595" i="10"/>
  <c r="O655" i="10"/>
  <c r="O638" i="10"/>
  <c r="O622" i="10"/>
  <c r="O606" i="10"/>
  <c r="O590" i="10"/>
  <c r="O648" i="10"/>
  <c r="O576" i="10"/>
  <c r="O560" i="10"/>
  <c r="O544" i="10"/>
  <c r="O635" i="10"/>
  <c r="O620" i="10"/>
  <c r="O592" i="10"/>
  <c r="O600" i="10"/>
  <c r="O565" i="10"/>
  <c r="O557" i="10"/>
  <c r="O549" i="10"/>
  <c r="O618" i="10"/>
  <c r="O551" i="10"/>
  <c r="O524" i="10"/>
  <c r="O636" i="10"/>
  <c r="O558" i="10"/>
  <c r="O536" i="10"/>
  <c r="O526" i="10"/>
  <c r="O587" i="10"/>
  <c r="O563" i="10"/>
  <c r="O531" i="10"/>
  <c r="O554" i="10"/>
  <c r="O537" i="10"/>
  <c r="N458" i="10"/>
  <c r="O458" i="10" s="1"/>
  <c r="N442" i="10"/>
  <c r="O442" i="10" s="1"/>
  <c r="N426" i="10"/>
  <c r="O426" i="10" s="1"/>
  <c r="N410" i="10"/>
  <c r="O410" i="10" s="1"/>
  <c r="N394" i="10"/>
  <c r="O394" i="10" s="1"/>
  <c r="N380" i="10"/>
  <c r="O380" i="10" s="1"/>
  <c r="O525" i="10"/>
  <c r="O508" i="10"/>
  <c r="N492" i="10"/>
  <c r="O492" i="10" s="1"/>
  <c r="N476" i="10"/>
  <c r="O476" i="10" s="1"/>
  <c r="N454" i="10"/>
  <c r="O454" i="10" s="1"/>
  <c r="N437" i="10"/>
  <c r="O437" i="10" s="1"/>
  <c r="N420" i="10"/>
  <c r="O420" i="10" s="1"/>
  <c r="N390" i="10"/>
  <c r="O390" i="10" s="1"/>
  <c r="N370" i="10"/>
  <c r="O370" i="10" s="1"/>
  <c r="N388" i="10"/>
  <c r="O388" i="10" s="1"/>
  <c r="N427" i="10"/>
  <c r="O427" i="10" s="1"/>
  <c r="N359" i="10"/>
  <c r="O359" i="10" s="1"/>
  <c r="N339" i="10"/>
  <c r="O339" i="10" s="1"/>
  <c r="O507" i="10"/>
  <c r="N475" i="10"/>
  <c r="O475" i="10" s="1"/>
  <c r="N444" i="10"/>
  <c r="O444" i="10" s="1"/>
  <c r="N412" i="10"/>
  <c r="O412" i="10" s="1"/>
  <c r="N357" i="10"/>
  <c r="O357" i="10" s="1"/>
  <c r="N336" i="10"/>
  <c r="O336" i="10" s="1"/>
  <c r="N367" i="10"/>
  <c r="O367" i="10" s="1"/>
  <c r="N345" i="10"/>
  <c r="O345" i="10" s="1"/>
  <c r="N328" i="10"/>
  <c r="O328" i="10" s="1"/>
  <c r="N320" i="10"/>
  <c r="O320" i="10" s="1"/>
  <c r="N312" i="10"/>
  <c r="O312" i="10" s="1"/>
  <c r="N299" i="10"/>
  <c r="O299" i="10" s="1"/>
  <c r="N283" i="10"/>
  <c r="O283" i="10" s="1"/>
  <c r="N267" i="10"/>
  <c r="O267" i="10" s="1"/>
  <c r="N244" i="10"/>
  <c r="O244" i="10" s="1"/>
  <c r="N375" i="10"/>
  <c r="O375" i="10" s="1"/>
  <c r="N322" i="10"/>
  <c r="O322" i="10" s="1"/>
  <c r="N306" i="10"/>
  <c r="O306" i="10" s="1"/>
  <c r="N290" i="10"/>
  <c r="O290" i="10" s="1"/>
  <c r="N274" i="10"/>
  <c r="O274" i="10" s="1"/>
  <c r="N258" i="10"/>
  <c r="O258" i="10" s="1"/>
  <c r="N243" i="10"/>
  <c r="O243" i="10" s="1"/>
  <c r="N384" i="10"/>
  <c r="O384" i="10" s="1"/>
  <c r="N292" i="10"/>
  <c r="O292" i="10" s="1"/>
  <c r="N260" i="10"/>
  <c r="O260" i="10" s="1"/>
  <c r="N398" i="10"/>
  <c r="O398" i="10" s="1"/>
  <c r="N365" i="10"/>
  <c r="O365" i="10" s="1"/>
  <c r="N348" i="10"/>
  <c r="O348" i="10" s="1"/>
  <c r="N326" i="10"/>
  <c r="O326" i="10" s="1"/>
  <c r="N310" i="10"/>
  <c r="O310" i="10" s="1"/>
  <c r="N294" i="10"/>
  <c r="O294" i="10" s="1"/>
  <c r="N278" i="10"/>
  <c r="O278" i="10" s="1"/>
  <c r="N262" i="10"/>
  <c r="O262" i="10" s="1"/>
  <c r="N247" i="10"/>
  <c r="O247" i="10" s="1"/>
  <c r="N233" i="10"/>
  <c r="O233" i="10" s="1"/>
  <c r="N217" i="10"/>
  <c r="O217" i="10" s="1"/>
  <c r="N201" i="10"/>
  <c r="O201" i="10" s="1"/>
  <c r="N186" i="10"/>
  <c r="O186" i="10" s="1"/>
  <c r="N495" i="10"/>
  <c r="O495" i="10" s="1"/>
  <c r="N334" i="10"/>
  <c r="O334" i="10" s="1"/>
  <c r="N280" i="10"/>
  <c r="O280" i="10" s="1"/>
  <c r="N180" i="10"/>
  <c r="O180" i="10" s="1"/>
  <c r="N164" i="10"/>
  <c r="O164" i="10" s="1"/>
  <c r="N220" i="10"/>
  <c r="O220" i="10" s="1"/>
  <c r="N204" i="10"/>
  <c r="O204" i="10" s="1"/>
  <c r="N189" i="10"/>
  <c r="O189" i="10" s="1"/>
  <c r="N152" i="10"/>
  <c r="O152" i="10" s="1"/>
  <c r="N136" i="10"/>
  <c r="O136" i="10" s="1"/>
  <c r="N122" i="10"/>
  <c r="O122" i="10" s="1"/>
  <c r="N101" i="10"/>
  <c r="O101" i="10" s="1"/>
  <c r="N83" i="10"/>
  <c r="O83" i="10" s="1"/>
  <c r="N62" i="10"/>
  <c r="O62" i="10" s="1"/>
  <c r="N37" i="10"/>
  <c r="O37" i="10" s="1"/>
  <c r="N167" i="10"/>
  <c r="O167" i="10" s="1"/>
  <c r="N153" i="10"/>
  <c r="O153" i="10" s="1"/>
  <c r="N137" i="10"/>
  <c r="O137" i="10" s="1"/>
  <c r="N123" i="10"/>
  <c r="O123" i="10" s="1"/>
  <c r="N106" i="10"/>
  <c r="O106" i="10" s="1"/>
  <c r="N81" i="10"/>
  <c r="O81" i="10" s="1"/>
  <c r="N63" i="10"/>
  <c r="O63" i="10" s="1"/>
  <c r="N42" i="10"/>
  <c r="O42" i="10" s="1"/>
  <c r="N190" i="10"/>
  <c r="O190" i="10" s="1"/>
  <c r="N206" i="10"/>
  <c r="O206" i="10" s="1"/>
  <c r="N222" i="10"/>
  <c r="O222" i="10" s="1"/>
  <c r="N471" i="10"/>
  <c r="O471" i="10" s="1"/>
  <c r="N379" i="10"/>
  <c r="O379" i="10" s="1"/>
  <c r="N346" i="10"/>
  <c r="O346" i="10" s="1"/>
  <c r="N362" i="10"/>
  <c r="O362" i="10" s="1"/>
  <c r="N473" i="10"/>
  <c r="O473" i="10" s="1"/>
  <c r="N489" i="10"/>
  <c r="O489" i="10" s="1"/>
  <c r="N505" i="10"/>
  <c r="O505" i="10" s="1"/>
  <c r="O521" i="10"/>
  <c r="N431" i="10"/>
  <c r="O431" i="10" s="1"/>
  <c r="O628" i="10"/>
  <c r="O604" i="10"/>
  <c r="N177" i="10"/>
  <c r="O177" i="10" s="1"/>
  <c r="N161" i="10"/>
  <c r="O161" i="10" s="1"/>
  <c r="N145" i="10"/>
  <c r="O145" i="10" s="1"/>
  <c r="N129" i="10"/>
  <c r="O129" i="10" s="1"/>
  <c r="N114" i="10"/>
  <c r="O114" i="10" s="1"/>
  <c r="N98" i="10"/>
  <c r="O98" i="10" s="1"/>
  <c r="N82" i="10"/>
  <c r="O82" i="10" s="1"/>
  <c r="N55" i="10"/>
  <c r="O55" i="10" s="1"/>
  <c r="N232" i="10"/>
  <c r="O232" i="10" s="1"/>
  <c r="N216" i="10"/>
  <c r="O216" i="10" s="1"/>
  <c r="N200" i="10"/>
  <c r="O200" i="10" s="1"/>
  <c r="N185" i="10"/>
  <c r="O185" i="10" s="1"/>
  <c r="N174" i="10"/>
  <c r="O174" i="10" s="1"/>
  <c r="N160" i="10"/>
  <c r="O160" i="10" s="1"/>
  <c r="N144" i="10"/>
  <c r="O144" i="10" s="1"/>
  <c r="N128" i="10"/>
  <c r="O128" i="10" s="1"/>
  <c r="N109" i="10"/>
  <c r="O109" i="10" s="1"/>
  <c r="N91" i="10"/>
  <c r="O91" i="10" s="1"/>
  <c r="N75" i="10"/>
  <c r="O75" i="10" s="1"/>
  <c r="N59" i="10"/>
  <c r="O59" i="10" s="1"/>
  <c r="N43" i="10"/>
  <c r="O43" i="10" s="1"/>
  <c r="N71" i="10"/>
  <c r="O71" i="10" s="1"/>
  <c r="N39" i="10"/>
  <c r="O39" i="10" s="1"/>
  <c r="AD10" i="10"/>
  <c r="N21" i="10"/>
  <c r="O21" i="10" s="1"/>
  <c r="N92" i="10"/>
  <c r="O92" i="10" s="1"/>
  <c r="N112" i="10"/>
  <c r="O112" i="10" s="1"/>
  <c r="N48" i="10"/>
  <c r="O48" i="10" s="1"/>
  <c r="N24" i="10"/>
  <c r="O24" i="10" s="1"/>
  <c r="N16" i="10"/>
  <c r="O16" i="10" s="1"/>
  <c r="N26" i="10"/>
  <c r="O26" i="10" s="1"/>
  <c r="O601" i="10"/>
  <c r="O619" i="10"/>
  <c r="AD16" i="10"/>
  <c r="O646" i="10"/>
  <c r="O614" i="10"/>
  <c r="O611" i="10"/>
  <c r="O637" i="10"/>
  <c r="O605" i="10"/>
  <c r="O589" i="10"/>
  <c r="O616" i="10"/>
  <c r="O656" i="10"/>
  <c r="O603" i="10"/>
  <c r="O584" i="10"/>
  <c r="O543" i="10"/>
  <c r="O514" i="10"/>
  <c r="O506" i="10"/>
  <c r="N490" i="10"/>
  <c r="O490" i="10" s="1"/>
  <c r="N474" i="10"/>
  <c r="O474" i="10" s="1"/>
  <c r="O550" i="10"/>
  <c r="O651" i="10"/>
  <c r="O555" i="10"/>
  <c r="O546" i="10"/>
  <c r="N441" i="10"/>
  <c r="O441" i="10" s="1"/>
  <c r="N425" i="10"/>
  <c r="O425" i="10" s="1"/>
  <c r="N378" i="10"/>
  <c r="O378" i="10" s="1"/>
  <c r="N488" i="10"/>
  <c r="O488" i="10" s="1"/>
  <c r="N453" i="10"/>
  <c r="O453" i="10" s="1"/>
  <c r="N406" i="10"/>
  <c r="O406" i="10" s="1"/>
  <c r="N385" i="10"/>
  <c r="O385" i="10" s="1"/>
  <c r="N434" i="10"/>
  <c r="O434" i="10" s="1"/>
  <c r="N402" i="10"/>
  <c r="O402" i="10" s="1"/>
  <c r="N377" i="10"/>
  <c r="O377" i="10" s="1"/>
  <c r="O529" i="10"/>
  <c r="N499" i="10"/>
  <c r="O499" i="10" s="1"/>
  <c r="N435" i="10"/>
  <c r="O435" i="10" s="1"/>
  <c r="N403" i="10"/>
  <c r="O403" i="10" s="1"/>
  <c r="N356" i="10"/>
  <c r="O356" i="10" s="1"/>
  <c r="N335" i="10"/>
  <c r="O335" i="10" s="1"/>
  <c r="N361" i="10"/>
  <c r="O361" i="10" s="1"/>
  <c r="N338" i="10"/>
  <c r="O338" i="10" s="1"/>
  <c r="N327" i="10"/>
  <c r="O327" i="10" s="1"/>
  <c r="N319" i="10"/>
  <c r="O319" i="10" s="1"/>
  <c r="N311" i="10"/>
  <c r="O311" i="10" s="1"/>
  <c r="N295" i="10"/>
  <c r="O295" i="10" s="1"/>
  <c r="N279" i="10"/>
  <c r="O279" i="10" s="1"/>
  <c r="N263" i="10"/>
  <c r="O263" i="10" s="1"/>
  <c r="N249" i="10"/>
  <c r="O249" i="10" s="1"/>
  <c r="N430" i="10"/>
  <c r="O430" i="10" s="1"/>
  <c r="N333" i="10"/>
  <c r="O333" i="10" s="1"/>
  <c r="N317" i="10"/>
  <c r="O317" i="10" s="1"/>
  <c r="N301" i="10"/>
  <c r="O301" i="10" s="1"/>
  <c r="N285" i="10"/>
  <c r="O285" i="10" s="1"/>
  <c r="N269" i="10"/>
  <c r="O269" i="10" s="1"/>
  <c r="N253" i="10"/>
  <c r="O253" i="10" s="1"/>
  <c r="N239" i="10"/>
  <c r="O239" i="10" s="1"/>
  <c r="N341" i="10"/>
  <c r="O341" i="10" s="1"/>
  <c r="N284" i="10"/>
  <c r="O284" i="10" s="1"/>
  <c r="N252" i="10"/>
  <c r="O252" i="10" s="1"/>
  <c r="N462" i="10"/>
  <c r="O462" i="10" s="1"/>
  <c r="N397" i="10"/>
  <c r="O397" i="10" s="1"/>
  <c r="N364" i="10"/>
  <c r="O364" i="10" s="1"/>
  <c r="N344" i="10"/>
  <c r="O344" i="10" s="1"/>
  <c r="N321" i="10"/>
  <c r="O321" i="10" s="1"/>
  <c r="N305" i="10"/>
  <c r="O305" i="10" s="1"/>
  <c r="N289" i="10"/>
  <c r="O289" i="10" s="1"/>
  <c r="N273" i="10"/>
  <c r="O273" i="10" s="1"/>
  <c r="N257" i="10"/>
  <c r="O257" i="10" s="1"/>
  <c r="N242" i="10"/>
  <c r="O242" i="10" s="1"/>
  <c r="N229" i="10"/>
  <c r="O229" i="10" s="1"/>
  <c r="N213" i="10"/>
  <c r="O213" i="10" s="1"/>
  <c r="N197" i="10"/>
  <c r="O197" i="10" s="1"/>
  <c r="O519" i="10"/>
  <c r="N487" i="10"/>
  <c r="O487" i="10" s="1"/>
  <c r="N304" i="10"/>
  <c r="O304" i="10" s="1"/>
  <c r="N272" i="10"/>
  <c r="O272" i="10" s="1"/>
  <c r="N176" i="10"/>
  <c r="O176" i="10" s="1"/>
  <c r="N236" i="10"/>
  <c r="O236" i="10" s="1"/>
  <c r="N219" i="10"/>
  <c r="O219" i="10" s="1"/>
  <c r="N203" i="10"/>
  <c r="O203" i="10" s="1"/>
  <c r="N188" i="10"/>
  <c r="O188" i="10" s="1"/>
  <c r="N149" i="10"/>
  <c r="O149" i="10" s="1"/>
  <c r="N133" i="10"/>
  <c r="O133" i="10" s="1"/>
  <c r="N119" i="10"/>
  <c r="O119" i="10" s="1"/>
  <c r="N99" i="10"/>
  <c r="O99" i="10" s="1"/>
  <c r="N78" i="10"/>
  <c r="O78" i="10" s="1"/>
  <c r="N53" i="10"/>
  <c r="O53" i="10" s="1"/>
  <c r="X11" i="10"/>
  <c r="AD8" i="10"/>
  <c r="AD19" i="10"/>
  <c r="AD17" i="10"/>
  <c r="X45" i="10"/>
  <c r="N179" i="10"/>
  <c r="O179" i="10" s="1"/>
  <c r="N163" i="10"/>
  <c r="O163" i="10" s="1"/>
  <c r="N147" i="10"/>
  <c r="O147" i="10" s="1"/>
  <c r="N131" i="10"/>
  <c r="O131" i="10" s="1"/>
  <c r="N117" i="10"/>
  <c r="O117" i="10" s="1"/>
  <c r="N97" i="10"/>
  <c r="O97" i="10" s="1"/>
  <c r="N79" i="10"/>
  <c r="O79" i="10" s="1"/>
  <c r="N58" i="10"/>
  <c r="O58" i="10" s="1"/>
  <c r="X5" i="10"/>
  <c r="N194" i="10"/>
  <c r="O194" i="10" s="1"/>
  <c r="N210" i="10"/>
  <c r="O210" i="10" s="1"/>
  <c r="N226" i="10"/>
  <c r="O226" i="10" s="1"/>
  <c r="N439" i="10"/>
  <c r="O439" i="10" s="1"/>
  <c r="N391" i="10"/>
  <c r="O391" i="10" s="1"/>
  <c r="N350" i="10"/>
  <c r="O350" i="10" s="1"/>
  <c r="N366" i="10"/>
  <c r="O366" i="10" s="1"/>
  <c r="N477" i="10"/>
  <c r="O477" i="10" s="1"/>
  <c r="N493" i="10"/>
  <c r="O493" i="10" s="1"/>
  <c r="O509" i="10"/>
  <c r="N387" i="10"/>
  <c r="O387" i="10" s="1"/>
  <c r="N447" i="10"/>
  <c r="O447" i="10" s="1"/>
  <c r="O612" i="10"/>
  <c r="N173" i="10"/>
  <c r="O173" i="10" s="1"/>
  <c r="N155" i="10"/>
  <c r="O155" i="10" s="1"/>
  <c r="N139" i="10"/>
  <c r="O139" i="10" s="1"/>
  <c r="N125" i="10"/>
  <c r="O125" i="10" s="1"/>
  <c r="N105" i="10"/>
  <c r="O105" i="10" s="1"/>
  <c r="N89" i="10"/>
  <c r="O89" i="10" s="1"/>
  <c r="N73" i="10"/>
  <c r="O73" i="10" s="1"/>
  <c r="N41" i="10"/>
  <c r="O41" i="10" s="1"/>
  <c r="N231" i="10"/>
  <c r="O231" i="10" s="1"/>
  <c r="N215" i="10"/>
  <c r="O215" i="10" s="1"/>
  <c r="N199" i="10"/>
  <c r="O199" i="10" s="1"/>
  <c r="N184" i="10"/>
  <c r="O184" i="10" s="1"/>
  <c r="N170" i="10"/>
  <c r="O170" i="10" s="1"/>
  <c r="N157" i="10"/>
  <c r="O157" i="10" s="1"/>
  <c r="N141" i="10"/>
  <c r="O141" i="10" s="1"/>
  <c r="N127" i="10"/>
  <c r="O127" i="10" s="1"/>
  <c r="N107" i="10"/>
  <c r="O107" i="10" s="1"/>
  <c r="N88" i="10"/>
  <c r="O88" i="10" s="1"/>
  <c r="N72" i="10"/>
  <c r="O72" i="10" s="1"/>
  <c r="N56" i="10"/>
  <c r="O56" i="10" s="1"/>
  <c r="N40" i="10"/>
  <c r="O40" i="10" s="1"/>
  <c r="N30" i="10"/>
  <c r="O30" i="10" s="1"/>
  <c r="N57" i="10"/>
  <c r="O57" i="10" s="1"/>
  <c r="N35" i="10"/>
  <c r="O35" i="10" s="1"/>
  <c r="AD22" i="10"/>
  <c r="N17" i="10"/>
  <c r="O17" i="10" s="1"/>
  <c r="N34" i="10"/>
  <c r="O34" i="10" s="1"/>
  <c r="N76" i="10"/>
  <c r="O76" i="10" s="1"/>
  <c r="N31" i="10"/>
  <c r="O31" i="10" s="1"/>
  <c r="N23" i="10"/>
  <c r="O23" i="10" s="1"/>
  <c r="N15" i="10"/>
  <c r="O15" i="10" s="1"/>
  <c r="N104" i="10"/>
  <c r="O104" i="10" s="1"/>
  <c r="N96" i="10"/>
  <c r="O96" i="10" s="1"/>
  <c r="N32" i="10"/>
  <c r="O32" i="10" s="1"/>
  <c r="N22" i="10"/>
  <c r="O22" i="10" s="1"/>
  <c r="O652" i="10"/>
  <c r="O632" i="10"/>
  <c r="O649" i="10"/>
  <c r="X40" i="10"/>
  <c r="AD27" i="10"/>
  <c r="O630" i="10"/>
  <c r="O598" i="10"/>
  <c r="O594" i="10"/>
  <c r="O653" i="10"/>
  <c r="O621" i="10"/>
  <c r="O579" i="10"/>
  <c r="O572" i="10"/>
  <c r="O556" i="10"/>
  <c r="O634" i="10"/>
  <c r="O578" i="10"/>
  <c r="O617" i="10"/>
  <c r="O522" i="10"/>
  <c r="N498" i="10"/>
  <c r="O498" i="10" s="1"/>
  <c r="N482" i="10"/>
  <c r="O482" i="10" s="1"/>
  <c r="O580" i="10"/>
  <c r="O534" i="10"/>
  <c r="O586" i="10"/>
  <c r="O527" i="10"/>
  <c r="O532" i="10"/>
  <c r="N457" i="10"/>
  <c r="O457" i="10" s="1"/>
  <c r="N409" i="10"/>
  <c r="O409" i="10" s="1"/>
  <c r="N393" i="10"/>
  <c r="O393" i="10" s="1"/>
  <c r="O520" i="10"/>
  <c r="N504" i="10"/>
  <c r="O504" i="10" s="1"/>
  <c r="N470" i="10"/>
  <c r="O470" i="10" s="1"/>
  <c r="N436" i="10"/>
  <c r="O436" i="10" s="1"/>
  <c r="N466" i="10"/>
  <c r="O466" i="10" s="1"/>
  <c r="N450" i="10"/>
  <c r="O450" i="10" s="1"/>
  <c r="N418" i="10"/>
  <c r="O418" i="10" s="1"/>
  <c r="N386" i="10"/>
  <c r="O386" i="10" s="1"/>
  <c r="N353" i="10"/>
  <c r="O353" i="10" s="1"/>
  <c r="N467" i="10"/>
  <c r="O467" i="10" s="1"/>
  <c r="O659" i="10"/>
  <c r="O645" i="10"/>
  <c r="O629" i="10"/>
  <c r="O613" i="10"/>
  <c r="O597" i="10"/>
  <c r="O643" i="10"/>
  <c r="O627" i="10"/>
  <c r="O610" i="10"/>
  <c r="O593" i="10"/>
  <c r="O582" i="10"/>
  <c r="O568" i="10"/>
  <c r="O552" i="10"/>
  <c r="O654" i="10"/>
  <c r="O633" i="10"/>
  <c r="O602" i="10"/>
  <c r="O577" i="10"/>
  <c r="O573" i="10"/>
  <c r="O561" i="10"/>
  <c r="O553" i="10"/>
  <c r="O545" i="10"/>
  <c r="O567" i="10"/>
  <c r="O535" i="10"/>
  <c r="O574" i="10"/>
  <c r="O542" i="10"/>
  <c r="O533" i="10"/>
  <c r="O650" i="10"/>
  <c r="O585" i="10"/>
  <c r="O547" i="10"/>
  <c r="O570" i="10"/>
  <c r="O540" i="10"/>
  <c r="N472" i="10"/>
  <c r="O472" i="10" s="1"/>
  <c r="N456" i="10"/>
  <c r="O456" i="10" s="1"/>
  <c r="N440" i="10"/>
  <c r="O440" i="10" s="1"/>
  <c r="N424" i="10"/>
  <c r="O424" i="10" s="1"/>
  <c r="N408" i="10"/>
  <c r="O408" i="10" s="1"/>
  <c r="N392" i="10"/>
  <c r="O392" i="10" s="1"/>
  <c r="N373" i="10"/>
  <c r="O373" i="10" s="1"/>
  <c r="O516" i="10"/>
  <c r="N500" i="10"/>
  <c r="O500" i="10" s="1"/>
  <c r="N484" i="10"/>
  <c r="O484" i="10" s="1"/>
  <c r="N469" i="10"/>
  <c r="O469" i="10" s="1"/>
  <c r="N452" i="10"/>
  <c r="O452" i="10" s="1"/>
  <c r="N422" i="10"/>
  <c r="O422" i="10" s="1"/>
  <c r="N405" i="10"/>
  <c r="O405" i="10" s="1"/>
  <c r="N376" i="10"/>
  <c r="O376" i="10" s="1"/>
  <c r="N465" i="10"/>
  <c r="O465" i="10" s="1"/>
  <c r="N449" i="10"/>
  <c r="O449" i="10" s="1"/>
  <c r="N433" i="10"/>
  <c r="O433" i="10" s="1"/>
  <c r="N417" i="10"/>
  <c r="O417" i="10" s="1"/>
  <c r="N401" i="10"/>
  <c r="O401" i="10" s="1"/>
  <c r="N381" i="10"/>
  <c r="O381" i="10" s="1"/>
  <c r="N369" i="10"/>
  <c r="O369" i="10" s="1"/>
  <c r="N352" i="10"/>
  <c r="O352" i="10" s="1"/>
  <c r="O523" i="10"/>
  <c r="N491" i="10"/>
  <c r="O491" i="10" s="1"/>
  <c r="N446" i="10"/>
  <c r="O446" i="10" s="1"/>
  <c r="N414" i="10"/>
  <c r="O414" i="10" s="1"/>
  <c r="N382" i="10"/>
  <c r="O382" i="10" s="1"/>
  <c r="N347" i="10"/>
  <c r="O347" i="10" s="1"/>
  <c r="N443" i="10"/>
  <c r="O443" i="10" s="1"/>
  <c r="N360" i="10"/>
  <c r="O360" i="10" s="1"/>
  <c r="N332" i="10"/>
  <c r="O332" i="10" s="1"/>
  <c r="N324" i="10"/>
  <c r="O324" i="10" s="1"/>
  <c r="N316" i="10"/>
  <c r="O316" i="10" s="1"/>
  <c r="N307" i="10"/>
  <c r="O307" i="10" s="1"/>
  <c r="N291" i="10"/>
  <c r="O291" i="10" s="1"/>
  <c r="N275" i="10"/>
  <c r="O275" i="10" s="1"/>
  <c r="N259" i="10"/>
  <c r="O259" i="10" s="1"/>
  <c r="N248" i="10"/>
  <c r="O248" i="10" s="1"/>
  <c r="N429" i="10"/>
  <c r="O429" i="10" s="1"/>
  <c r="N330" i="10"/>
  <c r="O330" i="10" s="1"/>
  <c r="N314" i="10"/>
  <c r="O314" i="10" s="1"/>
  <c r="N298" i="10"/>
  <c r="O298" i="10" s="1"/>
  <c r="N282" i="10"/>
  <c r="O282" i="10" s="1"/>
  <c r="N266" i="10"/>
  <c r="O266" i="10" s="1"/>
  <c r="N251" i="10"/>
  <c r="O251" i="10" s="1"/>
  <c r="N235" i="10"/>
  <c r="O235" i="10" s="1"/>
  <c r="N308" i="10"/>
  <c r="O308" i="10" s="1"/>
  <c r="N276" i="10"/>
  <c r="O276" i="10" s="1"/>
  <c r="N241" i="10"/>
  <c r="O241" i="10" s="1"/>
  <c r="N461" i="10"/>
  <c r="O461" i="10" s="1"/>
  <c r="N396" i="10"/>
  <c r="O396" i="10" s="1"/>
  <c r="N355" i="10"/>
  <c r="O355" i="10" s="1"/>
  <c r="N343" i="10"/>
  <c r="O343" i="10" s="1"/>
  <c r="N318" i="10"/>
  <c r="O318" i="10" s="1"/>
  <c r="N302" i="10"/>
  <c r="O302" i="10" s="1"/>
  <c r="N286" i="10"/>
  <c r="O286" i="10" s="1"/>
  <c r="N270" i="10"/>
  <c r="O270" i="10" s="1"/>
  <c r="N254" i="10"/>
  <c r="O254" i="10" s="1"/>
  <c r="N238" i="10"/>
  <c r="O238" i="10" s="1"/>
  <c r="Y50" i="10" s="1"/>
  <c r="N225" i="10"/>
  <c r="O225" i="10" s="1"/>
  <c r="N209" i="10"/>
  <c r="O209" i="10" s="1"/>
  <c r="N193" i="10"/>
  <c r="O193" i="10" s="1"/>
  <c r="O511" i="10"/>
  <c r="N479" i="10"/>
  <c r="O479" i="10" s="1"/>
  <c r="N296" i="10"/>
  <c r="O296" i="10" s="1"/>
  <c r="N264" i="10"/>
  <c r="O264" i="10" s="1"/>
  <c r="N172" i="10"/>
  <c r="O172" i="10" s="1"/>
  <c r="N228" i="10"/>
  <c r="O228" i="10" s="1"/>
  <c r="N212" i="10"/>
  <c r="O212" i="10" s="1"/>
  <c r="N196" i="10"/>
  <c r="O196" i="10" s="1"/>
  <c r="N159" i="10"/>
  <c r="O159" i="10" s="1"/>
  <c r="N143" i="10"/>
  <c r="O143" i="10" s="1"/>
  <c r="N115" i="10"/>
  <c r="O115" i="10" s="1"/>
  <c r="N94" i="10"/>
  <c r="O94" i="10" s="1"/>
  <c r="N69" i="10"/>
  <c r="O69" i="10" s="1"/>
  <c r="N51" i="10"/>
  <c r="O51" i="10" s="1"/>
  <c r="N175" i="10"/>
  <c r="O175" i="10" s="1"/>
  <c r="N158" i="10"/>
  <c r="O158" i="10" s="1"/>
  <c r="N142" i="10"/>
  <c r="O142" i="10" s="1"/>
  <c r="N113" i="10"/>
  <c r="O113" i="10" s="1"/>
  <c r="N95" i="10"/>
  <c r="O95" i="10" s="1"/>
  <c r="N74" i="10"/>
  <c r="O74" i="10" s="1"/>
  <c r="N49" i="10"/>
  <c r="O49" i="10" s="1"/>
  <c r="X29" i="10"/>
  <c r="N183" i="10"/>
  <c r="O183" i="10" s="1"/>
  <c r="N198" i="10"/>
  <c r="O198" i="10" s="1"/>
  <c r="N214" i="10"/>
  <c r="O214" i="10" s="1"/>
  <c r="N230" i="10"/>
  <c r="O230" i="10" s="1"/>
  <c r="N337" i="10"/>
  <c r="O337" i="10" s="1"/>
  <c r="N423" i="10"/>
  <c r="O423" i="10" s="1"/>
  <c r="N354" i="10"/>
  <c r="O354" i="10" s="1"/>
  <c r="N383" i="10"/>
  <c r="O383" i="10" s="1"/>
  <c r="N481" i="10"/>
  <c r="O481" i="10" s="1"/>
  <c r="N497" i="10"/>
  <c r="O497" i="10" s="1"/>
  <c r="O513" i="10"/>
  <c r="N399" i="10"/>
  <c r="O399" i="10" s="1"/>
  <c r="N463" i="10"/>
  <c r="O463" i="10" s="1"/>
  <c r="O644" i="10"/>
  <c r="N169" i="10"/>
  <c r="O169" i="10" s="1"/>
  <c r="N150" i="10"/>
  <c r="O150" i="10" s="1"/>
  <c r="N134" i="10"/>
  <c r="O134" i="10" s="1"/>
  <c r="N120" i="10"/>
  <c r="O120" i="10" s="1"/>
  <c r="N103" i="10"/>
  <c r="O103" i="10" s="1"/>
  <c r="Y48" i="10" s="1"/>
  <c r="N87" i="10"/>
  <c r="O87" i="10" s="1"/>
  <c r="N68" i="10"/>
  <c r="O68" i="10" s="1"/>
  <c r="N36" i="10"/>
  <c r="O36" i="10" s="1"/>
  <c r="N224" i="10"/>
  <c r="O224" i="10" s="1"/>
  <c r="N208" i="10"/>
  <c r="O208" i="10" s="1"/>
  <c r="N192" i="10"/>
  <c r="O192" i="10" s="1"/>
  <c r="N182" i="10"/>
  <c r="O182" i="10" s="1"/>
  <c r="N166" i="10"/>
  <c r="O166" i="10" s="1"/>
  <c r="N151" i="10"/>
  <c r="O151" i="10" s="1"/>
  <c r="N135" i="10"/>
  <c r="O135" i="10" s="1"/>
  <c r="N121" i="10"/>
  <c r="O121" i="10" s="1"/>
  <c r="N102" i="10"/>
  <c r="O102" i="10" s="1"/>
  <c r="N86" i="10"/>
  <c r="O86" i="10" s="1"/>
  <c r="N70" i="10"/>
  <c r="O70" i="10" s="1"/>
  <c r="N54" i="10"/>
  <c r="O54" i="10" s="1"/>
  <c r="N38" i="10"/>
  <c r="O38" i="10" s="1"/>
  <c r="N52" i="10"/>
  <c r="O52" i="10" s="1"/>
  <c r="N33" i="10"/>
  <c r="O33" i="10" s="1"/>
  <c r="N29" i="10"/>
  <c r="O29" i="10" s="1"/>
  <c r="N13" i="10"/>
  <c r="O13" i="10" s="1"/>
  <c r="N60" i="10"/>
  <c r="O60" i="10" s="1"/>
  <c r="X48" i="10"/>
  <c r="N18" i="10"/>
  <c r="O18" i="10" s="1"/>
  <c r="N80" i="10"/>
  <c r="O80" i="10" s="1"/>
  <c r="N28" i="10"/>
  <c r="O28" i="10" s="1"/>
  <c r="N20" i="10"/>
  <c r="O20" i="10" s="1"/>
  <c r="N12" i="10"/>
  <c r="O12" i="10" s="1"/>
  <c r="N14" i="10"/>
  <c r="O14" i="10" s="1"/>
  <c r="Y9" i="10" l="1"/>
  <c r="Y28" i="10"/>
  <c r="Y20" i="10"/>
  <c r="Y25" i="10"/>
  <c r="Y40" i="10"/>
  <c r="Y27" i="10"/>
  <c r="Y4" i="10"/>
  <c r="Y26" i="10"/>
  <c r="Y23" i="10"/>
  <c r="Y19" i="10"/>
  <c r="Y3" i="10"/>
  <c r="Y22" i="10"/>
  <c r="Y12" i="10"/>
  <c r="Y16" i="10"/>
  <c r="Y21" i="10"/>
  <c r="Y6" i="10"/>
  <c r="Y10" i="10"/>
  <c r="Y14" i="10"/>
  <c r="Y17" i="10"/>
  <c r="Y18" i="10"/>
  <c r="Y8" i="10"/>
  <c r="Y15" i="10"/>
  <c r="Y24" i="10"/>
  <c r="Y7" i="10"/>
  <c r="Y11" i="10"/>
  <c r="Y13" i="10"/>
  <c r="Y5" i="10"/>
  <c r="Y29" i="10"/>
  <c r="Y39" i="10"/>
  <c r="Y45" i="10"/>
  <c r="E1" i="7" l="1"/>
  <c r="F18" i="6"/>
  <c r="F20" i="7" l="1"/>
  <c r="E20" i="7"/>
  <c r="F37" i="7"/>
  <c r="F15" i="7"/>
  <c r="E35" i="7"/>
  <c r="F10" i="7"/>
  <c r="E34" i="7"/>
  <c r="F25" i="7"/>
  <c r="E14" i="7"/>
  <c r="F5" i="7"/>
  <c r="E30" i="7"/>
  <c r="F29" i="7"/>
  <c r="E17" i="7"/>
  <c r="F9" i="7"/>
  <c r="E37" i="7"/>
  <c r="F26" i="7"/>
  <c r="E15" i="7"/>
  <c r="E9" i="7"/>
  <c r="F36" i="7"/>
  <c r="E26" i="7"/>
  <c r="F33" i="7"/>
  <c r="E24" i="7"/>
  <c r="F6" i="7"/>
  <c r="E8" i="7"/>
  <c r="F32" i="7"/>
  <c r="E23" i="7"/>
  <c r="E36" i="7"/>
  <c r="F24" i="7"/>
  <c r="E10" i="7"/>
  <c r="F34" i="7"/>
  <c r="E6" i="7"/>
  <c r="F8" i="7"/>
  <c r="E25" i="7"/>
  <c r="F14" i="7"/>
  <c r="E32" i="7"/>
  <c r="F23" i="7"/>
  <c r="E5" i="7"/>
  <c r="F28" i="7"/>
  <c r="E16" i="7"/>
  <c r="F31" i="7"/>
  <c r="E12" i="7"/>
  <c r="F7" i="7"/>
  <c r="E18" i="7"/>
  <c r="F35" i="7"/>
  <c r="F17" i="7"/>
  <c r="E28" i="7"/>
  <c r="F21" i="7"/>
  <c r="E31" i="7"/>
  <c r="F22" i="7"/>
  <c r="E7" i="7"/>
  <c r="F27" i="7"/>
  <c r="E33" i="7"/>
  <c r="F3" i="7"/>
  <c r="F13" i="7"/>
  <c r="E29" i="7"/>
  <c r="F4" i="7"/>
  <c r="E21" i="7"/>
  <c r="F19" i="7"/>
  <c r="E22" i="7"/>
  <c r="F11" i="7"/>
  <c r="E27" i="7"/>
  <c r="F16" i="7"/>
  <c r="F18" i="7"/>
  <c r="F30" i="7"/>
  <c r="E3" i="7"/>
  <c r="E13" i="7"/>
  <c r="E4" i="7"/>
  <c r="E11" i="7"/>
  <c r="F12" i="7"/>
  <c r="E19" i="7"/>
  <c r="G1" i="7"/>
  <c r="H20" i="7" l="1"/>
  <c r="G20" i="7"/>
  <c r="I1" i="7"/>
  <c r="G9" i="7"/>
  <c r="H36" i="7"/>
  <c r="G26" i="7"/>
  <c r="H33" i="7"/>
  <c r="G24" i="7"/>
  <c r="H6" i="7"/>
  <c r="G8" i="7"/>
  <c r="H32" i="7"/>
  <c r="G23" i="7"/>
  <c r="H3" i="7"/>
  <c r="G13" i="7"/>
  <c r="H28" i="7"/>
  <c r="G36" i="7"/>
  <c r="H35" i="7"/>
  <c r="G33" i="7"/>
  <c r="H37" i="7"/>
  <c r="H15" i="7"/>
  <c r="G35" i="7"/>
  <c r="H10" i="7"/>
  <c r="G34" i="7"/>
  <c r="H25" i="7"/>
  <c r="G14" i="7"/>
  <c r="H5" i="7"/>
  <c r="H9" i="7"/>
  <c r="H26" i="7"/>
  <c r="G15" i="7"/>
  <c r="H29" i="7"/>
  <c r="G17" i="7"/>
  <c r="H4" i="7"/>
  <c r="G21" i="7"/>
  <c r="H19" i="7"/>
  <c r="G22" i="7"/>
  <c r="H11" i="7"/>
  <c r="G27" i="7"/>
  <c r="H30" i="7"/>
  <c r="G3" i="7"/>
  <c r="H13" i="7"/>
  <c r="G29" i="7"/>
  <c r="H16" i="7"/>
  <c r="G4" i="7"/>
  <c r="H12" i="7"/>
  <c r="G19" i="7"/>
  <c r="H18" i="7"/>
  <c r="G11" i="7"/>
  <c r="G37" i="7"/>
  <c r="G30" i="7"/>
  <c r="G16" i="7"/>
  <c r="H31" i="7"/>
  <c r="G12" i="7"/>
  <c r="H7" i="7"/>
  <c r="G18" i="7"/>
  <c r="H34" i="7"/>
  <c r="H14" i="7"/>
  <c r="G10" i="7"/>
  <c r="G25" i="7"/>
  <c r="G5" i="7"/>
  <c r="H21" i="7"/>
  <c r="G31" i="7"/>
  <c r="H27" i="7"/>
  <c r="H24" i="7"/>
  <c r="H8" i="7"/>
  <c r="H23" i="7"/>
  <c r="G6" i="7"/>
  <c r="G32" i="7"/>
  <c r="H17" i="7"/>
  <c r="G28" i="7"/>
  <c r="H22" i="7"/>
  <c r="G7" i="7"/>
  <c r="K1" i="7"/>
  <c r="H3" i="1"/>
  <c r="J20" i="7" l="1"/>
  <c r="I20" i="7"/>
  <c r="L20" i="7"/>
  <c r="K20" i="7"/>
  <c r="K9" i="7"/>
  <c r="L36" i="7"/>
  <c r="K26" i="7"/>
  <c r="L33" i="7"/>
  <c r="K24" i="7"/>
  <c r="L6" i="7"/>
  <c r="K8" i="7"/>
  <c r="L32" i="7"/>
  <c r="K23" i="7"/>
  <c r="L3" i="7"/>
  <c r="K13" i="7"/>
  <c r="L28" i="7"/>
  <c r="K36" i="7"/>
  <c r="L35" i="7"/>
  <c r="K33" i="7"/>
  <c r="L37" i="7"/>
  <c r="L15" i="7"/>
  <c r="K35" i="7"/>
  <c r="L10" i="7"/>
  <c r="K34" i="7"/>
  <c r="L25" i="7"/>
  <c r="K14" i="7"/>
  <c r="L5" i="7"/>
  <c r="L9" i="7"/>
  <c r="L17" i="7"/>
  <c r="K28" i="7"/>
  <c r="L4" i="7"/>
  <c r="K21" i="7"/>
  <c r="L19" i="7"/>
  <c r="K22" i="7"/>
  <c r="L11" i="7"/>
  <c r="K27" i="7"/>
  <c r="K37" i="7"/>
  <c r="L24" i="7"/>
  <c r="K10" i="7"/>
  <c r="L34" i="7"/>
  <c r="K6" i="7"/>
  <c r="L8" i="7"/>
  <c r="K25" i="7"/>
  <c r="L14" i="7"/>
  <c r="K32" i="7"/>
  <c r="L23" i="7"/>
  <c r="K5" i="7"/>
  <c r="L29" i="7"/>
  <c r="K17" i="7"/>
  <c r="L16" i="7"/>
  <c r="K4" i="7"/>
  <c r="L12" i="7"/>
  <c r="K19" i="7"/>
  <c r="L18" i="7"/>
  <c r="K11" i="7"/>
  <c r="L30" i="7"/>
  <c r="K3" i="7"/>
  <c r="L13" i="7"/>
  <c r="K29" i="7"/>
  <c r="K16" i="7"/>
  <c r="L31" i="7"/>
  <c r="K12" i="7"/>
  <c r="L7" i="7"/>
  <c r="K18" i="7"/>
  <c r="L26" i="7"/>
  <c r="K15" i="7"/>
  <c r="K30" i="7"/>
  <c r="L21" i="7"/>
  <c r="K31" i="7"/>
  <c r="L27" i="7"/>
  <c r="L22" i="7"/>
  <c r="K7" i="7"/>
  <c r="J37" i="7"/>
  <c r="J15" i="7"/>
  <c r="I35" i="7"/>
  <c r="J10" i="7"/>
  <c r="I34" i="7"/>
  <c r="J25" i="7"/>
  <c r="I14" i="7"/>
  <c r="J5" i="7"/>
  <c r="I30" i="7"/>
  <c r="J29" i="7"/>
  <c r="I17" i="7"/>
  <c r="J9" i="7"/>
  <c r="I37" i="7"/>
  <c r="J26" i="7"/>
  <c r="I15" i="7"/>
  <c r="I9" i="7"/>
  <c r="J36" i="7"/>
  <c r="I26" i="7"/>
  <c r="J33" i="7"/>
  <c r="I24" i="7"/>
  <c r="J6" i="7"/>
  <c r="I8" i="7"/>
  <c r="J32" i="7"/>
  <c r="I23" i="7"/>
  <c r="J35" i="7"/>
  <c r="J30" i="7"/>
  <c r="I3" i="7"/>
  <c r="I13" i="7"/>
  <c r="I16" i="7"/>
  <c r="J31" i="7"/>
  <c r="I12" i="7"/>
  <c r="J7" i="7"/>
  <c r="I18" i="7"/>
  <c r="I33" i="7"/>
  <c r="J28" i="7"/>
  <c r="J21" i="7"/>
  <c r="I31" i="7"/>
  <c r="J22" i="7"/>
  <c r="I7" i="7"/>
  <c r="J27" i="7"/>
  <c r="J24" i="7"/>
  <c r="I10" i="7"/>
  <c r="J34" i="7"/>
  <c r="I6" i="7"/>
  <c r="J8" i="7"/>
  <c r="I25" i="7"/>
  <c r="J14" i="7"/>
  <c r="I32" i="7"/>
  <c r="J23" i="7"/>
  <c r="I5" i="7"/>
  <c r="J17" i="7"/>
  <c r="I28" i="7"/>
  <c r="J4" i="7"/>
  <c r="I21" i="7"/>
  <c r="J19" i="7"/>
  <c r="I22" i="7"/>
  <c r="J11" i="7"/>
  <c r="I27" i="7"/>
  <c r="I36" i="7"/>
  <c r="J3" i="7"/>
  <c r="J13" i="7"/>
  <c r="I29" i="7"/>
  <c r="I4" i="7"/>
  <c r="I11" i="7"/>
  <c r="J12" i="7"/>
  <c r="I19" i="7"/>
  <c r="J16" i="7"/>
  <c r="J18" i="7"/>
  <c r="M1" i="7"/>
  <c r="N20" i="7" l="1"/>
  <c r="M20" i="7"/>
  <c r="N37" i="7"/>
  <c r="N15" i="7"/>
  <c r="M35" i="7"/>
  <c r="N10" i="7"/>
  <c r="M34" i="7"/>
  <c r="N25" i="7"/>
  <c r="M14" i="7"/>
  <c r="N5" i="7"/>
  <c r="M30" i="7"/>
  <c r="N29" i="7"/>
  <c r="M17" i="7"/>
  <c r="N9" i="7"/>
  <c r="M37" i="7"/>
  <c r="N26" i="7"/>
  <c r="M15" i="7"/>
  <c r="N24" i="7"/>
  <c r="M9" i="7"/>
  <c r="N36" i="7"/>
  <c r="M26" i="7"/>
  <c r="N33" i="7"/>
  <c r="M24" i="7"/>
  <c r="N6" i="7"/>
  <c r="M8" i="7"/>
  <c r="N32" i="7"/>
  <c r="M23" i="7"/>
  <c r="M33" i="7"/>
  <c r="M10" i="7"/>
  <c r="N34" i="7"/>
  <c r="M6" i="7"/>
  <c r="N8" i="7"/>
  <c r="M25" i="7"/>
  <c r="N14" i="7"/>
  <c r="M32" i="7"/>
  <c r="N23" i="7"/>
  <c r="M5" i="7"/>
  <c r="N3" i="7"/>
  <c r="N13" i="7"/>
  <c r="M29" i="7"/>
  <c r="M16" i="7"/>
  <c r="N31" i="7"/>
  <c r="M12" i="7"/>
  <c r="N7" i="7"/>
  <c r="M18" i="7"/>
  <c r="N30" i="7"/>
  <c r="M3" i="7"/>
  <c r="M13" i="7"/>
  <c r="N21" i="7"/>
  <c r="M31" i="7"/>
  <c r="N22" i="7"/>
  <c r="M7" i="7"/>
  <c r="N27" i="7"/>
  <c r="M36" i="7"/>
  <c r="N28" i="7"/>
  <c r="N4" i="7"/>
  <c r="M21" i="7"/>
  <c r="N19" i="7"/>
  <c r="M22" i="7"/>
  <c r="N11" i="7"/>
  <c r="M27" i="7"/>
  <c r="N12" i="7"/>
  <c r="M19" i="7"/>
  <c r="N35" i="7"/>
  <c r="N17" i="7"/>
  <c r="M28" i="7"/>
  <c r="N16" i="7"/>
  <c r="N18" i="7"/>
  <c r="M4" i="7"/>
  <c r="M11" i="7"/>
  <c r="O1" i="7"/>
  <c r="Q1" i="7" s="1"/>
  <c r="P20" i="7" l="1"/>
  <c r="O20" i="7"/>
  <c r="O9" i="7"/>
  <c r="P36" i="7"/>
  <c r="O26" i="7"/>
  <c r="P33" i="7"/>
  <c r="O24" i="7"/>
  <c r="P6" i="7"/>
  <c r="O8" i="7"/>
  <c r="P32" i="7"/>
  <c r="O23" i="7"/>
  <c r="P3" i="7"/>
  <c r="O13" i="7"/>
  <c r="P28" i="7"/>
  <c r="O36" i="7"/>
  <c r="P35" i="7"/>
  <c r="O33" i="7"/>
  <c r="P37" i="7"/>
  <c r="P15" i="7"/>
  <c r="O35" i="7"/>
  <c r="P10" i="7"/>
  <c r="O34" i="7"/>
  <c r="P25" i="7"/>
  <c r="O14" i="7"/>
  <c r="P5" i="7"/>
  <c r="P9" i="7"/>
  <c r="O37" i="7"/>
  <c r="P24" i="7"/>
  <c r="O30" i="7"/>
  <c r="P4" i="7"/>
  <c r="O21" i="7"/>
  <c r="P19" i="7"/>
  <c r="O22" i="7"/>
  <c r="P11" i="7"/>
  <c r="O27" i="7"/>
  <c r="P17" i="7"/>
  <c r="O28" i="7"/>
  <c r="P16" i="7"/>
  <c r="O4" i="7"/>
  <c r="P12" i="7"/>
  <c r="O19" i="7"/>
  <c r="P18" i="7"/>
  <c r="O11" i="7"/>
  <c r="P26" i="7"/>
  <c r="O15" i="7"/>
  <c r="P29" i="7"/>
  <c r="O17" i="7"/>
  <c r="O16" i="7"/>
  <c r="P31" i="7"/>
  <c r="O12" i="7"/>
  <c r="P7" i="7"/>
  <c r="O18" i="7"/>
  <c r="O10" i="7"/>
  <c r="O25" i="7"/>
  <c r="O5" i="7"/>
  <c r="P8" i="7"/>
  <c r="P23" i="7"/>
  <c r="P22" i="7"/>
  <c r="O7" i="7"/>
  <c r="O6" i="7"/>
  <c r="O32" i="7"/>
  <c r="P34" i="7"/>
  <c r="P14" i="7"/>
  <c r="P30" i="7"/>
  <c r="O3" i="7"/>
  <c r="P13" i="7"/>
  <c r="O29" i="7"/>
  <c r="P21" i="7"/>
  <c r="O31" i="7"/>
  <c r="P27" i="7"/>
  <c r="R20" i="7" l="1"/>
  <c r="Q20" i="7"/>
  <c r="S1" i="7"/>
  <c r="R37" i="7"/>
  <c r="R15" i="7"/>
  <c r="Q35" i="7"/>
  <c r="R10" i="7"/>
  <c r="Q34" i="7"/>
  <c r="R25" i="7"/>
  <c r="Q14" i="7"/>
  <c r="R5" i="7"/>
  <c r="Q30" i="7"/>
  <c r="R29" i="7"/>
  <c r="Q17" i="7"/>
  <c r="R9" i="7"/>
  <c r="Q37" i="7"/>
  <c r="R26" i="7"/>
  <c r="Q15" i="7"/>
  <c r="R24" i="7"/>
  <c r="Q9" i="7"/>
  <c r="R36" i="7"/>
  <c r="Q26" i="7"/>
  <c r="R33" i="7"/>
  <c r="Q24" i="7"/>
  <c r="R6" i="7"/>
  <c r="Q8" i="7"/>
  <c r="R32" i="7"/>
  <c r="Q23" i="7"/>
  <c r="R17" i="7"/>
  <c r="Q28" i="7"/>
  <c r="Q16" i="7"/>
  <c r="R31" i="7"/>
  <c r="Q12" i="7"/>
  <c r="R7" i="7"/>
  <c r="Q18" i="7"/>
  <c r="Q36" i="7"/>
  <c r="R3" i="7"/>
  <c r="R13" i="7"/>
  <c r="Q29" i="7"/>
  <c r="R21" i="7"/>
  <c r="Q31" i="7"/>
  <c r="R22" i="7"/>
  <c r="Q7" i="7"/>
  <c r="R27" i="7"/>
  <c r="R35" i="7"/>
  <c r="Q10" i="7"/>
  <c r="R34" i="7"/>
  <c r="Q6" i="7"/>
  <c r="R8" i="7"/>
  <c r="Q25" i="7"/>
  <c r="R14" i="7"/>
  <c r="Q32" i="7"/>
  <c r="R23" i="7"/>
  <c r="Q5" i="7"/>
  <c r="R30" i="7"/>
  <c r="Q3" i="7"/>
  <c r="Q13" i="7"/>
  <c r="R4" i="7"/>
  <c r="Q21" i="7"/>
  <c r="R19" i="7"/>
  <c r="Q22" i="7"/>
  <c r="R11" i="7"/>
  <c r="Q27" i="7"/>
  <c r="Q33" i="7"/>
  <c r="Q19" i="7"/>
  <c r="R28" i="7"/>
  <c r="R16" i="7"/>
  <c r="R18" i="7"/>
  <c r="Q4" i="7"/>
  <c r="Q11" i="7"/>
  <c r="R12" i="7"/>
  <c r="H4" i="1"/>
  <c r="T20" i="7" l="1"/>
  <c r="S20" i="7"/>
  <c r="S9" i="7"/>
  <c r="T37" i="7"/>
  <c r="S26" i="7"/>
  <c r="T15" i="7"/>
  <c r="S37" i="7"/>
  <c r="S33" i="7"/>
  <c r="T24" i="7"/>
  <c r="S6" i="7"/>
  <c r="T8" i="7"/>
  <c r="T36" i="7"/>
  <c r="S24" i="7"/>
  <c r="T10" i="7"/>
  <c r="S8" i="7"/>
  <c r="T25" i="7"/>
  <c r="S23" i="7"/>
  <c r="T5" i="7"/>
  <c r="T9" i="7"/>
  <c r="S36" i="7"/>
  <c r="T26" i="7"/>
  <c r="S15" i="7"/>
  <c r="T35" i="7"/>
  <c r="S10" i="7"/>
  <c r="T34" i="7"/>
  <c r="S25" i="7"/>
  <c r="T14" i="7"/>
  <c r="T33" i="7"/>
  <c r="S14" i="7"/>
  <c r="T3" i="7"/>
  <c r="S17" i="7"/>
  <c r="T28" i="7"/>
  <c r="S21" i="7"/>
  <c r="T31" i="7"/>
  <c r="S22" i="7"/>
  <c r="T7" i="7"/>
  <c r="S35" i="7"/>
  <c r="T32" i="7"/>
  <c r="S3" i="7"/>
  <c r="T13" i="7"/>
  <c r="S28" i="7"/>
  <c r="T16" i="7"/>
  <c r="S31" i="7"/>
  <c r="T12" i="7"/>
  <c r="S7" i="7"/>
  <c r="T18" i="7"/>
  <c r="S34" i="7"/>
  <c r="T6" i="7"/>
  <c r="S32" i="7"/>
  <c r="T23" i="7"/>
  <c r="S5" i="7"/>
  <c r="T30" i="7"/>
  <c r="S13" i="7"/>
  <c r="T29" i="7"/>
  <c r="S16" i="7"/>
  <c r="T4" i="7"/>
  <c r="S12" i="7"/>
  <c r="T19" i="7"/>
  <c r="S18" i="7"/>
  <c r="T11" i="7"/>
  <c r="S29" i="7"/>
  <c r="T17" i="7"/>
  <c r="S4" i="7"/>
  <c r="T21" i="7"/>
  <c r="T22" i="7"/>
  <c r="T27" i="7"/>
  <c r="S30" i="7"/>
  <c r="S19" i="7"/>
  <c r="S11" i="7"/>
  <c r="S27" i="7"/>
  <c r="B5" i="6"/>
  <c r="U1" i="7"/>
  <c r="V20" i="7" l="1"/>
  <c r="U20" i="7"/>
  <c r="V36" i="7"/>
  <c r="U35" i="7"/>
  <c r="V33" i="7"/>
  <c r="V9" i="7"/>
  <c r="U36" i="7"/>
  <c r="V26" i="7"/>
  <c r="U9" i="7"/>
  <c r="V37" i="7"/>
  <c r="V15" i="7"/>
  <c r="U10" i="7"/>
  <c r="V34" i="7"/>
  <c r="U25" i="7"/>
  <c r="V14" i="7"/>
  <c r="U37" i="7"/>
  <c r="U26" i="7"/>
  <c r="U15" i="7"/>
  <c r="V35" i="7"/>
  <c r="U34" i="7"/>
  <c r="V6" i="7"/>
  <c r="U14" i="7"/>
  <c r="V32" i="7"/>
  <c r="U30" i="7"/>
  <c r="U33" i="7"/>
  <c r="V24" i="7"/>
  <c r="U6" i="7"/>
  <c r="V8" i="7"/>
  <c r="U32" i="7"/>
  <c r="V23" i="7"/>
  <c r="V25" i="7"/>
  <c r="V5" i="7"/>
  <c r="U13" i="7"/>
  <c r="V29" i="7"/>
  <c r="U16" i="7"/>
  <c r="V4" i="7"/>
  <c r="U12" i="7"/>
  <c r="V19" i="7"/>
  <c r="U18" i="7"/>
  <c r="V11" i="7"/>
  <c r="U8" i="7"/>
  <c r="U23" i="7"/>
  <c r="U5" i="7"/>
  <c r="V30" i="7"/>
  <c r="U29" i="7"/>
  <c r="V17" i="7"/>
  <c r="U4" i="7"/>
  <c r="V21" i="7"/>
  <c r="U19" i="7"/>
  <c r="V22" i="7"/>
  <c r="U11" i="7"/>
  <c r="V27" i="7"/>
  <c r="V13" i="7"/>
  <c r="V10" i="7"/>
  <c r="V3" i="7"/>
  <c r="U17" i="7"/>
  <c r="V28" i="7"/>
  <c r="U21" i="7"/>
  <c r="V31" i="7"/>
  <c r="U22" i="7"/>
  <c r="V7" i="7"/>
  <c r="U27" i="7"/>
  <c r="U24" i="7"/>
  <c r="U28" i="7"/>
  <c r="U31" i="7"/>
  <c r="V12" i="7"/>
  <c r="U7" i="7"/>
  <c r="V18" i="7"/>
  <c r="U3" i="7"/>
  <c r="V16" i="7"/>
  <c r="B6" i="6"/>
  <c r="W1" i="7"/>
  <c r="X20" i="7" l="1"/>
  <c r="W20" i="7"/>
  <c r="W9" i="7"/>
  <c r="X37" i="7"/>
  <c r="W26" i="7"/>
  <c r="X15" i="7"/>
  <c r="W37" i="7"/>
  <c r="W36" i="7"/>
  <c r="X26" i="7"/>
  <c r="W35" i="7"/>
  <c r="X33" i="7"/>
  <c r="X24" i="7"/>
  <c r="W6" i="7"/>
  <c r="X8" i="7"/>
  <c r="X9" i="7"/>
  <c r="W33" i="7"/>
  <c r="W24" i="7"/>
  <c r="X10" i="7"/>
  <c r="W8" i="7"/>
  <c r="X25" i="7"/>
  <c r="W23" i="7"/>
  <c r="X5" i="7"/>
  <c r="W10" i="7"/>
  <c r="X34" i="7"/>
  <c r="W25" i="7"/>
  <c r="X14" i="7"/>
  <c r="X35" i="7"/>
  <c r="W32" i="7"/>
  <c r="X23" i="7"/>
  <c r="W30" i="7"/>
  <c r="X3" i="7"/>
  <c r="W17" i="7"/>
  <c r="X28" i="7"/>
  <c r="W21" i="7"/>
  <c r="X31" i="7"/>
  <c r="W22" i="7"/>
  <c r="X7" i="7"/>
  <c r="W34" i="7"/>
  <c r="X6" i="7"/>
  <c r="W3" i="7"/>
  <c r="X13" i="7"/>
  <c r="W28" i="7"/>
  <c r="X16" i="7"/>
  <c r="W31" i="7"/>
  <c r="X12" i="7"/>
  <c r="W7" i="7"/>
  <c r="X18" i="7"/>
  <c r="W15" i="7"/>
  <c r="W13" i="7"/>
  <c r="X29" i="7"/>
  <c r="W16" i="7"/>
  <c r="X4" i="7"/>
  <c r="W12" i="7"/>
  <c r="X19" i="7"/>
  <c r="W18" i="7"/>
  <c r="X11" i="7"/>
  <c r="W14" i="7"/>
  <c r="X32" i="7"/>
  <c r="W5" i="7"/>
  <c r="W29" i="7"/>
  <c r="X17" i="7"/>
  <c r="W4" i="7"/>
  <c r="X21" i="7"/>
  <c r="W19" i="7"/>
  <c r="W11" i="7"/>
  <c r="W27" i="7"/>
  <c r="X36" i="7"/>
  <c r="X30" i="7"/>
  <c r="X22" i="7"/>
  <c r="X27" i="7"/>
  <c r="B7" i="6"/>
  <c r="Y1" i="7"/>
  <c r="Z20" i="7" l="1"/>
  <c r="Y20" i="7"/>
  <c r="Z36" i="7"/>
  <c r="Y35" i="7"/>
  <c r="Z33" i="7"/>
  <c r="Z9" i="7"/>
  <c r="Y36" i="7"/>
  <c r="Z26" i="7"/>
  <c r="Y9" i="7"/>
  <c r="Z37" i="7"/>
  <c r="Y37" i="7"/>
  <c r="Y10" i="7"/>
  <c r="Z34" i="7"/>
  <c r="Y25" i="7"/>
  <c r="Z14" i="7"/>
  <c r="Z15" i="7"/>
  <c r="Y34" i="7"/>
  <c r="Z6" i="7"/>
  <c r="Y14" i="7"/>
  <c r="Z32" i="7"/>
  <c r="Y30" i="7"/>
  <c r="Z3" i="7"/>
  <c r="Y15" i="7"/>
  <c r="Z35" i="7"/>
  <c r="Z24" i="7"/>
  <c r="Y6" i="7"/>
  <c r="Z8" i="7"/>
  <c r="Y32" i="7"/>
  <c r="Z23" i="7"/>
  <c r="Y26" i="7"/>
  <c r="Y8" i="7"/>
  <c r="Y13" i="7"/>
  <c r="Z29" i="7"/>
  <c r="Y16" i="7"/>
  <c r="Z4" i="7"/>
  <c r="Y12" i="7"/>
  <c r="Z19" i="7"/>
  <c r="Y18" i="7"/>
  <c r="Z11" i="7"/>
  <c r="Z10" i="7"/>
  <c r="Z5" i="7"/>
  <c r="Y29" i="7"/>
  <c r="Z17" i="7"/>
  <c r="Y4" i="7"/>
  <c r="Z21" i="7"/>
  <c r="Y19" i="7"/>
  <c r="Z22" i="7"/>
  <c r="Y11" i="7"/>
  <c r="Z27" i="7"/>
  <c r="Y3" i="7"/>
  <c r="Z13" i="7"/>
  <c r="Y24" i="7"/>
  <c r="Y5" i="7"/>
  <c r="Z30" i="7"/>
  <c r="Y17" i="7"/>
  <c r="Z28" i="7"/>
  <c r="Y21" i="7"/>
  <c r="Z31" i="7"/>
  <c r="Y22" i="7"/>
  <c r="Z7" i="7"/>
  <c r="Y27" i="7"/>
  <c r="Y33" i="7"/>
  <c r="Z25" i="7"/>
  <c r="Y23" i="7"/>
  <c r="Y28" i="7"/>
  <c r="Z12" i="7"/>
  <c r="Z18" i="7"/>
  <c r="Z16" i="7"/>
  <c r="Y31" i="7"/>
  <c r="Y7" i="7"/>
  <c r="B8" i="6"/>
  <c r="AA1" i="7"/>
  <c r="AB20" i="7" l="1"/>
  <c r="AA20" i="7"/>
  <c r="AA9" i="7"/>
  <c r="AB37" i="7"/>
  <c r="AA26" i="7"/>
  <c r="AB15" i="7"/>
  <c r="AA37" i="7"/>
  <c r="AB9" i="7"/>
  <c r="AA15" i="7"/>
  <c r="AB35" i="7"/>
  <c r="AB24" i="7"/>
  <c r="AA6" i="7"/>
  <c r="AB8" i="7"/>
  <c r="AA32" i="7"/>
  <c r="AB36" i="7"/>
  <c r="AA35" i="7"/>
  <c r="AB33" i="7"/>
  <c r="AA24" i="7"/>
  <c r="AB10" i="7"/>
  <c r="AA8" i="7"/>
  <c r="AB25" i="7"/>
  <c r="AA23" i="7"/>
  <c r="AB5" i="7"/>
  <c r="AA36" i="7"/>
  <c r="AB26" i="7"/>
  <c r="AA33" i="7"/>
  <c r="AA10" i="7"/>
  <c r="AB34" i="7"/>
  <c r="AA25" i="7"/>
  <c r="AB14" i="7"/>
  <c r="AA34" i="7"/>
  <c r="AB6" i="7"/>
  <c r="AA5" i="7"/>
  <c r="AB30" i="7"/>
  <c r="AA17" i="7"/>
  <c r="AB28" i="7"/>
  <c r="AA21" i="7"/>
  <c r="AB31" i="7"/>
  <c r="AA22" i="7"/>
  <c r="AB7" i="7"/>
  <c r="AA30" i="7"/>
  <c r="AB3" i="7"/>
  <c r="AB13" i="7"/>
  <c r="AA28" i="7"/>
  <c r="AB16" i="7"/>
  <c r="AA31" i="7"/>
  <c r="AB12" i="7"/>
  <c r="AA7" i="7"/>
  <c r="AB18" i="7"/>
  <c r="AA14" i="7"/>
  <c r="AB32" i="7"/>
  <c r="AB23" i="7"/>
  <c r="AA3" i="7"/>
  <c r="AA13" i="7"/>
  <c r="AB29" i="7"/>
  <c r="AA16" i="7"/>
  <c r="AB4" i="7"/>
  <c r="AA12" i="7"/>
  <c r="AB19" i="7"/>
  <c r="AA18" i="7"/>
  <c r="AB11" i="7"/>
  <c r="AA29" i="7"/>
  <c r="AB17" i="7"/>
  <c r="AA4" i="7"/>
  <c r="AB21" i="7"/>
  <c r="AA19" i="7"/>
  <c r="AB22" i="7"/>
  <c r="AB27" i="7"/>
  <c r="AA11" i="7"/>
  <c r="AA27" i="7"/>
  <c r="B9" i="6"/>
  <c r="AC1" i="7"/>
  <c r="B10" i="6" l="1"/>
  <c r="AD20" i="7"/>
  <c r="AC20" i="7"/>
  <c r="AD36" i="7"/>
  <c r="AC35" i="7"/>
  <c r="AD33" i="7"/>
  <c r="AD9" i="7"/>
  <c r="AC36" i="7"/>
  <c r="AD26" i="7"/>
  <c r="AC9" i="7"/>
  <c r="AD37" i="7"/>
  <c r="AC33" i="7"/>
  <c r="AC10" i="7"/>
  <c r="AD34" i="7"/>
  <c r="AC25" i="7"/>
  <c r="AD14" i="7"/>
  <c r="AC26" i="7"/>
  <c r="AC34" i="7"/>
  <c r="AD6" i="7"/>
  <c r="AC14" i="7"/>
  <c r="AD32" i="7"/>
  <c r="AC30" i="7"/>
  <c r="AD3" i="7"/>
  <c r="AD15" i="7"/>
  <c r="AD24" i="7"/>
  <c r="AC6" i="7"/>
  <c r="AD8" i="7"/>
  <c r="AC32" i="7"/>
  <c r="AD23" i="7"/>
  <c r="AD10" i="7"/>
  <c r="AC3" i="7"/>
  <c r="AC13" i="7"/>
  <c r="AD29" i="7"/>
  <c r="AC16" i="7"/>
  <c r="AD4" i="7"/>
  <c r="AC12" i="7"/>
  <c r="AD19" i="7"/>
  <c r="AC18" i="7"/>
  <c r="AD11" i="7"/>
  <c r="AC37" i="7"/>
  <c r="AC15" i="7"/>
  <c r="AC24" i="7"/>
  <c r="AC23" i="7"/>
  <c r="AC29" i="7"/>
  <c r="AD17" i="7"/>
  <c r="AC4" i="7"/>
  <c r="AD21" i="7"/>
  <c r="AC19" i="7"/>
  <c r="AD22" i="7"/>
  <c r="AC11" i="7"/>
  <c r="AD27" i="7"/>
  <c r="AD13" i="7"/>
  <c r="AD25" i="7"/>
  <c r="AD5" i="7"/>
  <c r="AC17" i="7"/>
  <c r="AD28" i="7"/>
  <c r="AC21" i="7"/>
  <c r="AD31" i="7"/>
  <c r="AC22" i="7"/>
  <c r="AD7" i="7"/>
  <c r="AC27" i="7"/>
  <c r="AD35" i="7"/>
  <c r="AC5" i="7"/>
  <c r="AC28" i="7"/>
  <c r="AC31" i="7"/>
  <c r="AD12" i="7"/>
  <c r="AC7" i="7"/>
  <c r="AD18" i="7"/>
  <c r="AC8" i="7"/>
  <c r="AD30" i="7"/>
  <c r="AD16" i="7"/>
  <c r="AE1" i="7"/>
  <c r="B11" i="6" l="1"/>
  <c r="AF20" i="7"/>
  <c r="AE20" i="7"/>
  <c r="AE9" i="7"/>
  <c r="AF37" i="7"/>
  <c r="AE26" i="7"/>
  <c r="AF15" i="7"/>
  <c r="AE37" i="7"/>
  <c r="AE36" i="7"/>
  <c r="AF26" i="7"/>
  <c r="AF24" i="7"/>
  <c r="AE6" i="7"/>
  <c r="AF8" i="7"/>
  <c r="AE32" i="7"/>
  <c r="AE15" i="7"/>
  <c r="AF35" i="7"/>
  <c r="AE24" i="7"/>
  <c r="AF10" i="7"/>
  <c r="AE8" i="7"/>
  <c r="AF25" i="7"/>
  <c r="AE23" i="7"/>
  <c r="AF5" i="7"/>
  <c r="AE35" i="7"/>
  <c r="AF33" i="7"/>
  <c r="AE10" i="7"/>
  <c r="AF34" i="7"/>
  <c r="AE25" i="7"/>
  <c r="AF14" i="7"/>
  <c r="AF23" i="7"/>
  <c r="AE17" i="7"/>
  <c r="AF28" i="7"/>
  <c r="AE21" i="7"/>
  <c r="AF31" i="7"/>
  <c r="AE22" i="7"/>
  <c r="AF7" i="7"/>
  <c r="AF9" i="7"/>
  <c r="AE14" i="7"/>
  <c r="AF32" i="7"/>
  <c r="AE5" i="7"/>
  <c r="AF30" i="7"/>
  <c r="AF13" i="7"/>
  <c r="AE28" i="7"/>
  <c r="AF16" i="7"/>
  <c r="AE31" i="7"/>
  <c r="AF12" i="7"/>
  <c r="AE7" i="7"/>
  <c r="AF18" i="7"/>
  <c r="AF36" i="7"/>
  <c r="AE33" i="7"/>
  <c r="AE30" i="7"/>
  <c r="AF3" i="7"/>
  <c r="AE13" i="7"/>
  <c r="AF29" i="7"/>
  <c r="AE16" i="7"/>
  <c r="AF4" i="7"/>
  <c r="AE12" i="7"/>
  <c r="AF19" i="7"/>
  <c r="AE18" i="7"/>
  <c r="AF11" i="7"/>
  <c r="AE29" i="7"/>
  <c r="AF17" i="7"/>
  <c r="AE4" i="7"/>
  <c r="AF21" i="7"/>
  <c r="AE19" i="7"/>
  <c r="AE11" i="7"/>
  <c r="AE27" i="7"/>
  <c r="AE34" i="7"/>
  <c r="AF6" i="7"/>
  <c r="AE3" i="7"/>
  <c r="AF22" i="7"/>
  <c r="AF27" i="7"/>
  <c r="AG1" i="7"/>
  <c r="B12" i="6" l="1"/>
  <c r="AH20" i="7"/>
  <c r="AG20" i="7"/>
  <c r="AH36" i="7"/>
  <c r="AG35" i="7"/>
  <c r="AH33" i="7"/>
  <c r="AH9" i="7"/>
  <c r="AG36" i="7"/>
  <c r="AH26" i="7"/>
  <c r="AG9" i="7"/>
  <c r="AH37" i="7"/>
  <c r="AG15" i="7"/>
  <c r="AH35" i="7"/>
  <c r="AG10" i="7"/>
  <c r="AH34" i="7"/>
  <c r="AG25" i="7"/>
  <c r="AH14" i="7"/>
  <c r="AG33" i="7"/>
  <c r="AG34" i="7"/>
  <c r="AH6" i="7"/>
  <c r="AG14" i="7"/>
  <c r="AH32" i="7"/>
  <c r="AG30" i="7"/>
  <c r="AH3" i="7"/>
  <c r="AG37" i="7"/>
  <c r="AH24" i="7"/>
  <c r="AG6" i="7"/>
  <c r="AH8" i="7"/>
  <c r="AG32" i="7"/>
  <c r="AH23" i="7"/>
  <c r="AH15" i="7"/>
  <c r="AG24" i="7"/>
  <c r="AG5" i="7"/>
  <c r="AH30" i="7"/>
  <c r="AG13" i="7"/>
  <c r="AH29" i="7"/>
  <c r="AG16" i="7"/>
  <c r="AH4" i="7"/>
  <c r="AG12" i="7"/>
  <c r="AH19" i="7"/>
  <c r="AG18" i="7"/>
  <c r="AH11" i="7"/>
  <c r="AH25" i="7"/>
  <c r="AG3" i="7"/>
  <c r="AG29" i="7"/>
  <c r="AH17" i="7"/>
  <c r="AG4" i="7"/>
  <c r="AH21" i="7"/>
  <c r="AG19" i="7"/>
  <c r="AH22" i="7"/>
  <c r="AG11" i="7"/>
  <c r="AH27" i="7"/>
  <c r="AH13" i="7"/>
  <c r="AG8" i="7"/>
  <c r="AG17" i="7"/>
  <c r="AH28" i="7"/>
  <c r="AG21" i="7"/>
  <c r="AH31" i="7"/>
  <c r="AG22" i="7"/>
  <c r="AH7" i="7"/>
  <c r="AG27" i="7"/>
  <c r="AH10" i="7"/>
  <c r="AG23" i="7"/>
  <c r="AH5" i="7"/>
  <c r="AG28" i="7"/>
  <c r="AH12" i="7"/>
  <c r="AH18" i="7"/>
  <c r="AG26" i="7"/>
  <c r="AH16" i="7"/>
  <c r="AG31" i="7"/>
  <c r="AG7" i="7"/>
  <c r="AI1" i="7"/>
  <c r="B13" i="6" l="1"/>
  <c r="AJ20" i="7"/>
  <c r="AI20" i="7"/>
  <c r="AI9" i="7"/>
  <c r="AJ37" i="7"/>
  <c r="AI26" i="7"/>
  <c r="AJ15" i="7"/>
  <c r="AI37" i="7"/>
  <c r="AI33" i="7"/>
  <c r="AJ24" i="7"/>
  <c r="AI6" i="7"/>
  <c r="AJ8" i="7"/>
  <c r="AI32" i="7"/>
  <c r="AJ36" i="7"/>
  <c r="AI24" i="7"/>
  <c r="AJ10" i="7"/>
  <c r="AI8" i="7"/>
  <c r="AJ25" i="7"/>
  <c r="AI23" i="7"/>
  <c r="AJ5" i="7"/>
  <c r="AJ9" i="7"/>
  <c r="AI36" i="7"/>
  <c r="AJ26" i="7"/>
  <c r="AI15" i="7"/>
  <c r="AJ35" i="7"/>
  <c r="AI10" i="7"/>
  <c r="AJ34" i="7"/>
  <c r="AI25" i="7"/>
  <c r="AJ14" i="7"/>
  <c r="AI14" i="7"/>
  <c r="AJ32" i="7"/>
  <c r="AI3" i="7"/>
  <c r="AI17" i="7"/>
  <c r="AJ28" i="7"/>
  <c r="AI21" i="7"/>
  <c r="AJ31" i="7"/>
  <c r="AI22" i="7"/>
  <c r="AJ7" i="7"/>
  <c r="AJ33" i="7"/>
  <c r="AJ13" i="7"/>
  <c r="AI28" i="7"/>
  <c r="AJ16" i="7"/>
  <c r="AI31" i="7"/>
  <c r="AJ12" i="7"/>
  <c r="AI7" i="7"/>
  <c r="AJ18" i="7"/>
  <c r="AI35" i="7"/>
  <c r="AI34" i="7"/>
  <c r="AJ6" i="7"/>
  <c r="AJ23" i="7"/>
  <c r="AI5" i="7"/>
  <c r="AJ30" i="7"/>
  <c r="AI13" i="7"/>
  <c r="AJ29" i="7"/>
  <c r="AI16" i="7"/>
  <c r="AJ4" i="7"/>
  <c r="AI12" i="7"/>
  <c r="AJ19" i="7"/>
  <c r="AI18" i="7"/>
  <c r="AJ11" i="7"/>
  <c r="AI29" i="7"/>
  <c r="AJ17" i="7"/>
  <c r="AI4" i="7"/>
  <c r="AJ21" i="7"/>
  <c r="AI19" i="7"/>
  <c r="AJ22" i="7"/>
  <c r="AJ27" i="7"/>
  <c r="AI30" i="7"/>
  <c r="AJ3" i="7"/>
  <c r="AI11" i="7"/>
  <c r="AI27" i="7"/>
  <c r="AK1" i="7"/>
  <c r="B14" i="6" l="1"/>
  <c r="B15" i="6" s="1"/>
  <c r="AL20" i="7"/>
  <c r="AK20" i="7"/>
  <c r="AL9" i="7"/>
  <c r="AL26" i="7"/>
  <c r="AL35" i="7"/>
  <c r="AL24" i="7"/>
  <c r="AK9" i="7"/>
  <c r="AK26" i="7"/>
  <c r="AK35" i="7"/>
  <c r="AK24" i="7"/>
  <c r="AL37" i="7"/>
  <c r="AL36" i="7"/>
  <c r="AL15" i="7"/>
  <c r="AK37" i="7"/>
  <c r="AK10" i="7"/>
  <c r="AK6" i="7"/>
  <c r="AK25" i="7"/>
  <c r="AK32" i="7"/>
  <c r="AK5" i="7"/>
  <c r="AK3" i="7"/>
  <c r="AK29" i="7"/>
  <c r="AK28" i="7"/>
  <c r="AK4" i="7"/>
  <c r="AK31" i="7"/>
  <c r="AK19" i="7"/>
  <c r="AK7" i="7"/>
  <c r="AK11" i="7"/>
  <c r="AL33" i="7"/>
  <c r="AL34" i="7"/>
  <c r="AL8" i="7"/>
  <c r="AL14" i="7"/>
  <c r="AL23" i="7"/>
  <c r="AL30" i="7"/>
  <c r="AL13" i="7"/>
  <c r="AL17" i="7"/>
  <c r="AL16" i="7"/>
  <c r="AL21" i="7"/>
  <c r="AL12" i="7"/>
  <c r="AL22" i="7"/>
  <c r="AL18" i="7"/>
  <c r="AL27" i="7"/>
  <c r="AK15" i="7"/>
  <c r="AK33" i="7"/>
  <c r="AK34" i="7"/>
  <c r="AK8" i="7"/>
  <c r="AK14" i="7"/>
  <c r="AK23" i="7"/>
  <c r="AK30" i="7"/>
  <c r="AK13" i="7"/>
  <c r="AK17" i="7"/>
  <c r="AK16" i="7"/>
  <c r="AK21" i="7"/>
  <c r="AK12" i="7"/>
  <c r="AK22" i="7"/>
  <c r="AK18" i="7"/>
  <c r="AK27" i="7"/>
  <c r="AL10" i="7"/>
  <c r="AL5" i="7"/>
  <c r="AL4" i="7"/>
  <c r="AL11" i="7"/>
  <c r="AK36" i="7"/>
  <c r="AL32" i="7"/>
  <c r="AL28" i="7"/>
  <c r="AL7" i="7"/>
  <c r="AL25" i="7"/>
  <c r="AL29" i="7"/>
  <c r="AL19" i="7"/>
  <c r="AL6" i="7"/>
  <c r="AL31" i="7"/>
  <c r="AL3" i="7"/>
  <c r="AM1" i="7"/>
  <c r="E18" i="6" l="1"/>
  <c r="AN20" i="7"/>
  <c r="AM20" i="7"/>
  <c r="AN37" i="7"/>
  <c r="AN36" i="7"/>
  <c r="AN15" i="7"/>
  <c r="AN33" i="7"/>
  <c r="AN10" i="7"/>
  <c r="AM37" i="7"/>
  <c r="AM36" i="7"/>
  <c r="AM15" i="7"/>
  <c r="AM33" i="7"/>
  <c r="AM10" i="7"/>
  <c r="AN9" i="7"/>
  <c r="AN26" i="7"/>
  <c r="AN35" i="7"/>
  <c r="AM26" i="7"/>
  <c r="AM24" i="7"/>
  <c r="AM34" i="7"/>
  <c r="AM8" i="7"/>
  <c r="AM14" i="7"/>
  <c r="AM23" i="7"/>
  <c r="AM30" i="7"/>
  <c r="AM13" i="7"/>
  <c r="AM17" i="7"/>
  <c r="AM16" i="7"/>
  <c r="AM21" i="7"/>
  <c r="AM12" i="7"/>
  <c r="AM22" i="7"/>
  <c r="AM18" i="7"/>
  <c r="AM27" i="7"/>
  <c r="AN6" i="7"/>
  <c r="AN25" i="7"/>
  <c r="AN32" i="7"/>
  <c r="AN5" i="7"/>
  <c r="AN3" i="7"/>
  <c r="AN29" i="7"/>
  <c r="AN28" i="7"/>
  <c r="AN4" i="7"/>
  <c r="AN31" i="7"/>
  <c r="AN19" i="7"/>
  <c r="AN7" i="7"/>
  <c r="AN11" i="7"/>
  <c r="AM9" i="7"/>
  <c r="AM6" i="7"/>
  <c r="AM25" i="7"/>
  <c r="AM32" i="7"/>
  <c r="AM5" i="7"/>
  <c r="AM3" i="7"/>
  <c r="AM29" i="7"/>
  <c r="AM28" i="7"/>
  <c r="AM4" i="7"/>
  <c r="AM31" i="7"/>
  <c r="AM19" i="7"/>
  <c r="AM7" i="7"/>
  <c r="AM11" i="7"/>
  <c r="AN8" i="7"/>
  <c r="AN13" i="7"/>
  <c r="AN12" i="7"/>
  <c r="AN34" i="7"/>
  <c r="AN30" i="7"/>
  <c r="AN21" i="7"/>
  <c r="AN27" i="7"/>
  <c r="AM35" i="7"/>
  <c r="AN23" i="7"/>
  <c r="AN16" i="7"/>
  <c r="AN18" i="7"/>
  <c r="AN17" i="7"/>
  <c r="AN14" i="7"/>
  <c r="AN24" i="7"/>
  <c r="AN22" i="7"/>
  <c r="AO1" i="7"/>
  <c r="AP20" i="7" l="1"/>
  <c r="AO20" i="7"/>
  <c r="AP9" i="7"/>
  <c r="AP26" i="7"/>
  <c r="AP35" i="7"/>
  <c r="AP24" i="7"/>
  <c r="AO9" i="7"/>
  <c r="AO26" i="7"/>
  <c r="AO35" i="7"/>
  <c r="AO24" i="7"/>
  <c r="AP37" i="7"/>
  <c r="AP36" i="7"/>
  <c r="AP15" i="7"/>
  <c r="AP33" i="7"/>
  <c r="AO33" i="7"/>
  <c r="AO6" i="7"/>
  <c r="AO25" i="7"/>
  <c r="AO32" i="7"/>
  <c r="AO5" i="7"/>
  <c r="AO3" i="7"/>
  <c r="AO29" i="7"/>
  <c r="AO28" i="7"/>
  <c r="AO4" i="7"/>
  <c r="AO31" i="7"/>
  <c r="AO19" i="7"/>
  <c r="AO7" i="7"/>
  <c r="AO11" i="7"/>
  <c r="AO15" i="7"/>
  <c r="AP10" i="7"/>
  <c r="AP34" i="7"/>
  <c r="AP8" i="7"/>
  <c r="AP14" i="7"/>
  <c r="AP23" i="7"/>
  <c r="AP30" i="7"/>
  <c r="AP13" i="7"/>
  <c r="AP17" i="7"/>
  <c r="AP16" i="7"/>
  <c r="AP21" i="7"/>
  <c r="AP12" i="7"/>
  <c r="AP22" i="7"/>
  <c r="AP18" i="7"/>
  <c r="AP27" i="7"/>
  <c r="AO36" i="7"/>
  <c r="AO10" i="7"/>
  <c r="AO34" i="7"/>
  <c r="AO8" i="7"/>
  <c r="AO14" i="7"/>
  <c r="AO23" i="7"/>
  <c r="AO30" i="7"/>
  <c r="AO13" i="7"/>
  <c r="AO17" i="7"/>
  <c r="AO16" i="7"/>
  <c r="AO21" i="7"/>
  <c r="AO12" i="7"/>
  <c r="AO22" i="7"/>
  <c r="AO18" i="7"/>
  <c r="AO27" i="7"/>
  <c r="AO37" i="7"/>
  <c r="AP32" i="7"/>
  <c r="AP28" i="7"/>
  <c r="AP7" i="7"/>
  <c r="AP25" i="7"/>
  <c r="AP29" i="7"/>
  <c r="AP19" i="7"/>
  <c r="AP6" i="7"/>
  <c r="AP3" i="7"/>
  <c r="AP31" i="7"/>
  <c r="AP11" i="7"/>
  <c r="AP4" i="7"/>
  <c r="AP5" i="7"/>
  <c r="AQ1" i="7"/>
  <c r="AR20" i="7" l="1"/>
  <c r="AQ20" i="7"/>
  <c r="AQ9" i="7"/>
  <c r="AQ26" i="7"/>
  <c r="AQ35" i="7"/>
  <c r="AQ24" i="7"/>
  <c r="AQ34" i="7"/>
  <c r="AQ8" i="7"/>
  <c r="AQ14" i="7"/>
  <c r="AR37" i="7"/>
  <c r="AR36" i="7"/>
  <c r="AR15" i="7"/>
  <c r="AR33" i="7"/>
  <c r="AR10" i="7"/>
  <c r="AR6" i="7"/>
  <c r="AR25" i="7"/>
  <c r="AR32" i="7"/>
  <c r="AR5" i="7"/>
  <c r="AR3" i="7"/>
  <c r="AR29" i="7"/>
  <c r="AR28" i="7"/>
  <c r="AR4" i="7"/>
  <c r="AR31" i="7"/>
  <c r="AR19" i="7"/>
  <c r="AR7" i="7"/>
  <c r="AR11" i="7"/>
  <c r="AQ37" i="7"/>
  <c r="AQ36" i="7"/>
  <c r="AQ15" i="7"/>
  <c r="AQ33" i="7"/>
  <c r="AQ10" i="7"/>
  <c r="AQ6" i="7"/>
  <c r="AQ25" i="7"/>
  <c r="AQ32" i="7"/>
  <c r="AQ5" i="7"/>
  <c r="AQ3" i="7"/>
  <c r="AQ29" i="7"/>
  <c r="AQ28" i="7"/>
  <c r="AQ4" i="7"/>
  <c r="AQ31" i="7"/>
  <c r="AQ19" i="7"/>
  <c r="AQ7" i="7"/>
  <c r="AQ11" i="7"/>
  <c r="AR9" i="7"/>
  <c r="AR26" i="7"/>
  <c r="AR35" i="7"/>
  <c r="AR24" i="7"/>
  <c r="AR34" i="7"/>
  <c r="AR8" i="7"/>
  <c r="AR14" i="7"/>
  <c r="AR23" i="7"/>
  <c r="AR30" i="7"/>
  <c r="AR13" i="7"/>
  <c r="AR17" i="7"/>
  <c r="AR16" i="7"/>
  <c r="AR21" i="7"/>
  <c r="AR12" i="7"/>
  <c r="AR22" i="7"/>
  <c r="AR18" i="7"/>
  <c r="AR27" i="7"/>
  <c r="AQ13" i="7"/>
  <c r="AQ12" i="7"/>
  <c r="AQ30" i="7"/>
  <c r="AQ21" i="7"/>
  <c r="AQ27" i="7"/>
  <c r="AQ23" i="7"/>
  <c r="AQ16" i="7"/>
  <c r="AQ18" i="7"/>
  <c r="AQ22" i="7"/>
  <c r="AQ17" i="7"/>
  <c r="AS1" i="7"/>
  <c r="AT20" i="7" l="1"/>
  <c r="AS20" i="7"/>
  <c r="AS37" i="7"/>
  <c r="AS36" i="7"/>
  <c r="AS15" i="7"/>
  <c r="AS33" i="7"/>
  <c r="AS10" i="7"/>
  <c r="AS6" i="7"/>
  <c r="AS25" i="7"/>
  <c r="AS32" i="7"/>
  <c r="AT9" i="7"/>
  <c r="AT26" i="7"/>
  <c r="AT35" i="7"/>
  <c r="AT24" i="7"/>
  <c r="AT34" i="7"/>
  <c r="AT8" i="7"/>
  <c r="AT14" i="7"/>
  <c r="AT23" i="7"/>
  <c r="AT30" i="7"/>
  <c r="AT13" i="7"/>
  <c r="AT17" i="7"/>
  <c r="AT16" i="7"/>
  <c r="AT21" i="7"/>
  <c r="AT12" i="7"/>
  <c r="AT22" i="7"/>
  <c r="AT18" i="7"/>
  <c r="AT27" i="7"/>
  <c r="AS9" i="7"/>
  <c r="AS26" i="7"/>
  <c r="AS35" i="7"/>
  <c r="AS24" i="7"/>
  <c r="AS34" i="7"/>
  <c r="AS8" i="7"/>
  <c r="AS14" i="7"/>
  <c r="AS23" i="7"/>
  <c r="AS30" i="7"/>
  <c r="AS13" i="7"/>
  <c r="AS17" i="7"/>
  <c r="AS16" i="7"/>
  <c r="AS21" i="7"/>
  <c r="AS12" i="7"/>
  <c r="AS22" i="7"/>
  <c r="AS18" i="7"/>
  <c r="AS27" i="7"/>
  <c r="AT37" i="7"/>
  <c r="AT36" i="7"/>
  <c r="AT15" i="7"/>
  <c r="AT33" i="7"/>
  <c r="AT10" i="7"/>
  <c r="AT6" i="7"/>
  <c r="AT25" i="7"/>
  <c r="AT32" i="7"/>
  <c r="AT5" i="7"/>
  <c r="AT3" i="7"/>
  <c r="AT29" i="7"/>
  <c r="AT28" i="7"/>
  <c r="AT4" i="7"/>
  <c r="AT31" i="7"/>
  <c r="AT19" i="7"/>
  <c r="AT7" i="7"/>
  <c r="AT11" i="7"/>
  <c r="AS28" i="7"/>
  <c r="AS7" i="7"/>
  <c r="AS29" i="7"/>
  <c r="AS19" i="7"/>
  <c r="AS3" i="7"/>
  <c r="AS31" i="7"/>
  <c r="AS4" i="7"/>
  <c r="AS5" i="7"/>
  <c r="AS11" i="7"/>
  <c r="AU1" i="7"/>
  <c r="AV20" i="7" l="1"/>
  <c r="AU20" i="7"/>
  <c r="AU9" i="7"/>
  <c r="AU26" i="7"/>
  <c r="AU35" i="7"/>
  <c r="AU24" i="7"/>
  <c r="AU34" i="7"/>
  <c r="AU8" i="7"/>
  <c r="AU14" i="7"/>
  <c r="AV37" i="7"/>
  <c r="AV36" i="7"/>
  <c r="AV15" i="7"/>
  <c r="AV33" i="7"/>
  <c r="AV10" i="7"/>
  <c r="AV6" i="7"/>
  <c r="AV25" i="7"/>
  <c r="AV32" i="7"/>
  <c r="AV5" i="7"/>
  <c r="AV3" i="7"/>
  <c r="AV29" i="7"/>
  <c r="AV28" i="7"/>
  <c r="AV4" i="7"/>
  <c r="AV31" i="7"/>
  <c r="AV19" i="7"/>
  <c r="AV7" i="7"/>
  <c r="AV11" i="7"/>
  <c r="AU37" i="7"/>
  <c r="AU36" i="7"/>
  <c r="AU15" i="7"/>
  <c r="AU33" i="7"/>
  <c r="AU10" i="7"/>
  <c r="AU6" i="7"/>
  <c r="AU25" i="7"/>
  <c r="AU32" i="7"/>
  <c r="AU5" i="7"/>
  <c r="AU3" i="7"/>
  <c r="AU29" i="7"/>
  <c r="AU28" i="7"/>
  <c r="AU4" i="7"/>
  <c r="AU31" i="7"/>
  <c r="AU19" i="7"/>
  <c r="AU7" i="7"/>
  <c r="AU11" i="7"/>
  <c r="AV9" i="7"/>
  <c r="AV26" i="7"/>
  <c r="AV35" i="7"/>
  <c r="AV24" i="7"/>
  <c r="AV34" i="7"/>
  <c r="AV8" i="7"/>
  <c r="AV14" i="7"/>
  <c r="AV23" i="7"/>
  <c r="AV30" i="7"/>
  <c r="AV13" i="7"/>
  <c r="AV17" i="7"/>
  <c r="AV16" i="7"/>
  <c r="AV21" i="7"/>
  <c r="AV12" i="7"/>
  <c r="AV22" i="7"/>
  <c r="AV18" i="7"/>
  <c r="AV27" i="7"/>
  <c r="AU30" i="7"/>
  <c r="AU21" i="7"/>
  <c r="AU27" i="7"/>
  <c r="AU23" i="7"/>
  <c r="AU16" i="7"/>
  <c r="AU18" i="7"/>
  <c r="AU17" i="7"/>
  <c r="AU22" i="7"/>
  <c r="AU12" i="7"/>
  <c r="AU13" i="7"/>
  <c r="AW1" i="7"/>
  <c r="AX20" i="7" l="1"/>
  <c r="AW20" i="7"/>
  <c r="AW37" i="7"/>
  <c r="AW36" i="7"/>
  <c r="AW15" i="7"/>
  <c r="AW33" i="7"/>
  <c r="AW10" i="7"/>
  <c r="AW6" i="7"/>
  <c r="AW25" i="7"/>
  <c r="AW32" i="7"/>
  <c r="AW5" i="7"/>
  <c r="AW3" i="7"/>
  <c r="AW29" i="7"/>
  <c r="AW28" i="7"/>
  <c r="AW4" i="7"/>
  <c r="AW31" i="7"/>
  <c r="AW19" i="7"/>
  <c r="AW7" i="7"/>
  <c r="AW11" i="7"/>
  <c r="AX9" i="7"/>
  <c r="AX26" i="7"/>
  <c r="AX35" i="7"/>
  <c r="AX24" i="7"/>
  <c r="AX34" i="7"/>
  <c r="AX8" i="7"/>
  <c r="AX14" i="7"/>
  <c r="AX23" i="7"/>
  <c r="AX30" i="7"/>
  <c r="AX13" i="7"/>
  <c r="AX17" i="7"/>
  <c r="AX16" i="7"/>
  <c r="AX21" i="7"/>
  <c r="AX12" i="7"/>
  <c r="AX22" i="7"/>
  <c r="AX18" i="7"/>
  <c r="AX27" i="7"/>
  <c r="AW9" i="7"/>
  <c r="AW26" i="7"/>
  <c r="AW35" i="7"/>
  <c r="AW24" i="7"/>
  <c r="AW34" i="7"/>
  <c r="AW8" i="7"/>
  <c r="AW14" i="7"/>
  <c r="AW23" i="7"/>
  <c r="AW30" i="7"/>
  <c r="AW13" i="7"/>
  <c r="AW17" i="7"/>
  <c r="AW16" i="7"/>
  <c r="AW21" i="7"/>
  <c r="AW12" i="7"/>
  <c r="AW22" i="7"/>
  <c r="AW18" i="7"/>
  <c r="AW27" i="7"/>
  <c r="AX37" i="7"/>
  <c r="AX36" i="7"/>
  <c r="AX15" i="7"/>
  <c r="AX33" i="7"/>
  <c r="AX10" i="7"/>
  <c r="AX6" i="7"/>
  <c r="AX25" i="7"/>
  <c r="AX32" i="7"/>
  <c r="AX5" i="7"/>
  <c r="AX3" i="7"/>
  <c r="AX29" i="7"/>
  <c r="AX28" i="7"/>
  <c r="AX4" i="7"/>
  <c r="AX31" i="7"/>
  <c r="AX19" i="7"/>
  <c r="AX7" i="7"/>
  <c r="AX11" i="7"/>
  <c r="BB15" i="7" l="1"/>
  <c r="BC15" i="7" s="1"/>
  <c r="BB7" i="7"/>
  <c r="BC7" i="7" s="1"/>
  <c r="BB28" i="7"/>
  <c r="BC28" i="7" s="1"/>
  <c r="BB32" i="7"/>
  <c r="BC32" i="7" s="1"/>
  <c r="BB33" i="7"/>
  <c r="BC33" i="7" s="1"/>
  <c r="BB19" i="7"/>
  <c r="BC19" i="7" s="1"/>
  <c r="BB29" i="7"/>
  <c r="BC29" i="7" s="1"/>
  <c r="BB25" i="7"/>
  <c r="BC25" i="7" s="1"/>
  <c r="BB11" i="7"/>
  <c r="BC11" i="7" s="1"/>
  <c r="BB4" i="7"/>
  <c r="BC4" i="7" s="1"/>
  <c r="BB5" i="7"/>
  <c r="BC5" i="7" s="1"/>
  <c r="BB10" i="7"/>
  <c r="BC10" i="7" s="1"/>
  <c r="BB37" i="7"/>
  <c r="BC37" i="7" s="1"/>
  <c r="BB3" i="7"/>
  <c r="BC3" i="7" s="1"/>
  <c r="BB36" i="7"/>
  <c r="BC36" i="7" s="1"/>
  <c r="BB16" i="7"/>
  <c r="BC16" i="7" s="1"/>
  <c r="BB24" i="7"/>
  <c r="BC24" i="7" s="1"/>
  <c r="BB21" i="7"/>
  <c r="BC21" i="7" s="1"/>
  <c r="BB17" i="7"/>
  <c r="BC17" i="7" s="1"/>
  <c r="BB35" i="7"/>
  <c r="BC35" i="7" s="1"/>
  <c r="BB13" i="7"/>
  <c r="BC13" i="7" s="1"/>
  <c r="BB26" i="7"/>
  <c r="BC26" i="7" s="1"/>
  <c r="BB31" i="7"/>
  <c r="BC31" i="7" s="1"/>
  <c r="BB6" i="7"/>
  <c r="BC6" i="7" s="1"/>
  <c r="BB30" i="7"/>
  <c r="BC30" i="7" s="1"/>
  <c r="BB18" i="7"/>
  <c r="BC18" i="7" s="1"/>
  <c r="BB23" i="7"/>
  <c r="BC23" i="7" s="1"/>
  <c r="BB9" i="7"/>
  <c r="BC9" i="7" s="1"/>
  <c r="BB22" i="7"/>
  <c r="BC22" i="7" s="1"/>
  <c r="BB14" i="7"/>
  <c r="BC14" i="7" s="1"/>
  <c r="BB12" i="7"/>
  <c r="BC12" i="7" s="1"/>
  <c r="BB8" i="7"/>
  <c r="BC8" i="7" s="1"/>
  <c r="BB34" i="7"/>
  <c r="BC34" i="7" s="1"/>
  <c r="BB20" i="7"/>
  <c r="BC20" i="7" s="1"/>
  <c r="BB27" i="7"/>
  <c r="BC27" i="7" s="1"/>
</calcChain>
</file>

<file path=xl/comments1.xml><?xml version="1.0" encoding="utf-8"?>
<comments xmlns="http://schemas.openxmlformats.org/spreadsheetml/2006/main">
  <authors>
    <author>Deepesh Shrestha</author>
  </authors>
  <commentList>
    <comment ref="AB2" authorId="0" shapeId="0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Net Point Difference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Non-Attendance Penalty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Unique Match ID</t>
        </r>
      </text>
    </comment>
  </commentList>
</comments>
</file>

<file path=xl/sharedStrings.xml><?xml version="1.0" encoding="utf-8"?>
<sst xmlns="http://schemas.openxmlformats.org/spreadsheetml/2006/main" count="338" uniqueCount="147">
  <si>
    <t>Deepesh</t>
  </si>
  <si>
    <t>Shiva</t>
  </si>
  <si>
    <t>Asim</t>
  </si>
  <si>
    <t>Zaheer</t>
  </si>
  <si>
    <t>Samir</t>
  </si>
  <si>
    <t>Jalal</t>
  </si>
  <si>
    <t>Vasu</t>
  </si>
  <si>
    <t>Deepak</t>
  </si>
  <si>
    <t>Group A</t>
  </si>
  <si>
    <t>Group B</t>
  </si>
  <si>
    <t>Purvaiz Snr</t>
  </si>
  <si>
    <t>Player 1</t>
  </si>
  <si>
    <t>Player 2</t>
  </si>
  <si>
    <t>Winner</t>
  </si>
  <si>
    <t>Played</t>
  </si>
  <si>
    <t>Won</t>
  </si>
  <si>
    <t>Lost</t>
  </si>
  <si>
    <t>Points</t>
  </si>
  <si>
    <t>NPD</t>
  </si>
  <si>
    <t>PA</t>
  </si>
  <si>
    <t>PF</t>
  </si>
  <si>
    <t>Important Dates</t>
  </si>
  <si>
    <t>Date</t>
  </si>
  <si>
    <t>No.</t>
  </si>
  <si>
    <t>Altamash</t>
  </si>
  <si>
    <t>Rukhsar</t>
  </si>
  <si>
    <t>Season Kickoff</t>
  </si>
  <si>
    <t>Season End</t>
  </si>
  <si>
    <t>Total Weeks</t>
  </si>
  <si>
    <t>Team 1</t>
  </si>
  <si>
    <t>Team 2</t>
  </si>
  <si>
    <t>Player 3</t>
  </si>
  <si>
    <t>Player 4</t>
  </si>
  <si>
    <t>Pts</t>
  </si>
  <si>
    <t>ID</t>
  </si>
  <si>
    <t>1-ID</t>
  </si>
  <si>
    <t>2-ID</t>
  </si>
  <si>
    <t>MID</t>
  </si>
  <si>
    <t>Pt</t>
  </si>
  <si>
    <t>NAP</t>
  </si>
  <si>
    <t>Sandip</t>
  </si>
  <si>
    <t>Nawaz</t>
  </si>
  <si>
    <t>Prasanna</t>
  </si>
  <si>
    <t>Name</t>
  </si>
  <si>
    <t>Winner Team ID</t>
  </si>
  <si>
    <t>All participants will be split into Group A (Tier 1) and Group B (Tier 2)</t>
  </si>
  <si>
    <t>The committee can decide which players go into Group A and Group B this time but next season onwards it will be based on rankings of the last season.</t>
  </si>
  <si>
    <r>
      <t xml:space="preserve">For any match to be official and recorded either all 
     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: Both teams should have a combination of  a player from Group A and B each.
OR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: All 4 players must be from same group </t>
    </r>
  </si>
  <si>
    <t>Only the following matches will be official and will be recorded:</t>
  </si>
  <si>
    <t xml:space="preserve">Team A player + Team B Player </t>
  </si>
  <si>
    <t>vs</t>
  </si>
  <si>
    <t>Team A player + Team B player</t>
  </si>
  <si>
    <r>
      <t>Valid (</t>
    </r>
    <r>
      <rPr>
        <b/>
        <sz val="18"/>
        <color rgb="FF00B0F0"/>
        <rFont val="Arial"/>
        <family val="2"/>
      </rPr>
      <t>Option X</t>
    </r>
    <r>
      <rPr>
        <sz val="18"/>
        <color rgb="FF00B050"/>
        <rFont val="Arial"/>
        <family val="2"/>
      </rPr>
      <t>)</t>
    </r>
  </si>
  <si>
    <t>Team A player + Team A Player</t>
  </si>
  <si>
    <t>Team A player + Team A player</t>
  </si>
  <si>
    <r>
      <t>Valid (</t>
    </r>
    <r>
      <rPr>
        <b/>
        <sz val="18"/>
        <color rgb="FF7030A0"/>
        <rFont val="Arial"/>
        <family val="2"/>
      </rPr>
      <t>Option Y</t>
    </r>
    <r>
      <rPr>
        <sz val="18"/>
        <color rgb="FF00B050"/>
        <rFont val="Arial"/>
        <family val="2"/>
      </rPr>
      <t>)</t>
    </r>
  </si>
  <si>
    <t>Team B player + Team B Player</t>
  </si>
  <si>
    <t>Team B player + Team B player</t>
  </si>
  <si>
    <t>The following matches are invalid and will not be counted as official</t>
  </si>
  <si>
    <t>Invalid</t>
  </si>
  <si>
    <r>
      <t xml:space="preserve">If we assume 8 players in each group then basically each player has 8 partnering options via </t>
    </r>
    <r>
      <rPr>
        <b/>
        <sz val="18"/>
        <color rgb="FF00B0F0"/>
        <rFont val="Arial"/>
        <family val="2"/>
      </rPr>
      <t>Option X.</t>
    </r>
  </si>
  <si>
    <r>
      <t xml:space="preserve">With each partner he can play a total of 49 (7x7) unique opponents via </t>
    </r>
    <r>
      <rPr>
        <b/>
        <sz val="18"/>
        <color rgb="FF00B0F0"/>
        <rFont val="Arial"/>
        <family val="2"/>
      </rPr>
      <t>Option X.</t>
    </r>
  </si>
  <si>
    <r>
      <t xml:space="preserve">If we assume 8 players in each group then basically each player has 7 partnering options via </t>
    </r>
    <r>
      <rPr>
        <b/>
        <sz val="18"/>
        <color rgb="FF7030A0"/>
        <rFont val="Arial"/>
        <family val="2"/>
      </rPr>
      <t>Option Y.</t>
    </r>
  </si>
  <si>
    <r>
      <t xml:space="preserve">With each partner he can play a total of 15 (6 combination 2) via </t>
    </r>
    <r>
      <rPr>
        <b/>
        <sz val="18"/>
        <color rgb="FF7030A0"/>
        <rFont val="Arial"/>
        <family val="2"/>
      </rPr>
      <t>Option Y.</t>
    </r>
  </si>
  <si>
    <r>
      <t xml:space="preserve">A player can play a total of 392(49*8) unique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 matches.</t>
    </r>
  </si>
  <si>
    <r>
      <t xml:space="preserve">A player can play a total of 135(15x7) unique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 matches.</t>
    </r>
  </si>
  <si>
    <r>
      <t xml:space="preserve">So one player can play a total of </t>
    </r>
    <r>
      <rPr>
        <b/>
        <sz val="18"/>
        <color rgb="FFC00000"/>
        <rFont val="Arial"/>
        <family val="2"/>
      </rPr>
      <t>527</t>
    </r>
    <r>
      <rPr>
        <sz val="18"/>
        <color theme="1"/>
        <rFont val="Arial"/>
        <family val="2"/>
      </rPr>
      <t xml:space="preserve"> unique matches (enough for lifetime, leave alone a season !)</t>
    </r>
  </si>
  <si>
    <t>Point here is that there is ENOUGH to choose from and every match can be very easily unique.</t>
  </si>
  <si>
    <t>No duplicate match will be recorded in a season with the same set of 4 players.</t>
  </si>
  <si>
    <t xml:space="preserve">All Matches will be only 1 game of 21 points. </t>
  </si>
  <si>
    <t>Santosh</t>
  </si>
  <si>
    <t>Kalyan</t>
  </si>
  <si>
    <t>Vishal</t>
  </si>
  <si>
    <t>Faiyaz</t>
  </si>
  <si>
    <t>Usman</t>
  </si>
  <si>
    <t>Reporting scores of official matches ? Should we write on board ? Take photos or WhatsApp ?</t>
  </si>
  <si>
    <t>Easiest option is for Winning team to WhatsApp to HHB Badminton Club immediately after match. I will log into Excel.</t>
  </si>
  <si>
    <t>Current pairing system of winning team moving left and losing team moving right and splitting ? Does that still continue ?</t>
  </si>
  <si>
    <t>That's the best way keep games coming quickly and that should continue</t>
  </si>
  <si>
    <t>How do we know if the match we are playing is official or not ?</t>
  </si>
  <si>
    <t>You always assume it's official and report. We will figure out if it can be registered as official according to rules ?</t>
  </si>
  <si>
    <t>Do we need to wait for each game to finish or do like last 2 points when 3 courts have finished and one is still going on ?</t>
  </si>
  <si>
    <t>I think it should be okay to do 'last 2 points' and in that case something like 18-15 will be registered as official match ??
OR
Only matches up to 21 will be considered as official and other discarded ??</t>
  </si>
  <si>
    <t>Too much concern on whether the match I am playing is official or not ?</t>
  </si>
  <si>
    <t>We encourage players not to think about that and just play as normal and report the match. Leave it to the organizers to decide whether it's an official match or not.</t>
  </si>
  <si>
    <t>Invalid ??</t>
  </si>
  <si>
    <t>On the day record scores</t>
  </si>
  <si>
    <t xml:space="preserve">You can record only ONE win with a specific partner on a given Sunday. </t>
  </si>
  <si>
    <t>Only scores reported on the same day will be considered and recorded.</t>
  </si>
  <si>
    <t>MATCH RULES - HHB PREMIER RANKING LEAGUE</t>
  </si>
  <si>
    <t>At 20 all, the side which gains a 1st point, wins that game. [Sudden Death]</t>
  </si>
  <si>
    <t>Trophies will be awarded to Top 3 players in the League.</t>
  </si>
  <si>
    <t>The winning team should WhatsApp the score after every match for it to be considered to be registered for the league.
BEST PRACTICE : Do it immediately after match.</t>
  </si>
  <si>
    <t>Mansoor</t>
  </si>
  <si>
    <t>Nabeel</t>
  </si>
  <si>
    <t>Farooq</t>
  </si>
  <si>
    <t>Sengole</t>
  </si>
  <si>
    <t>Thomas</t>
  </si>
  <si>
    <t>Purvaiz</t>
  </si>
  <si>
    <t>Win %</t>
  </si>
  <si>
    <t>Total Players Playing</t>
  </si>
  <si>
    <t>9-10 AM</t>
  </si>
  <si>
    <t>10-11 AM</t>
  </si>
  <si>
    <t>Player</t>
  </si>
  <si>
    <t>Average</t>
  </si>
  <si>
    <t>Total Games Recorded</t>
  </si>
  <si>
    <t>Max Games by a player</t>
  </si>
  <si>
    <t>Max Wins by a player</t>
  </si>
  <si>
    <t>Tousif</t>
  </si>
  <si>
    <t>Karthik</t>
  </si>
  <si>
    <t>Waqas</t>
  </si>
  <si>
    <t>Jenson</t>
  </si>
  <si>
    <t>Rahul J</t>
  </si>
  <si>
    <t>Rahul B</t>
  </si>
  <si>
    <t>Total Points Played</t>
  </si>
  <si>
    <t>Ken</t>
  </si>
  <si>
    <t>Shoaib</t>
  </si>
  <si>
    <t>Suraj</t>
  </si>
  <si>
    <t>P</t>
  </si>
  <si>
    <t>W</t>
  </si>
  <si>
    <t>Sundays played</t>
  </si>
  <si>
    <t>Attendance %</t>
  </si>
  <si>
    <t>Week</t>
  </si>
  <si>
    <t>Difference</t>
  </si>
  <si>
    <t>Yogi</t>
  </si>
  <si>
    <t>Rukhsar</t>
  </si>
  <si>
    <t>Farooq A</t>
  </si>
  <si>
    <t>Ammar</t>
  </si>
  <si>
    <t>Umar</t>
  </si>
  <si>
    <t>Rankings will be based on number of WINS,then NPD and then WIN %.</t>
  </si>
  <si>
    <t>If sometimes matches are cut short by the buzzer and can't be played till 21 - then the team leading at buzzer wins automatically as long as they have scored a minimum of 15 points.</t>
  </si>
  <si>
    <t>If at buzzer - both teams are below 15 then that game is void and cannot be counted.</t>
  </si>
  <si>
    <t>If at buzzer - both teams are tied at same score e.g. 17-17; then they should play 1 last point to decide winner</t>
  </si>
  <si>
    <t>If players are tied on ALL three (extremely rare), then basically they can play a 'first to 10 points' singles game, to decide who comes on top at the end of the League ! [This is only required if a Top 3 position is at stake]</t>
  </si>
  <si>
    <t>In case of injury, the team with injured player will forefeit the match. No official score will be recorded but a WIN will be awarded to the winning team.</t>
  </si>
  <si>
    <t>ANNUAL PLAYERS LEAGUE - 2026</t>
  </si>
  <si>
    <t>HHB ANNUAL PLAYERS LEAGUE - 2026</t>
  </si>
  <si>
    <t>Season lasts for 10 weeks starting 6th Sep, Sunday with a break for 2 Sundays(11 and 18) during Oct Holidays</t>
  </si>
  <si>
    <t>In case of any disputes - the decision of the HHB Selection Committee (Rukhsar, Deepak, Prasanna, Jalal, Deepesh, Thomas) will be final.</t>
  </si>
  <si>
    <t>STARTS</t>
  </si>
  <si>
    <t>ENDS</t>
  </si>
  <si>
    <r>
      <t>There will be a separate WhatsApp group called '</t>
    </r>
    <r>
      <rPr>
        <b/>
        <sz val="18"/>
        <color theme="1"/>
        <rFont val="Arial"/>
        <family val="2"/>
      </rPr>
      <t xml:space="preserve">League Scores HHB </t>
    </r>
    <r>
      <rPr>
        <sz val="18"/>
        <color theme="1"/>
        <rFont val="Arial"/>
        <family val="2"/>
      </rPr>
      <t>' for reporting scores. 
No banter permitted in this group as this will be ONLY for official scores.</t>
    </r>
  </si>
  <si>
    <t>Please also report the Court number where the matches take place; this is only for data and analytics purposes. Court Number will have no bearing in the League Standings.</t>
  </si>
  <si>
    <t>Please use this format when reporting, with the winning pair listed first:
Sengole/Vishal bt Purvaiz/Vasu 21/17 - (Court 3)</t>
  </si>
  <si>
    <t xml:space="preserve">Only matches played on Sundays are counted towards the League and they have to be played between 9 am to 11 am. </t>
  </si>
  <si>
    <t xml:space="preserve">Court No. </t>
  </si>
  <si>
    <t>October School Holidays Break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</si>
</sst>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m\,\ ddd"/>
    <numFmt numFmtId="165" formatCode="dd/mm"/>
  </numFmts>
  <fonts count="23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8"/>
      <color rgb="FF00B0F0"/>
      <name val="Arial"/>
      <family val="2"/>
    </font>
    <font>
      <b/>
      <sz val="18"/>
      <color rgb="FF7030A0"/>
      <name val="Arial"/>
      <family val="2"/>
    </font>
    <font>
      <sz val="18"/>
      <color rgb="FF00B050"/>
      <name val="Arial"/>
      <family val="2"/>
    </font>
    <font>
      <sz val="18"/>
      <color rgb="FFFF0000"/>
      <name val="Arial"/>
      <family val="2"/>
    </font>
    <font>
      <b/>
      <sz val="18"/>
      <color rgb="FFC00000"/>
      <name val="Arial"/>
      <family val="2"/>
    </font>
    <font>
      <b/>
      <sz val="18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theme="9" tint="-0.249977111117893"/>
      <name val="Arial"/>
      <family val="2"/>
    </font>
    <font>
      <sz val="20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134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0" fontId="2" fillId="0" borderId="1" xfId="0" applyFont="1" applyBorder="1"/>
    <xf numFmtId="0" fontId="1" fillId="0" borderId="0" xfId="0" applyFont="1"/>
    <xf numFmtId="0" fontId="2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left"/>
    </xf>
    <xf numFmtId="164" fontId="1" fillId="3" borderId="1" xfId="0" applyNumberFormat="1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0" fontId="1" fillId="3" borderId="3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9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1" fillId="5" borderId="0" xfId="0" applyFont="1" applyFill="1" applyAlignment="1">
      <alignment horizontal="left" indent="2"/>
    </xf>
    <xf numFmtId="0" fontId="2" fillId="5" borderId="0" xfId="0" applyFont="1" applyFill="1" applyAlignment="1">
      <alignment horizontal="left"/>
    </xf>
    <xf numFmtId="0" fontId="9" fillId="6" borderId="1" xfId="0" applyFont="1" applyFill="1" applyBorder="1" applyAlignment="1">
      <alignment wrapText="1"/>
    </xf>
    <xf numFmtId="0" fontId="12" fillId="6" borderId="1" xfId="0" applyFont="1" applyFill="1" applyBorder="1" applyAlignment="1">
      <alignment wrapText="1"/>
    </xf>
    <xf numFmtId="0" fontId="13" fillId="6" borderId="1" xfId="0" applyFont="1" applyFill="1" applyBorder="1" applyAlignment="1">
      <alignment wrapText="1"/>
    </xf>
    <xf numFmtId="0" fontId="0" fillId="0" borderId="9" xfId="0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9" fontId="1" fillId="0" borderId="1" xfId="1" applyFont="1" applyBorder="1" applyAlignment="1">
      <alignment horizontal="center"/>
    </xf>
    <xf numFmtId="164" fontId="0" fillId="0" borderId="1" xfId="0" applyNumberFormat="1" applyBorder="1"/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right"/>
    </xf>
    <xf numFmtId="16" fontId="3" fillId="0" borderId="1" xfId="0" applyNumberFormat="1" applyFont="1" applyBorder="1"/>
    <xf numFmtId="1" fontId="0" fillId="0" borderId="1" xfId="0" applyNumberFormat="1" applyBorder="1"/>
    <xf numFmtId="0" fontId="17" fillId="0" borderId="0" xfId="0" applyFont="1"/>
    <xf numFmtId="16" fontId="19" fillId="7" borderId="1" xfId="0" applyNumberFormat="1" applyFont="1" applyFill="1" applyBorder="1"/>
    <xf numFmtId="0" fontId="20" fillId="7" borderId="1" xfId="0" applyFont="1" applyFill="1" applyBorder="1" applyAlignment="1">
      <alignment horizontal="center"/>
    </xf>
    <xf numFmtId="0" fontId="20" fillId="9" borderId="1" xfId="0" applyFont="1" applyFill="1" applyBorder="1" applyAlignment="1">
      <alignment horizontal="center"/>
    </xf>
    <xf numFmtId="9" fontId="0" fillId="0" borderId="1" xfId="0" applyNumberFormat="1" applyBorder="1"/>
    <xf numFmtId="0" fontId="3" fillId="0" borderId="1" xfId="0" applyFont="1" applyBorder="1" applyAlignment="1">
      <alignment horizontal="left"/>
    </xf>
    <xf numFmtId="0" fontId="18" fillId="0" borderId="1" xfId="0" applyFont="1" applyBorder="1" applyAlignment="1">
      <alignment horizontal="left"/>
    </xf>
    <xf numFmtId="0" fontId="0" fillId="0" borderId="1" xfId="0" applyBorder="1" applyAlignment="1">
      <alignment horizontal="right"/>
    </xf>
    <xf numFmtId="164" fontId="1" fillId="8" borderId="1" xfId="0" applyNumberFormat="1" applyFont="1" applyFill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left"/>
    </xf>
    <xf numFmtId="0" fontId="19" fillId="7" borderId="1" xfId="0" applyFont="1" applyFill="1" applyBorder="1" applyAlignment="1">
      <alignment horizontal="center"/>
    </xf>
    <xf numFmtId="0" fontId="19" fillId="9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4" fillId="0" borderId="10" xfId="0" applyFont="1" applyBorder="1" applyAlignment="1">
      <alignment horizontal="center"/>
    </xf>
    <xf numFmtId="0" fontId="1" fillId="0" borderId="17" xfId="0" applyFont="1" applyBorder="1"/>
    <xf numFmtId="0" fontId="0" fillId="0" borderId="11" xfId="0" applyBorder="1"/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0" borderId="15" xfId="0" applyFont="1" applyBorder="1"/>
    <xf numFmtId="9" fontId="1" fillId="0" borderId="16" xfId="1" applyFont="1" applyBorder="1" applyAlignment="1">
      <alignment horizontal="center"/>
    </xf>
    <xf numFmtId="9" fontId="1" fillId="3" borderId="16" xfId="1" applyFont="1" applyFill="1" applyBorder="1" applyAlignment="1">
      <alignment horizontal="center"/>
    </xf>
    <xf numFmtId="0" fontId="1" fillId="0" borderId="13" xfId="0" applyFont="1" applyBorder="1"/>
    <xf numFmtId="0" fontId="1" fillId="3" borderId="20" xfId="0" applyFont="1" applyFill="1" applyBorder="1" applyAlignment="1">
      <alignment horizontal="left"/>
    </xf>
    <xf numFmtId="0" fontId="1" fillId="3" borderId="20" xfId="0" applyFont="1" applyFill="1" applyBorder="1" applyAlignment="1">
      <alignment horizontal="center"/>
    </xf>
    <xf numFmtId="0" fontId="0" fillId="3" borderId="21" xfId="0" applyFill="1" applyBorder="1"/>
    <xf numFmtId="9" fontId="1" fillId="0" borderId="14" xfId="1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2" xfId="0" applyFill="1" applyBorder="1"/>
    <xf numFmtId="0" fontId="19" fillId="10" borderId="1" xfId="0" applyFont="1" applyFill="1" applyBorder="1" applyAlignment="1">
      <alignment horizontal="center"/>
    </xf>
    <xf numFmtId="0" fontId="21" fillId="7" borderId="1" xfId="0" applyFont="1" applyFill="1" applyBorder="1" applyAlignment="1">
      <alignment horizontal="center"/>
    </xf>
    <xf numFmtId="0" fontId="21" fillId="10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2" borderId="15" xfId="0" applyFont="1" applyFill="1" applyBorder="1"/>
    <xf numFmtId="0" fontId="2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9" fontId="1" fillId="2" borderId="16" xfId="1" applyFont="1" applyFill="1" applyBorder="1" applyAlignment="1">
      <alignment horizontal="center"/>
    </xf>
    <xf numFmtId="0" fontId="1" fillId="11" borderId="15" xfId="0" applyFont="1" applyFill="1" applyBorder="1"/>
    <xf numFmtId="0" fontId="2" fillId="11" borderId="1" xfId="0" applyFont="1" applyFill="1" applyBorder="1" applyAlignment="1">
      <alignment horizontal="left"/>
    </xf>
    <xf numFmtId="0" fontId="2" fillId="11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9" fontId="1" fillId="11" borderId="16" xfId="1" applyFont="1" applyFill="1" applyBorder="1" applyAlignment="1">
      <alignment horizontal="center"/>
    </xf>
    <xf numFmtId="0" fontId="1" fillId="12" borderId="15" xfId="0" applyFont="1" applyFill="1" applyBorder="1"/>
    <xf numFmtId="0" fontId="2" fillId="12" borderId="1" xfId="0" applyFont="1" applyFill="1" applyBorder="1" applyAlignment="1">
      <alignment horizontal="left"/>
    </xf>
    <xf numFmtId="0" fontId="2" fillId="12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9" fontId="1" fillId="12" borderId="16" xfId="1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8" fillId="0" borderId="0" xfId="0" applyFont="1"/>
    <xf numFmtId="164" fontId="2" fillId="3" borderId="1" xfId="0" applyNumberFormat="1" applyFont="1" applyFill="1" applyBorder="1"/>
    <xf numFmtId="0" fontId="1" fillId="0" borderId="0" xfId="0" applyFont="1" applyBorder="1"/>
    <xf numFmtId="0" fontId="2" fillId="0" borderId="0" xfId="0" applyFont="1" applyBorder="1" applyAlignment="1">
      <alignment horizontal="center"/>
    </xf>
    <xf numFmtId="0" fontId="0" fillId="0" borderId="0" xfId="0" applyBorder="1"/>
    <xf numFmtId="164" fontId="0" fillId="0" borderId="0" xfId="0" applyNumberFormat="1" applyBorder="1"/>
    <xf numFmtId="0" fontId="9" fillId="6" borderId="1" xfId="0" applyFont="1" applyFill="1" applyBorder="1" applyAlignment="1">
      <alignment horizontal="left" wrapText="1"/>
    </xf>
    <xf numFmtId="0" fontId="8" fillId="0" borderId="4" xfId="0" applyFont="1" applyBorder="1" applyAlignment="1">
      <alignment horizontal="center" wrapText="1"/>
    </xf>
    <xf numFmtId="0" fontId="9" fillId="6" borderId="2" xfId="0" applyFont="1" applyFill="1" applyBorder="1" applyAlignment="1">
      <alignment horizontal="left" wrapText="1"/>
    </xf>
    <xf numFmtId="0" fontId="9" fillId="6" borderId="8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9" fillId="0" borderId="2" xfId="0" applyFont="1" applyBorder="1" applyAlignment="1">
      <alignment horizontal="left" wrapText="1"/>
    </xf>
    <xf numFmtId="0" fontId="9" fillId="0" borderId="8" xfId="0" applyFont="1" applyBorder="1" applyAlignment="1">
      <alignment horizontal="left" wrapText="1"/>
    </xf>
    <xf numFmtId="0" fontId="9" fillId="0" borderId="3" xfId="0" applyFont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0" fontId="9" fillId="0" borderId="2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65" fontId="19" fillId="7" borderId="1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2"/>
  <sheetViews>
    <sheetView zoomScale="90" zoomScaleNormal="90" workbookViewId="0">
      <selection activeCell="A2" sqref="A2"/>
    </sheetView>
  </sheetViews>
  <sheetFormatPr defaultRowHeight="12.75" x14ac:dyDescent="0.2"/>
  <cols>
    <col min="1" max="1" width="5.28515625" style="29" bestFit="1" customWidth="1"/>
    <col min="2" max="2" width="4.85546875" style="29" customWidth="1"/>
    <col min="3" max="3" width="54" style="29" customWidth="1"/>
    <col min="4" max="4" width="4.28515625" style="29" customWidth="1"/>
    <col min="5" max="5" width="48.85546875" style="29" customWidth="1"/>
    <col min="6" max="6" width="48.28515625" style="29" customWidth="1"/>
  </cols>
  <sheetData>
    <row r="1" spans="1:6" ht="26.25" x14ac:dyDescent="0.4">
      <c r="A1" s="109" t="s">
        <v>89</v>
      </c>
      <c r="B1" s="109"/>
      <c r="C1" s="109"/>
      <c r="D1" s="109"/>
      <c r="E1" s="109"/>
      <c r="F1" s="109"/>
    </row>
    <row r="2" spans="1:6" ht="22.5" customHeight="1" x14ac:dyDescent="0.35">
      <c r="A2" s="35">
        <v>1</v>
      </c>
      <c r="B2" s="108" t="s">
        <v>45</v>
      </c>
      <c r="C2" s="108"/>
      <c r="D2" s="108"/>
      <c r="E2" s="108"/>
      <c r="F2" s="108"/>
    </row>
    <row r="3" spans="1:6" ht="54" customHeight="1" x14ac:dyDescent="0.35">
      <c r="A3" s="35">
        <v>2</v>
      </c>
      <c r="B3" s="108" t="s">
        <v>46</v>
      </c>
      <c r="C3" s="108"/>
      <c r="D3" s="108"/>
      <c r="E3" s="108"/>
      <c r="F3" s="108"/>
    </row>
    <row r="4" spans="1:6" ht="74.25" customHeight="1" x14ac:dyDescent="0.35">
      <c r="A4" s="35">
        <v>3</v>
      </c>
      <c r="B4" s="110" t="s">
        <v>47</v>
      </c>
      <c r="C4" s="111"/>
      <c r="D4" s="111"/>
      <c r="E4" s="111"/>
      <c r="F4" s="112"/>
    </row>
    <row r="5" spans="1:6" ht="20.25" customHeight="1" x14ac:dyDescent="0.35">
      <c r="A5" s="35">
        <v>4</v>
      </c>
      <c r="B5" s="110" t="s">
        <v>48</v>
      </c>
      <c r="C5" s="111"/>
      <c r="D5" s="111"/>
      <c r="E5" s="111"/>
      <c r="F5" s="112"/>
    </row>
    <row r="6" spans="1:6" ht="21.75" customHeight="1" x14ac:dyDescent="0.35">
      <c r="A6" s="35"/>
      <c r="B6" s="35">
        <v>1</v>
      </c>
      <c r="C6" s="35" t="s">
        <v>49</v>
      </c>
      <c r="D6" s="35" t="s">
        <v>50</v>
      </c>
      <c r="E6" s="35" t="s">
        <v>51</v>
      </c>
      <c r="F6" s="36" t="s">
        <v>52</v>
      </c>
    </row>
    <row r="7" spans="1:6" ht="21.75" customHeight="1" x14ac:dyDescent="0.35">
      <c r="A7" s="35"/>
      <c r="B7" s="35">
        <v>2</v>
      </c>
      <c r="C7" s="35" t="s">
        <v>53</v>
      </c>
      <c r="D7" s="35" t="s">
        <v>50</v>
      </c>
      <c r="E7" s="35" t="s">
        <v>54</v>
      </c>
      <c r="F7" s="36" t="s">
        <v>55</v>
      </c>
    </row>
    <row r="8" spans="1:6" ht="21.75" customHeight="1" x14ac:dyDescent="0.35">
      <c r="A8" s="35"/>
      <c r="B8" s="35">
        <v>3</v>
      </c>
      <c r="C8" s="35" t="s">
        <v>56</v>
      </c>
      <c r="D8" s="35" t="s">
        <v>50</v>
      </c>
      <c r="E8" s="35" t="s">
        <v>57</v>
      </c>
      <c r="F8" s="36" t="s">
        <v>55</v>
      </c>
    </row>
    <row r="9" spans="1:6" ht="23.25" x14ac:dyDescent="0.35">
      <c r="A9" s="35">
        <v>5</v>
      </c>
      <c r="B9" s="108" t="s">
        <v>58</v>
      </c>
      <c r="C9" s="108"/>
      <c r="D9" s="108"/>
      <c r="E9" s="108"/>
      <c r="F9" s="35"/>
    </row>
    <row r="10" spans="1:6" ht="21.75" customHeight="1" x14ac:dyDescent="0.35">
      <c r="A10" s="35"/>
      <c r="B10" s="35">
        <v>1</v>
      </c>
      <c r="C10" s="35" t="s">
        <v>53</v>
      </c>
      <c r="D10" s="35" t="s">
        <v>50</v>
      </c>
      <c r="E10" s="35" t="s">
        <v>57</v>
      </c>
      <c r="F10" s="37" t="s">
        <v>59</v>
      </c>
    </row>
    <row r="11" spans="1:6" ht="21.75" customHeight="1" x14ac:dyDescent="0.35">
      <c r="A11" s="35"/>
      <c r="B11" s="35">
        <v>2</v>
      </c>
      <c r="C11" s="35" t="s">
        <v>53</v>
      </c>
      <c r="D11" s="35" t="s">
        <v>50</v>
      </c>
      <c r="E11" s="35" t="s">
        <v>51</v>
      </c>
      <c r="F11" s="37" t="s">
        <v>85</v>
      </c>
    </row>
    <row r="12" spans="1:6" ht="21.75" customHeight="1" x14ac:dyDescent="0.35">
      <c r="A12" s="35"/>
      <c r="B12" s="35">
        <v>3</v>
      </c>
      <c r="C12" s="35" t="s">
        <v>49</v>
      </c>
      <c r="D12" s="35" t="s">
        <v>50</v>
      </c>
      <c r="E12" s="35" t="s">
        <v>57</v>
      </c>
      <c r="F12" s="37" t="s">
        <v>85</v>
      </c>
    </row>
    <row r="13" spans="1:6" ht="23.25" x14ac:dyDescent="0.35">
      <c r="A13" s="35">
        <v>6</v>
      </c>
      <c r="B13" s="108" t="s">
        <v>60</v>
      </c>
      <c r="C13" s="108"/>
      <c r="D13" s="108"/>
      <c r="E13" s="108"/>
      <c r="F13" s="108"/>
    </row>
    <row r="14" spans="1:6" ht="23.25" x14ac:dyDescent="0.35">
      <c r="A14" s="35">
        <v>7</v>
      </c>
      <c r="B14" s="108" t="s">
        <v>61</v>
      </c>
      <c r="C14" s="108"/>
      <c r="D14" s="108"/>
      <c r="E14" s="108"/>
      <c r="F14" s="108"/>
    </row>
    <row r="15" spans="1:6" ht="23.25" x14ac:dyDescent="0.35">
      <c r="A15" s="35">
        <v>8</v>
      </c>
      <c r="B15" s="110" t="s">
        <v>62</v>
      </c>
      <c r="C15" s="111"/>
      <c r="D15" s="111"/>
      <c r="E15" s="111"/>
      <c r="F15" s="112"/>
    </row>
    <row r="16" spans="1:6" ht="23.25" x14ac:dyDescent="0.35">
      <c r="A16" s="35">
        <v>9</v>
      </c>
      <c r="B16" s="108" t="s">
        <v>63</v>
      </c>
      <c r="C16" s="108"/>
      <c r="D16" s="108"/>
      <c r="E16" s="108"/>
      <c r="F16" s="108"/>
    </row>
    <row r="17" spans="1:6" ht="23.25" x14ac:dyDescent="0.35">
      <c r="A17" s="35">
        <v>10</v>
      </c>
      <c r="B17" s="108" t="s">
        <v>64</v>
      </c>
      <c r="C17" s="108"/>
      <c r="D17" s="108"/>
      <c r="E17" s="108"/>
      <c r="F17" s="108"/>
    </row>
    <row r="18" spans="1:6" ht="23.25" x14ac:dyDescent="0.35">
      <c r="A18" s="35">
        <v>11</v>
      </c>
      <c r="B18" s="108" t="s">
        <v>65</v>
      </c>
      <c r="C18" s="108"/>
      <c r="D18" s="108"/>
      <c r="E18" s="108"/>
      <c r="F18" s="108"/>
    </row>
    <row r="19" spans="1:6" ht="23.25" x14ac:dyDescent="0.35">
      <c r="A19" s="35">
        <v>12</v>
      </c>
      <c r="B19" s="108" t="s">
        <v>66</v>
      </c>
      <c r="C19" s="108"/>
      <c r="D19" s="108"/>
      <c r="E19" s="108"/>
      <c r="F19" s="108"/>
    </row>
    <row r="20" spans="1:6" ht="23.25" x14ac:dyDescent="0.35">
      <c r="A20" s="35">
        <v>13</v>
      </c>
      <c r="B20" s="108" t="s">
        <v>67</v>
      </c>
      <c r="C20" s="108"/>
      <c r="D20" s="108"/>
      <c r="E20" s="108"/>
      <c r="F20" s="108"/>
    </row>
    <row r="21" spans="1:6" ht="20.25" customHeight="1" x14ac:dyDescent="0.35">
      <c r="A21" s="35">
        <v>14</v>
      </c>
      <c r="B21" s="108" t="s">
        <v>68</v>
      </c>
      <c r="C21" s="108"/>
      <c r="D21" s="108"/>
      <c r="E21" s="108"/>
      <c r="F21" s="108"/>
    </row>
    <row r="22" spans="1:6" ht="39" customHeight="1" x14ac:dyDescent="0.2">
      <c r="A22"/>
      <c r="B22"/>
      <c r="C22"/>
      <c r="D22"/>
      <c r="E22"/>
      <c r="F22"/>
    </row>
    <row r="23" spans="1:6" ht="20.25" customHeight="1" x14ac:dyDescent="0.2">
      <c r="A23"/>
      <c r="B23"/>
      <c r="C23"/>
      <c r="D23"/>
      <c r="E23"/>
      <c r="F23"/>
    </row>
    <row r="24" spans="1:6" ht="20.25" customHeight="1" x14ac:dyDescent="0.2">
      <c r="A24"/>
      <c r="B24"/>
      <c r="C24"/>
      <c r="D24"/>
      <c r="E24"/>
      <c r="F24"/>
    </row>
    <row r="25" spans="1:6" ht="20.25" customHeight="1" x14ac:dyDescent="0.2">
      <c r="A25"/>
      <c r="B25"/>
      <c r="C25"/>
      <c r="D25"/>
      <c r="E25"/>
      <c r="F25"/>
    </row>
    <row r="26" spans="1:6" x14ac:dyDescent="0.2">
      <c r="A26"/>
      <c r="B26"/>
      <c r="C26"/>
      <c r="D26"/>
      <c r="E26"/>
      <c r="F26"/>
    </row>
    <row r="27" spans="1:6" x14ac:dyDescent="0.2">
      <c r="A27"/>
      <c r="B27"/>
      <c r="C27"/>
      <c r="D27"/>
      <c r="E27"/>
      <c r="F27"/>
    </row>
    <row r="28" spans="1:6" ht="42" customHeight="1" x14ac:dyDescent="0.2">
      <c r="A28"/>
      <c r="B28"/>
      <c r="C28"/>
      <c r="D28"/>
      <c r="E28"/>
      <c r="F28"/>
    </row>
    <row r="29" spans="1:6" x14ac:dyDescent="0.2">
      <c r="A29"/>
      <c r="B29"/>
      <c r="C29"/>
      <c r="D29"/>
      <c r="E29"/>
      <c r="F29"/>
    </row>
    <row r="30" spans="1:6" x14ac:dyDescent="0.2">
      <c r="A30"/>
      <c r="B30"/>
      <c r="C30"/>
      <c r="D30"/>
      <c r="E30"/>
      <c r="F30"/>
    </row>
    <row r="31" spans="1:6" x14ac:dyDescent="0.2">
      <c r="A31"/>
      <c r="B31"/>
      <c r="C31"/>
      <c r="D31"/>
      <c r="E31"/>
      <c r="F31"/>
    </row>
    <row r="32" spans="1:6" ht="39.75" customHeight="1" x14ac:dyDescent="0.2">
      <c r="A32"/>
      <c r="B32"/>
      <c r="C32"/>
      <c r="D32"/>
      <c r="E32"/>
      <c r="F32"/>
    </row>
    <row r="33" customFormat="1" ht="33" customHeigh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</sheetData>
  <mergeCells count="15">
    <mergeCell ref="B19:F19"/>
    <mergeCell ref="B20:F20"/>
    <mergeCell ref="B21:F21"/>
    <mergeCell ref="B13:F13"/>
    <mergeCell ref="B14:F14"/>
    <mergeCell ref="B15:F15"/>
    <mergeCell ref="B16:F16"/>
    <mergeCell ref="B17:F17"/>
    <mergeCell ref="B18:F18"/>
    <mergeCell ref="B9:E9"/>
    <mergeCell ref="A1:F1"/>
    <mergeCell ref="B2:F2"/>
    <mergeCell ref="B3:F3"/>
    <mergeCell ref="B4:F4"/>
    <mergeCell ref="B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9"/>
  <sheetViews>
    <sheetView tabSelected="1" zoomScale="85" zoomScaleNormal="85" workbookViewId="0">
      <selection activeCell="I10" sqref="I10"/>
    </sheetView>
  </sheetViews>
  <sheetFormatPr defaultRowHeight="12.75" x14ac:dyDescent="0.2"/>
  <cols>
    <col min="1" max="1" width="5.28515625" bestFit="1" customWidth="1"/>
    <col min="3" max="3" width="39.28515625" customWidth="1"/>
    <col min="5" max="5" width="31.85546875" customWidth="1"/>
    <col min="6" max="6" width="63.28515625" customWidth="1"/>
  </cols>
  <sheetData>
    <row r="1" spans="1:6" ht="26.25" x14ac:dyDescent="0.4">
      <c r="A1" s="109" t="s">
        <v>136</v>
      </c>
      <c r="B1" s="109"/>
      <c r="C1" s="109"/>
      <c r="D1" s="109"/>
      <c r="E1" s="109"/>
      <c r="F1" s="109"/>
    </row>
    <row r="2" spans="1:6" ht="23.25" x14ac:dyDescent="0.35">
      <c r="A2" s="28">
        <v>1</v>
      </c>
      <c r="B2" s="113" t="s">
        <v>137</v>
      </c>
      <c r="C2" s="114"/>
      <c r="D2" s="114"/>
      <c r="E2" s="114"/>
      <c r="F2" s="115"/>
    </row>
    <row r="3" spans="1:6" ht="48" customHeight="1" x14ac:dyDescent="0.35">
      <c r="A3" s="28">
        <v>2</v>
      </c>
      <c r="B3" s="113" t="s">
        <v>144</v>
      </c>
      <c r="C3" s="114"/>
      <c r="D3" s="114"/>
      <c r="E3" s="114"/>
      <c r="F3" s="115"/>
    </row>
    <row r="4" spans="1:6" ht="45.75" customHeight="1" x14ac:dyDescent="0.35">
      <c r="A4" s="28">
        <v>3</v>
      </c>
      <c r="B4" s="113" t="s">
        <v>92</v>
      </c>
      <c r="C4" s="114"/>
      <c r="D4" s="114"/>
      <c r="E4" s="114"/>
      <c r="F4" s="115"/>
    </row>
    <row r="5" spans="1:6" ht="23.25" x14ac:dyDescent="0.35">
      <c r="A5" s="28">
        <v>4</v>
      </c>
      <c r="B5" s="113" t="s">
        <v>88</v>
      </c>
      <c r="C5" s="114"/>
      <c r="D5" s="114"/>
      <c r="E5" s="114"/>
      <c r="F5" s="115"/>
    </row>
    <row r="6" spans="1:6" ht="46.5" customHeight="1" x14ac:dyDescent="0.35">
      <c r="A6" s="28">
        <v>5</v>
      </c>
      <c r="B6" s="116" t="s">
        <v>141</v>
      </c>
      <c r="C6" s="116"/>
      <c r="D6" s="116"/>
      <c r="E6" s="116"/>
      <c r="F6" s="116"/>
    </row>
    <row r="7" spans="1:6" ht="23.25" customHeight="1" x14ac:dyDescent="0.35">
      <c r="A7" s="28">
        <v>6</v>
      </c>
      <c r="B7" s="113" t="s">
        <v>87</v>
      </c>
      <c r="C7" s="114"/>
      <c r="D7" s="114"/>
      <c r="E7" s="114"/>
      <c r="F7" s="115"/>
    </row>
    <row r="8" spans="1:6" ht="44.25" customHeight="1" x14ac:dyDescent="0.35">
      <c r="A8" s="28">
        <v>7</v>
      </c>
      <c r="B8" s="113" t="s">
        <v>142</v>
      </c>
      <c r="C8" s="114"/>
      <c r="D8" s="114"/>
      <c r="E8" s="114"/>
      <c r="F8" s="115"/>
    </row>
    <row r="9" spans="1:6" ht="47.25" customHeight="1" x14ac:dyDescent="0.35">
      <c r="A9" s="28">
        <v>8</v>
      </c>
      <c r="B9" s="117" t="s">
        <v>143</v>
      </c>
      <c r="C9" s="118"/>
      <c r="D9" s="118"/>
      <c r="E9" s="118"/>
      <c r="F9" s="119"/>
    </row>
    <row r="10" spans="1:6" ht="23.25" customHeight="1" x14ac:dyDescent="0.35">
      <c r="A10" s="28">
        <v>9</v>
      </c>
      <c r="B10" s="113" t="s">
        <v>129</v>
      </c>
      <c r="C10" s="114"/>
      <c r="D10" s="114"/>
      <c r="E10" s="114"/>
      <c r="F10" s="115"/>
    </row>
    <row r="11" spans="1:6" ht="67.5" customHeight="1" x14ac:dyDescent="0.35">
      <c r="A11" s="28">
        <v>10</v>
      </c>
      <c r="B11" s="113" t="s">
        <v>133</v>
      </c>
      <c r="C11" s="114"/>
      <c r="D11" s="114"/>
      <c r="E11" s="114"/>
      <c r="F11" s="115"/>
    </row>
    <row r="12" spans="1:6" ht="23.25" x14ac:dyDescent="0.35">
      <c r="A12" s="28">
        <v>11</v>
      </c>
      <c r="B12" s="113" t="s">
        <v>69</v>
      </c>
      <c r="C12" s="114"/>
      <c r="D12" s="114"/>
      <c r="E12" s="114"/>
      <c r="F12" s="115"/>
    </row>
    <row r="13" spans="1:6" ht="27" customHeight="1" x14ac:dyDescent="0.35">
      <c r="A13" s="28">
        <v>12</v>
      </c>
      <c r="B13" s="113" t="s">
        <v>90</v>
      </c>
      <c r="C13" s="114"/>
      <c r="D13" s="114"/>
      <c r="E13" s="114"/>
      <c r="F13" s="115"/>
    </row>
    <row r="14" spans="1:6" ht="51.75" customHeight="1" x14ac:dyDescent="0.35">
      <c r="A14" s="28">
        <v>13</v>
      </c>
      <c r="B14" s="113" t="s">
        <v>130</v>
      </c>
      <c r="C14" s="114"/>
      <c r="D14" s="114"/>
      <c r="E14" s="114"/>
      <c r="F14" s="115"/>
    </row>
    <row r="15" spans="1:6" ht="23.25" x14ac:dyDescent="0.35">
      <c r="A15" s="28">
        <v>14</v>
      </c>
      <c r="B15" s="113" t="s">
        <v>131</v>
      </c>
      <c r="C15" s="114"/>
      <c r="D15" s="114"/>
      <c r="E15" s="114"/>
      <c r="F15" s="115"/>
    </row>
    <row r="16" spans="1:6" ht="48" customHeight="1" x14ac:dyDescent="0.35">
      <c r="A16" s="28">
        <v>15</v>
      </c>
      <c r="B16" s="113" t="s">
        <v>132</v>
      </c>
      <c r="C16" s="114"/>
      <c r="D16" s="114"/>
      <c r="E16" s="114"/>
      <c r="F16" s="115"/>
    </row>
    <row r="17" spans="1:6" ht="23.25" x14ac:dyDescent="0.35">
      <c r="A17" s="28">
        <v>16</v>
      </c>
      <c r="B17" s="113" t="s">
        <v>134</v>
      </c>
      <c r="C17" s="114"/>
      <c r="D17" s="114"/>
      <c r="E17" s="114"/>
      <c r="F17" s="115"/>
    </row>
    <row r="18" spans="1:6" ht="23.25" x14ac:dyDescent="0.35">
      <c r="A18" s="28">
        <v>17</v>
      </c>
      <c r="B18" s="113" t="s">
        <v>91</v>
      </c>
      <c r="C18" s="114"/>
      <c r="D18" s="114"/>
      <c r="E18" s="114"/>
      <c r="F18" s="115"/>
    </row>
    <row r="19" spans="1:6" ht="44.25" customHeight="1" x14ac:dyDescent="0.35">
      <c r="A19" s="28">
        <v>18</v>
      </c>
      <c r="B19" s="113" t="s">
        <v>138</v>
      </c>
      <c r="C19" s="114"/>
      <c r="D19" s="114"/>
      <c r="E19" s="114"/>
      <c r="F19" s="115"/>
    </row>
  </sheetData>
  <mergeCells count="19">
    <mergeCell ref="B13:F13"/>
    <mergeCell ref="B19:F19"/>
    <mergeCell ref="B17:F17"/>
    <mergeCell ref="B18:F18"/>
    <mergeCell ref="B14:F14"/>
    <mergeCell ref="B15:F15"/>
    <mergeCell ref="B16:F16"/>
    <mergeCell ref="B10:F10"/>
    <mergeCell ref="B11:F11"/>
    <mergeCell ref="B12:F12"/>
    <mergeCell ref="A1:F1"/>
    <mergeCell ref="B6:F6"/>
    <mergeCell ref="B7:F7"/>
    <mergeCell ref="B4:F4"/>
    <mergeCell ref="B2:F2"/>
    <mergeCell ref="B5:F5"/>
    <mergeCell ref="B3:F3"/>
    <mergeCell ref="B8:F8"/>
    <mergeCell ref="B9:F9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workbookViewId="0">
      <selection activeCell="B8" sqref="B8"/>
    </sheetView>
  </sheetViews>
  <sheetFormatPr defaultColWidth="9.140625" defaultRowHeight="20.25" x14ac:dyDescent="0.3"/>
  <cols>
    <col min="1" max="1" width="4.7109375" style="11" bestFit="1" customWidth="1"/>
    <col min="2" max="2" width="18.140625" style="1" customWidth="1"/>
    <col min="3" max="3" width="4.42578125" style="1" customWidth="1"/>
    <col min="4" max="4" width="4.7109375" style="1" bestFit="1" customWidth="1"/>
    <col min="5" max="5" width="20.42578125" style="1" customWidth="1"/>
    <col min="6" max="6" width="5" style="1" customWidth="1"/>
    <col min="7" max="7" width="36" style="1" bestFit="1" customWidth="1"/>
    <col min="8" max="8" width="19.28515625" style="1" bestFit="1" customWidth="1"/>
    <col min="9" max="9" width="22.140625" style="1" customWidth="1"/>
    <col min="10" max="10" width="7.42578125" style="1" bestFit="1" customWidth="1"/>
    <col min="11" max="11" width="21.5703125" style="1" customWidth="1"/>
    <col min="12" max="12" width="21.85546875" style="1" bestFit="1" customWidth="1"/>
    <col min="13" max="16384" width="9.140625" style="1"/>
  </cols>
  <sheetData>
    <row r="1" spans="1:8" x14ac:dyDescent="0.3">
      <c r="A1" s="2"/>
      <c r="B1" s="8" t="s">
        <v>8</v>
      </c>
      <c r="C1" s="34"/>
      <c r="D1" s="8"/>
      <c r="E1" s="8" t="s">
        <v>9</v>
      </c>
      <c r="F1" s="32"/>
      <c r="G1" s="120" t="s">
        <v>21</v>
      </c>
      <c r="H1" s="120"/>
    </row>
    <row r="2" spans="1:8" x14ac:dyDescent="0.3">
      <c r="A2" s="2">
        <v>1</v>
      </c>
      <c r="B2" s="27" t="s">
        <v>0</v>
      </c>
      <c r="C2" s="32"/>
      <c r="D2" s="6">
        <v>1</v>
      </c>
      <c r="E2" s="31" t="s">
        <v>41</v>
      </c>
      <c r="F2" s="32"/>
      <c r="G2" s="8" t="s">
        <v>26</v>
      </c>
      <c r="H2" s="9">
        <v>44598</v>
      </c>
    </row>
    <row r="3" spans="1:8" x14ac:dyDescent="0.3">
      <c r="A3" s="2">
        <v>2</v>
      </c>
      <c r="B3" s="27" t="s">
        <v>25</v>
      </c>
      <c r="C3" s="32"/>
      <c r="D3" s="6">
        <v>2</v>
      </c>
      <c r="E3" s="31" t="s">
        <v>2</v>
      </c>
      <c r="F3" s="32"/>
      <c r="G3" s="8" t="s">
        <v>27</v>
      </c>
      <c r="H3" s="9">
        <f>H2+(30*7)</f>
        <v>44808</v>
      </c>
    </row>
    <row r="4" spans="1:8" x14ac:dyDescent="0.3">
      <c r="A4" s="2">
        <v>3</v>
      </c>
      <c r="B4" s="27" t="s">
        <v>73</v>
      </c>
      <c r="C4" s="32"/>
      <c r="D4" s="6">
        <v>3</v>
      </c>
      <c r="E4" s="31" t="s">
        <v>6</v>
      </c>
      <c r="F4" s="32"/>
      <c r="G4" s="8" t="s">
        <v>28</v>
      </c>
      <c r="H4" s="13">
        <f>(H3-H2)/7</f>
        <v>30</v>
      </c>
    </row>
    <row r="5" spans="1:8" x14ac:dyDescent="0.3">
      <c r="A5" s="2">
        <v>4</v>
      </c>
      <c r="B5" s="27" t="s">
        <v>70</v>
      </c>
      <c r="C5" s="32"/>
      <c r="D5" s="6">
        <v>4</v>
      </c>
      <c r="E5" s="31" t="s">
        <v>4</v>
      </c>
      <c r="F5" s="32"/>
      <c r="G5" s="8"/>
      <c r="H5" s="9"/>
    </row>
    <row r="6" spans="1:8" x14ac:dyDescent="0.3">
      <c r="A6" s="2">
        <v>5</v>
      </c>
      <c r="B6" s="27" t="s">
        <v>40</v>
      </c>
      <c r="C6" s="32"/>
      <c r="D6" s="6">
        <v>5</v>
      </c>
      <c r="E6" s="31" t="s">
        <v>10</v>
      </c>
      <c r="F6" s="32"/>
      <c r="G6" s="8"/>
      <c r="H6" s="9"/>
    </row>
    <row r="7" spans="1:8" x14ac:dyDescent="0.3">
      <c r="A7" s="2">
        <v>6</v>
      </c>
      <c r="B7" s="27" t="s">
        <v>112</v>
      </c>
      <c r="C7" s="32"/>
      <c r="D7" s="6">
        <v>6</v>
      </c>
      <c r="E7" s="31" t="s">
        <v>72</v>
      </c>
      <c r="F7" s="32"/>
      <c r="G7" s="7"/>
      <c r="H7" s="7"/>
    </row>
    <row r="8" spans="1:8" x14ac:dyDescent="0.3">
      <c r="A8" s="2">
        <v>7</v>
      </c>
      <c r="B8" s="27" t="s">
        <v>71</v>
      </c>
      <c r="C8" s="32"/>
      <c r="D8" s="6">
        <v>7</v>
      </c>
      <c r="E8" s="31" t="s">
        <v>1</v>
      </c>
      <c r="F8" s="32"/>
      <c r="G8" s="7"/>
      <c r="H8" s="7"/>
    </row>
    <row r="9" spans="1:8" x14ac:dyDescent="0.3">
      <c r="A9" s="2">
        <v>8</v>
      </c>
      <c r="B9" s="27" t="s">
        <v>3</v>
      </c>
      <c r="C9" s="32"/>
      <c r="D9" s="6">
        <v>8</v>
      </c>
      <c r="E9" s="31" t="s">
        <v>5</v>
      </c>
      <c r="F9" s="32"/>
      <c r="G9" s="7"/>
      <c r="H9" s="7"/>
    </row>
    <row r="10" spans="1:8" x14ac:dyDescent="0.3">
      <c r="A10" s="2">
        <v>9</v>
      </c>
      <c r="B10" s="27" t="s">
        <v>24</v>
      </c>
      <c r="C10" s="33"/>
      <c r="D10" s="6">
        <v>9</v>
      </c>
      <c r="E10" s="31" t="s">
        <v>7</v>
      </c>
      <c r="F10" s="33"/>
    </row>
    <row r="11" spans="1:8" x14ac:dyDescent="0.3">
      <c r="A11" s="2">
        <v>10</v>
      </c>
      <c r="B11" s="27" t="s">
        <v>42</v>
      </c>
      <c r="C11" s="33"/>
      <c r="D11" s="6">
        <v>10</v>
      </c>
      <c r="E11" s="31" t="s">
        <v>74</v>
      </c>
      <c r="F11" s="33"/>
    </row>
  </sheetData>
  <mergeCells count="1">
    <mergeCell ref="G1:H1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E660"/>
  <sheetViews>
    <sheetView zoomScale="80" zoomScaleNormal="80" workbookViewId="0">
      <pane ySplit="4" topLeftCell="A5" activePane="bottomLeft" state="frozen"/>
      <selection pane="bottomLeft" activeCell="K5" sqref="K5"/>
    </sheetView>
  </sheetViews>
  <sheetFormatPr defaultRowHeight="12.75" x14ac:dyDescent="0.2"/>
  <cols>
    <col min="1" max="1" width="18.5703125" bestFit="1" customWidth="1"/>
    <col min="2" max="2" width="7.140625" customWidth="1"/>
    <col min="3" max="3" width="21.28515625" bestFit="1" customWidth="1"/>
    <col min="4" max="4" width="16.7109375" bestFit="1" customWidth="1"/>
    <col min="5" max="5" width="6.5703125" style="4" bestFit="1" customWidth="1"/>
    <col min="6" max="6" width="16.7109375" bestFit="1" customWidth="1"/>
    <col min="7" max="7" width="21.28515625" bestFit="1" customWidth="1"/>
    <col min="8" max="8" width="6" style="4" bestFit="1" customWidth="1"/>
    <col min="9" max="9" width="17.140625" style="4" bestFit="1" customWidth="1"/>
    <col min="10" max="11" width="17.140625" customWidth="1"/>
    <col min="12" max="12" width="7.140625" customWidth="1"/>
    <col min="13" max="13" width="14.42578125" bestFit="1" customWidth="1"/>
    <col min="14" max="15" width="5.5703125" style="20" customWidth="1"/>
    <col min="16" max="16" width="7" customWidth="1"/>
    <col min="17" max="17" width="6.42578125" customWidth="1"/>
    <col min="18" max="18" width="14.140625" customWidth="1"/>
    <col min="20" max="20" width="4.7109375" bestFit="1" customWidth="1"/>
    <col min="21" max="21" width="14.5703125" bestFit="1" customWidth="1"/>
    <col min="22" max="22" width="10.42578125" bestFit="1" customWidth="1"/>
    <col min="23" max="23" width="7.5703125" bestFit="1" customWidth="1"/>
    <col min="24" max="24" width="7.140625" bestFit="1" customWidth="1"/>
    <col min="25" max="25" width="9.7109375" hidden="1" customWidth="1"/>
    <col min="26" max="26" width="8.85546875" customWidth="1"/>
    <col min="27" max="27" width="8.7109375" customWidth="1"/>
    <col min="28" max="28" width="8.28515625" customWidth="1"/>
    <col min="29" max="29" width="0" hidden="1" customWidth="1"/>
    <col min="30" max="30" width="9.7109375" customWidth="1"/>
    <col min="31" max="31" width="23.140625" bestFit="1" customWidth="1"/>
  </cols>
  <sheetData>
    <row r="1" spans="1:31" ht="36" customHeight="1" thickBot="1" x14ac:dyDescent="0.45">
      <c r="A1" s="102" t="s">
        <v>139</v>
      </c>
      <c r="B1" s="100"/>
      <c r="C1" s="103">
        <v>46271</v>
      </c>
      <c r="D1" s="100"/>
      <c r="E1" s="101"/>
      <c r="F1" s="102" t="s">
        <v>140</v>
      </c>
      <c r="G1" s="103">
        <v>46348</v>
      </c>
      <c r="U1" s="121" t="s">
        <v>135</v>
      </c>
      <c r="V1" s="121"/>
      <c r="W1" s="121"/>
      <c r="X1" s="121"/>
      <c r="Y1" s="121"/>
      <c r="Z1" s="121"/>
      <c r="AA1" s="121"/>
    </row>
    <row r="2" spans="1:31" ht="20.25" x14ac:dyDescent="0.3">
      <c r="A2" s="5"/>
      <c r="B2" s="122"/>
      <c r="C2" s="122"/>
      <c r="D2" s="12"/>
      <c r="E2" s="3"/>
      <c r="F2" s="2"/>
      <c r="G2" s="2"/>
      <c r="H2" s="3"/>
      <c r="I2" s="3"/>
      <c r="J2" s="2"/>
      <c r="K2" s="104"/>
      <c r="L2" s="11"/>
      <c r="T2" s="65"/>
      <c r="U2" s="66" t="s">
        <v>43</v>
      </c>
      <c r="V2" s="66" t="s">
        <v>14</v>
      </c>
      <c r="W2" s="66" t="s">
        <v>15</v>
      </c>
      <c r="X2" s="66" t="s">
        <v>16</v>
      </c>
      <c r="Y2" s="66" t="s">
        <v>17</v>
      </c>
      <c r="Z2" s="66" t="s">
        <v>20</v>
      </c>
      <c r="AA2" s="66" t="s">
        <v>19</v>
      </c>
      <c r="AB2" s="66" t="s">
        <v>18</v>
      </c>
      <c r="AC2" s="67" t="s">
        <v>39</v>
      </c>
      <c r="AD2" s="68" t="s">
        <v>99</v>
      </c>
      <c r="AE2" s="63" t="s">
        <v>114</v>
      </c>
    </row>
    <row r="3" spans="1:31" ht="20.25" x14ac:dyDescent="0.3">
      <c r="A3" s="5"/>
      <c r="B3" s="12"/>
      <c r="C3" s="123" t="s">
        <v>29</v>
      </c>
      <c r="D3" s="124"/>
      <c r="E3" s="3"/>
      <c r="F3" s="123" t="s">
        <v>30</v>
      </c>
      <c r="G3" s="124"/>
      <c r="H3" s="3"/>
      <c r="I3" s="123" t="s">
        <v>13</v>
      </c>
      <c r="J3" s="124"/>
      <c r="K3" s="105"/>
      <c r="L3" s="57"/>
      <c r="M3" t="s">
        <v>44</v>
      </c>
      <c r="N3" s="19" t="s">
        <v>23</v>
      </c>
      <c r="O3" s="19" t="s">
        <v>33</v>
      </c>
      <c r="P3" s="19" t="s">
        <v>35</v>
      </c>
      <c r="Q3" s="19" t="s">
        <v>36</v>
      </c>
      <c r="R3" s="19" t="s">
        <v>37</v>
      </c>
      <c r="T3" s="83">
        <v>1</v>
      </c>
      <c r="U3" s="30" t="s">
        <v>125</v>
      </c>
      <c r="V3" s="84">
        <f t="shared" ref="V3:V27" si="0">SUMPRODUCT(--($E$5:$E$696&gt;0),--($C$5:$C$696=$U3))+SUMPRODUCT(--($H$5:$H$696&gt;0),--($F$5:$F$696=$U3))+SUMPRODUCT(--($H$5:$H$696&gt;0),--($D$5:$D$696=$U3))+SUMPRODUCT(--($H$5:$H$696&gt;0),--($G$5:$G$696=$U3))</f>
        <v>0</v>
      </c>
      <c r="W3" s="85">
        <f t="shared" ref="W3:W27" si="1">COUNTIF($J$5:$J$696,$U3)+COUNTIF($I$5:$I$696,$U3)</f>
        <v>0</v>
      </c>
      <c r="X3" s="85">
        <f t="shared" ref="X3:X27" si="2">V3-W3</f>
        <v>0</v>
      </c>
      <c r="Y3" s="85">
        <f t="shared" ref="Y3:Y27" si="3">100 + SUMIF($I$5:$I$696,$U3,$O$5:$O$696)+ SUMIF($J$5:$J$696,$U3,$O$5:$O$696)</f>
        <v>100</v>
      </c>
      <c r="Z3" s="85">
        <f t="shared" ref="Z3:Z27" si="4">SUMIF($C$5:$C$696,$U3,$E$5:$E$696)+SUMIF($F$5:$F$696,$U3,$H$5:$H$696)+SUMIF($D$5:$D$696,$U3,$E$5:$E$696)+SUMIF($G$5:$G$696,$U3,$H$5:$H$696)</f>
        <v>0</v>
      </c>
      <c r="AA3" s="85">
        <f t="shared" ref="AA3:AA27" si="5">SUMIF($C$5:$C$696,$U3,$H$5:$H$696)+SUMIF($F$5:$F$696,$U3,$E$5:$E$696)+SUMIF($D$5:$D$696,$U3,$H$5:$H$696)+SUMIF($G$5:$G$696,$U3,$E$5:$E$696)</f>
        <v>0</v>
      </c>
      <c r="AB3" s="85">
        <f t="shared" ref="AB3:AB27" si="6">Z3-AA3</f>
        <v>0</v>
      </c>
      <c r="AC3" s="86"/>
      <c r="AD3" s="87" t="str">
        <f t="shared" ref="AD3:AD27" si="7">IFERROR($W3/$V3,"")</f>
        <v/>
      </c>
      <c r="AE3" s="48">
        <f t="shared" ref="AE3:AE35" si="8">SUM(Z3:AA3)</f>
        <v>0</v>
      </c>
    </row>
    <row r="4" spans="1:31" ht="20.25" x14ac:dyDescent="0.3">
      <c r="A4" s="10" t="s">
        <v>22</v>
      </c>
      <c r="B4" s="10" t="s">
        <v>23</v>
      </c>
      <c r="C4" s="10" t="s">
        <v>11</v>
      </c>
      <c r="D4" s="10" t="s">
        <v>12</v>
      </c>
      <c r="E4" s="12" t="s">
        <v>38</v>
      </c>
      <c r="F4" s="10" t="s">
        <v>31</v>
      </c>
      <c r="G4" s="10" t="s">
        <v>32</v>
      </c>
      <c r="H4" s="12" t="s">
        <v>38</v>
      </c>
      <c r="I4" s="12" t="s">
        <v>11</v>
      </c>
      <c r="J4" s="10" t="s">
        <v>12</v>
      </c>
      <c r="K4" s="10" t="s">
        <v>145</v>
      </c>
      <c r="L4" s="10" t="s">
        <v>123</v>
      </c>
      <c r="M4" s="5"/>
      <c r="N4" s="25"/>
      <c r="O4" s="25"/>
      <c r="P4" s="5"/>
      <c r="Q4" s="5"/>
      <c r="R4" s="5"/>
      <c r="T4" s="88">
        <v>2</v>
      </c>
      <c r="U4" s="89" t="s">
        <v>124</v>
      </c>
      <c r="V4" s="90">
        <f t="shared" si="0"/>
        <v>0</v>
      </c>
      <c r="W4" s="91">
        <f t="shared" si="1"/>
        <v>0</v>
      </c>
      <c r="X4" s="91">
        <f t="shared" si="2"/>
        <v>0</v>
      </c>
      <c r="Y4" s="91">
        <f t="shared" si="3"/>
        <v>100</v>
      </c>
      <c r="Z4" s="91">
        <f t="shared" si="4"/>
        <v>0</v>
      </c>
      <c r="AA4" s="91">
        <f t="shared" si="5"/>
        <v>0</v>
      </c>
      <c r="AB4" s="91">
        <f t="shared" si="6"/>
        <v>0</v>
      </c>
      <c r="AC4" s="92"/>
      <c r="AD4" s="93" t="str">
        <f t="shared" si="7"/>
        <v/>
      </c>
      <c r="AE4" s="48">
        <f t="shared" si="8"/>
        <v>0</v>
      </c>
    </row>
    <row r="5" spans="1:31" ht="20.25" x14ac:dyDescent="0.3">
      <c r="A5" s="14">
        <v>46271</v>
      </c>
      <c r="B5" s="15">
        <v>1</v>
      </c>
      <c r="C5" s="15"/>
      <c r="D5" s="15"/>
      <c r="E5" s="16"/>
      <c r="F5" s="15"/>
      <c r="G5" s="15"/>
      <c r="H5" s="16"/>
      <c r="I5" s="15" t="str">
        <f t="shared" ref="I5:I68" si="9">IF(ISBLANK($E5)," ",IF($E5&gt;$H5,$C5,$F5))</f>
        <v xml:space="preserve"> </v>
      </c>
      <c r="J5" s="15" t="str">
        <f t="shared" ref="J5:J68" si="10">IF(ISBLANK($E5)," ",IF($E5&gt;$H5,$D5,$G5))</f>
        <v xml:space="preserve"> </v>
      </c>
      <c r="K5" s="15"/>
      <c r="L5" s="15">
        <f>E5-H5</f>
        <v>0</v>
      </c>
      <c r="M5" s="5" t="str">
        <f t="shared" ref="M5:M68" si="11">IF(ISBLANK($E5),"",VLOOKUP($I5,PLAYERS_IDS,2,FALSE)*VLOOKUP($J5,PLAYERS_IDS,2,FALSE))</f>
        <v/>
      </c>
      <c r="N5" s="25" t="str">
        <f>IF(ISBLANK($E5)," ", COUNTIF($M$4:$M5,$M5))</f>
        <v xml:space="preserve"> </v>
      </c>
      <c r="O5" s="25" t="str">
        <f t="shared" ref="O5:O68" si="12">IF(N5 =" ", " ", IF(N5=1,15,(IF(N5=2,15,(IF(N5=3,15,15))))))</f>
        <v xml:space="preserve"> </v>
      </c>
      <c r="P5" s="5" t="str">
        <f t="shared" ref="P5:P68" si="13">IF(ISBLANK($F5),"",VLOOKUP($C5,PLAYERS_IDS,2,FALSE)*VLOOKUP($D5,PLAYERS_IDS,2,FALSE))</f>
        <v/>
      </c>
      <c r="Q5" s="5" t="str">
        <f t="shared" ref="Q5:Q68" si="14">IF(ISBLANK($F5), "",VLOOKUP($F5,PLAYERS_IDS,2,FALSE)*VLOOKUP($G5,PLAYERS_IDS,2,FALSE))</f>
        <v/>
      </c>
      <c r="R5" s="5" t="str">
        <f t="shared" ref="R5:R68" si="15">IFERROR((P5*100000)+Q5,"")</f>
        <v/>
      </c>
      <c r="T5" s="94">
        <v>3</v>
      </c>
      <c r="U5" s="95" t="s">
        <v>70</v>
      </c>
      <c r="V5" s="96">
        <f t="shared" si="0"/>
        <v>0</v>
      </c>
      <c r="W5" s="97">
        <f t="shared" si="1"/>
        <v>0</v>
      </c>
      <c r="X5" s="97">
        <f t="shared" si="2"/>
        <v>0</v>
      </c>
      <c r="Y5" s="97">
        <f t="shared" si="3"/>
        <v>100</v>
      </c>
      <c r="Z5" s="97">
        <f t="shared" si="4"/>
        <v>0</v>
      </c>
      <c r="AA5" s="97">
        <f t="shared" si="5"/>
        <v>0</v>
      </c>
      <c r="AB5" s="97">
        <f t="shared" si="6"/>
        <v>0</v>
      </c>
      <c r="AC5" s="98"/>
      <c r="AD5" s="99" t="str">
        <f t="shared" si="7"/>
        <v/>
      </c>
      <c r="AE5" s="48">
        <f t="shared" si="8"/>
        <v>0</v>
      </c>
    </row>
    <row r="6" spans="1:31" ht="20.25" x14ac:dyDescent="0.3">
      <c r="A6" s="14">
        <v>46271</v>
      </c>
      <c r="B6" s="15">
        <v>2</v>
      </c>
      <c r="C6" s="15"/>
      <c r="D6" s="15"/>
      <c r="E6" s="16"/>
      <c r="F6" s="15"/>
      <c r="G6" s="15"/>
      <c r="H6" s="16"/>
      <c r="I6" s="15" t="str">
        <f t="shared" si="9"/>
        <v xml:space="preserve"> </v>
      </c>
      <c r="J6" s="15" t="str">
        <f t="shared" si="10"/>
        <v xml:space="preserve"> </v>
      </c>
      <c r="K6" s="15"/>
      <c r="L6" s="15">
        <f t="shared" ref="L6:L69" si="16">E6-H6</f>
        <v>0</v>
      </c>
      <c r="M6" s="5" t="str">
        <f t="shared" si="11"/>
        <v/>
      </c>
      <c r="N6" s="25" t="str">
        <f>IF(ISBLANK($E6)," ", COUNTIF($M$4:$M6,$M6))</f>
        <v xml:space="preserve"> </v>
      </c>
      <c r="O6" s="25" t="str">
        <f t="shared" si="12"/>
        <v xml:space="preserve"> </v>
      </c>
      <c r="P6" s="5" t="str">
        <f t="shared" si="13"/>
        <v/>
      </c>
      <c r="Q6" s="5" t="str">
        <f t="shared" si="14"/>
        <v/>
      </c>
      <c r="R6" s="5" t="str">
        <f t="shared" si="15"/>
        <v/>
      </c>
      <c r="T6" s="69">
        <v>4</v>
      </c>
      <c r="U6" s="6" t="s">
        <v>97</v>
      </c>
      <c r="V6" s="12">
        <f t="shared" si="0"/>
        <v>0</v>
      </c>
      <c r="W6" s="3">
        <f t="shared" si="1"/>
        <v>0</v>
      </c>
      <c r="X6" s="3">
        <f t="shared" si="2"/>
        <v>0</v>
      </c>
      <c r="Y6" s="3">
        <f t="shared" si="3"/>
        <v>100</v>
      </c>
      <c r="Z6" s="3">
        <f t="shared" si="4"/>
        <v>0</v>
      </c>
      <c r="AA6" s="3">
        <f t="shared" si="5"/>
        <v>0</v>
      </c>
      <c r="AB6" s="3">
        <f t="shared" si="6"/>
        <v>0</v>
      </c>
      <c r="AC6" s="39"/>
      <c r="AD6" s="71" t="str">
        <f t="shared" si="7"/>
        <v/>
      </c>
      <c r="AE6" s="48">
        <f t="shared" si="8"/>
        <v>0</v>
      </c>
    </row>
    <row r="7" spans="1:31" ht="20.25" x14ac:dyDescent="0.3">
      <c r="A7" s="14">
        <v>46271</v>
      </c>
      <c r="B7" s="15">
        <v>3</v>
      </c>
      <c r="C7" s="15"/>
      <c r="D7" s="15"/>
      <c r="E7" s="16"/>
      <c r="F7" s="15"/>
      <c r="G7" s="15"/>
      <c r="H7" s="16"/>
      <c r="I7" s="15" t="str">
        <f t="shared" si="9"/>
        <v xml:space="preserve"> </v>
      </c>
      <c r="J7" s="15" t="str">
        <f t="shared" si="10"/>
        <v xml:space="preserve"> </v>
      </c>
      <c r="K7" s="15"/>
      <c r="L7" s="15">
        <f t="shared" si="16"/>
        <v>0</v>
      </c>
      <c r="M7" s="5" t="str">
        <f t="shared" si="11"/>
        <v/>
      </c>
      <c r="N7" s="25" t="str">
        <f>IF(ISBLANK($E7)," ", COUNTIF($M$4:$M7,$M7))</f>
        <v xml:space="preserve"> </v>
      </c>
      <c r="O7" s="25" t="str">
        <f t="shared" si="12"/>
        <v xml:space="preserve"> </v>
      </c>
      <c r="P7" s="5" t="str">
        <f t="shared" si="13"/>
        <v/>
      </c>
      <c r="Q7" s="5" t="str">
        <f t="shared" si="14"/>
        <v/>
      </c>
      <c r="R7" s="5" t="str">
        <f t="shared" si="15"/>
        <v/>
      </c>
      <c r="T7" s="69">
        <v>5</v>
      </c>
      <c r="U7" s="6" t="s">
        <v>110</v>
      </c>
      <c r="V7" s="3">
        <f t="shared" si="0"/>
        <v>0</v>
      </c>
      <c r="W7" s="3">
        <f t="shared" si="1"/>
        <v>0</v>
      </c>
      <c r="X7" s="3">
        <f t="shared" si="2"/>
        <v>0</v>
      </c>
      <c r="Y7" s="3">
        <f t="shared" si="3"/>
        <v>100</v>
      </c>
      <c r="Z7" s="3">
        <f t="shared" si="4"/>
        <v>0</v>
      </c>
      <c r="AA7" s="3">
        <f t="shared" si="5"/>
        <v>0</v>
      </c>
      <c r="AB7" s="3">
        <f t="shared" si="6"/>
        <v>0</v>
      </c>
      <c r="AC7" s="40"/>
      <c r="AD7" s="70" t="str">
        <f t="shared" si="7"/>
        <v/>
      </c>
      <c r="AE7" s="48">
        <f t="shared" si="8"/>
        <v>0</v>
      </c>
    </row>
    <row r="8" spans="1:31" ht="20.25" x14ac:dyDescent="0.3">
      <c r="A8" s="14">
        <v>46271</v>
      </c>
      <c r="B8" s="15">
        <v>4</v>
      </c>
      <c r="C8" s="17"/>
      <c r="D8" s="15"/>
      <c r="E8" s="16"/>
      <c r="F8" s="15"/>
      <c r="G8" s="15"/>
      <c r="H8" s="16"/>
      <c r="I8" s="15" t="str">
        <f t="shared" si="9"/>
        <v xml:space="preserve"> </v>
      </c>
      <c r="J8" s="15" t="str">
        <f t="shared" si="10"/>
        <v xml:space="preserve"> </v>
      </c>
      <c r="K8" s="15"/>
      <c r="L8" s="15">
        <f t="shared" si="16"/>
        <v>0</v>
      </c>
      <c r="M8" s="5" t="str">
        <f t="shared" si="11"/>
        <v/>
      </c>
      <c r="N8" s="25" t="str">
        <f>IF(ISBLANK($E8)," ", COUNTIF($M$4:$M8,$M8))</f>
        <v xml:space="preserve"> </v>
      </c>
      <c r="O8" s="25" t="str">
        <f t="shared" si="12"/>
        <v xml:space="preserve"> </v>
      </c>
      <c r="P8" s="5" t="str">
        <f t="shared" si="13"/>
        <v/>
      </c>
      <c r="Q8" s="5" t="str">
        <f t="shared" si="14"/>
        <v/>
      </c>
      <c r="R8" s="5" t="str">
        <f t="shared" si="15"/>
        <v/>
      </c>
      <c r="T8" s="69">
        <v>6</v>
      </c>
      <c r="U8" s="59" t="s">
        <v>95</v>
      </c>
      <c r="V8" s="16">
        <f t="shared" si="0"/>
        <v>0</v>
      </c>
      <c r="W8" s="16">
        <f t="shared" si="1"/>
        <v>0</v>
      </c>
      <c r="X8" s="16">
        <f t="shared" si="2"/>
        <v>0</v>
      </c>
      <c r="Y8" s="16">
        <f t="shared" si="3"/>
        <v>100</v>
      </c>
      <c r="Z8" s="16">
        <f t="shared" si="4"/>
        <v>0</v>
      </c>
      <c r="AA8" s="16">
        <f t="shared" si="5"/>
        <v>0</v>
      </c>
      <c r="AB8" s="16">
        <f t="shared" si="6"/>
        <v>0</v>
      </c>
      <c r="AC8" s="77"/>
      <c r="AD8" s="71" t="str">
        <f t="shared" si="7"/>
        <v/>
      </c>
      <c r="AE8" s="48">
        <f t="shared" si="8"/>
        <v>0</v>
      </c>
    </row>
    <row r="9" spans="1:31" ht="20.25" x14ac:dyDescent="0.3">
      <c r="A9" s="14">
        <v>46271</v>
      </c>
      <c r="B9" s="15">
        <v>5</v>
      </c>
      <c r="C9" s="15"/>
      <c r="D9" s="15"/>
      <c r="E9" s="16"/>
      <c r="F9" s="15"/>
      <c r="G9" s="15"/>
      <c r="H9" s="16"/>
      <c r="I9" s="15" t="str">
        <f t="shared" si="9"/>
        <v xml:space="preserve"> </v>
      </c>
      <c r="J9" s="15" t="str">
        <f t="shared" si="10"/>
        <v xml:space="preserve"> </v>
      </c>
      <c r="K9" s="15"/>
      <c r="L9" s="15">
        <f t="shared" si="16"/>
        <v>0</v>
      </c>
      <c r="M9" s="5" t="str">
        <f t="shared" si="11"/>
        <v/>
      </c>
      <c r="N9" s="25" t="str">
        <f>IF(ISBLANK($E9)," ", COUNTIF($M$4:$M9,$M9))</f>
        <v xml:space="preserve"> </v>
      </c>
      <c r="O9" s="25" t="str">
        <f t="shared" si="12"/>
        <v xml:space="preserve"> </v>
      </c>
      <c r="P9" s="5" t="str">
        <f t="shared" si="13"/>
        <v/>
      </c>
      <c r="Q9" s="5" t="str">
        <f t="shared" si="14"/>
        <v/>
      </c>
      <c r="R9" s="5" t="str">
        <f t="shared" si="15"/>
        <v/>
      </c>
      <c r="T9" s="69">
        <v>7</v>
      </c>
      <c r="U9" s="59" t="s">
        <v>40</v>
      </c>
      <c r="V9" s="82">
        <f t="shared" si="0"/>
        <v>0</v>
      </c>
      <c r="W9" s="16">
        <f t="shared" si="1"/>
        <v>0</v>
      </c>
      <c r="X9" s="16">
        <f t="shared" si="2"/>
        <v>0</v>
      </c>
      <c r="Y9" s="16">
        <f t="shared" si="3"/>
        <v>100</v>
      </c>
      <c r="Z9" s="16">
        <f t="shared" si="4"/>
        <v>0</v>
      </c>
      <c r="AA9" s="16">
        <f t="shared" si="5"/>
        <v>0</v>
      </c>
      <c r="AB9" s="16">
        <f t="shared" si="6"/>
        <v>0</v>
      </c>
      <c r="AC9" s="78"/>
      <c r="AD9" s="70" t="str">
        <f t="shared" si="7"/>
        <v/>
      </c>
      <c r="AE9" s="48">
        <f t="shared" si="8"/>
        <v>0</v>
      </c>
    </row>
    <row r="10" spans="1:31" ht="20.25" x14ac:dyDescent="0.3">
      <c r="A10" s="14">
        <v>46271</v>
      </c>
      <c r="B10" s="15">
        <v>6</v>
      </c>
      <c r="C10" s="15"/>
      <c r="D10" s="15"/>
      <c r="E10" s="16"/>
      <c r="F10" s="15"/>
      <c r="G10" s="15"/>
      <c r="H10" s="16"/>
      <c r="I10" s="15" t="str">
        <f t="shared" si="9"/>
        <v xml:space="preserve"> </v>
      </c>
      <c r="J10" s="15" t="str">
        <f t="shared" si="10"/>
        <v xml:space="preserve"> </v>
      </c>
      <c r="K10" s="15"/>
      <c r="L10" s="15">
        <f t="shared" si="16"/>
        <v>0</v>
      </c>
      <c r="M10" s="5" t="str">
        <f t="shared" si="11"/>
        <v/>
      </c>
      <c r="N10" s="25" t="str">
        <f>IF(ISBLANK($E10)," ", COUNTIF($M$4:$M10,$M10))</f>
        <v xml:space="preserve"> </v>
      </c>
      <c r="O10" s="25" t="str">
        <f t="shared" si="12"/>
        <v xml:space="preserve"> </v>
      </c>
      <c r="P10" s="5" t="str">
        <f t="shared" si="13"/>
        <v/>
      </c>
      <c r="Q10" s="5" t="str">
        <f t="shared" si="14"/>
        <v/>
      </c>
      <c r="R10" s="5" t="str">
        <f t="shared" si="15"/>
        <v/>
      </c>
      <c r="T10" s="69">
        <v>8</v>
      </c>
      <c r="U10" s="59" t="s">
        <v>108</v>
      </c>
      <c r="V10" s="16">
        <f t="shared" si="0"/>
        <v>0</v>
      </c>
      <c r="W10" s="16">
        <f t="shared" si="1"/>
        <v>0</v>
      </c>
      <c r="X10" s="16">
        <f t="shared" si="2"/>
        <v>0</v>
      </c>
      <c r="Y10" s="16">
        <f t="shared" si="3"/>
        <v>100</v>
      </c>
      <c r="Z10" s="16">
        <f t="shared" si="4"/>
        <v>0</v>
      </c>
      <c r="AA10" s="16">
        <f t="shared" si="5"/>
        <v>0</v>
      </c>
      <c r="AB10" s="16">
        <f t="shared" si="6"/>
        <v>0</v>
      </c>
      <c r="AC10" s="78"/>
      <c r="AD10" s="71" t="str">
        <f t="shared" si="7"/>
        <v/>
      </c>
      <c r="AE10" s="48">
        <f t="shared" si="8"/>
        <v>0</v>
      </c>
    </row>
    <row r="11" spans="1:31" ht="20.25" x14ac:dyDescent="0.3">
      <c r="A11" s="14">
        <v>46271</v>
      </c>
      <c r="B11" s="15">
        <v>7</v>
      </c>
      <c r="C11" s="17"/>
      <c r="D11" s="15"/>
      <c r="E11" s="16"/>
      <c r="F11" s="15"/>
      <c r="G11" s="15"/>
      <c r="H11" s="16"/>
      <c r="I11" s="15" t="str">
        <f t="shared" si="9"/>
        <v xml:space="preserve"> </v>
      </c>
      <c r="J11" s="15" t="str">
        <f t="shared" si="10"/>
        <v xml:space="preserve"> </v>
      </c>
      <c r="K11" s="15"/>
      <c r="L11" s="15">
        <f t="shared" si="16"/>
        <v>0</v>
      </c>
      <c r="M11" s="5" t="str">
        <f t="shared" si="11"/>
        <v/>
      </c>
      <c r="N11" s="25" t="str">
        <f>IF(ISBLANK($E11)," ", COUNTIF($M$4:$M11,$M11))</f>
        <v xml:space="preserve"> </v>
      </c>
      <c r="O11" s="25" t="str">
        <f t="shared" si="12"/>
        <v xml:space="preserve"> </v>
      </c>
      <c r="P11" s="5" t="str">
        <f t="shared" si="13"/>
        <v/>
      </c>
      <c r="Q11" s="5" t="str">
        <f t="shared" si="14"/>
        <v/>
      </c>
      <c r="R11" s="5" t="str">
        <f t="shared" si="15"/>
        <v/>
      </c>
      <c r="T11" s="69">
        <v>9</v>
      </c>
      <c r="U11" s="6" t="s">
        <v>6</v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100</v>
      </c>
      <c r="Z11" s="3">
        <f t="shared" si="4"/>
        <v>0</v>
      </c>
      <c r="AA11" s="3">
        <f t="shared" si="5"/>
        <v>0</v>
      </c>
      <c r="AB11" s="3">
        <f t="shared" si="6"/>
        <v>0</v>
      </c>
      <c r="AC11" s="39"/>
      <c r="AD11" s="70" t="str">
        <f t="shared" si="7"/>
        <v/>
      </c>
      <c r="AE11" s="48">
        <f t="shared" si="8"/>
        <v>0</v>
      </c>
    </row>
    <row r="12" spans="1:31" ht="20.25" x14ac:dyDescent="0.3">
      <c r="A12" s="14">
        <v>46271</v>
      </c>
      <c r="B12" s="15">
        <v>8</v>
      </c>
      <c r="C12" s="15"/>
      <c r="D12" s="15"/>
      <c r="E12" s="16"/>
      <c r="F12" s="15"/>
      <c r="G12" s="15"/>
      <c r="H12" s="16"/>
      <c r="I12" s="15" t="str">
        <f t="shared" si="9"/>
        <v xml:space="preserve"> </v>
      </c>
      <c r="J12" s="15" t="str">
        <f t="shared" si="10"/>
        <v xml:space="preserve"> </v>
      </c>
      <c r="K12" s="15"/>
      <c r="L12" s="15">
        <f t="shared" si="16"/>
        <v>0</v>
      </c>
      <c r="M12" s="5" t="str">
        <f t="shared" si="11"/>
        <v/>
      </c>
      <c r="N12" s="25" t="str">
        <f>IF(ISBLANK($E12)," ", COUNTIF($M$4:$M12,$M12))</f>
        <v xml:space="preserve"> </v>
      </c>
      <c r="O12" s="25" t="str">
        <f t="shared" si="12"/>
        <v xml:space="preserve"> </v>
      </c>
      <c r="P12" s="5" t="str">
        <f t="shared" si="13"/>
        <v/>
      </c>
      <c r="Q12" s="5" t="str">
        <f t="shared" si="14"/>
        <v/>
      </c>
      <c r="R12" s="5" t="str">
        <f t="shared" si="15"/>
        <v/>
      </c>
      <c r="T12" s="69">
        <v>10</v>
      </c>
      <c r="U12" s="6" t="s">
        <v>72</v>
      </c>
      <c r="V12" s="12">
        <f t="shared" si="0"/>
        <v>0</v>
      </c>
      <c r="W12" s="3">
        <f t="shared" si="1"/>
        <v>0</v>
      </c>
      <c r="X12" s="3">
        <f t="shared" si="2"/>
        <v>0</v>
      </c>
      <c r="Y12" s="3">
        <f t="shared" si="3"/>
        <v>100</v>
      </c>
      <c r="Z12" s="3">
        <f t="shared" si="4"/>
        <v>0</v>
      </c>
      <c r="AA12" s="3">
        <f t="shared" si="5"/>
        <v>0</v>
      </c>
      <c r="AB12" s="3">
        <f t="shared" si="6"/>
        <v>0</v>
      </c>
      <c r="AC12" s="39"/>
      <c r="AD12" s="70" t="str">
        <f t="shared" si="7"/>
        <v/>
      </c>
      <c r="AE12" s="48">
        <f t="shared" si="8"/>
        <v>0</v>
      </c>
    </row>
    <row r="13" spans="1:31" ht="20.25" x14ac:dyDescent="0.3">
      <c r="A13" s="14">
        <v>46271</v>
      </c>
      <c r="B13" s="15">
        <v>9</v>
      </c>
      <c r="C13" s="15"/>
      <c r="D13" s="15"/>
      <c r="E13" s="16"/>
      <c r="F13" s="15"/>
      <c r="G13" s="15"/>
      <c r="H13" s="16"/>
      <c r="I13" s="15" t="str">
        <f t="shared" si="9"/>
        <v xml:space="preserve"> </v>
      </c>
      <c r="J13" s="15" t="str">
        <f t="shared" si="10"/>
        <v xml:space="preserve"> </v>
      </c>
      <c r="K13" s="15"/>
      <c r="L13" s="15">
        <f t="shared" si="16"/>
        <v>0</v>
      </c>
      <c r="M13" s="5" t="str">
        <f t="shared" si="11"/>
        <v/>
      </c>
      <c r="N13" s="25" t="str">
        <f>IF(ISBLANK($E13)," ", COUNTIF($M$4:$M13,$M13))</f>
        <v xml:space="preserve"> </v>
      </c>
      <c r="O13" s="25" t="str">
        <f t="shared" si="12"/>
        <v xml:space="preserve"> </v>
      </c>
      <c r="P13" s="5" t="str">
        <f t="shared" si="13"/>
        <v/>
      </c>
      <c r="Q13" s="5" t="str">
        <f t="shared" si="14"/>
        <v/>
      </c>
      <c r="R13" s="5" t="str">
        <f t="shared" si="15"/>
        <v/>
      </c>
      <c r="T13" s="69">
        <v>11</v>
      </c>
      <c r="U13" s="6" t="s">
        <v>3</v>
      </c>
      <c r="V13" s="3">
        <f t="shared" si="0"/>
        <v>0</v>
      </c>
      <c r="W13" s="3">
        <f t="shared" si="1"/>
        <v>0</v>
      </c>
      <c r="X13" s="3">
        <f t="shared" si="2"/>
        <v>0</v>
      </c>
      <c r="Y13" s="3">
        <f t="shared" si="3"/>
        <v>100</v>
      </c>
      <c r="Z13" s="3">
        <f t="shared" si="4"/>
        <v>0</v>
      </c>
      <c r="AA13" s="3">
        <f t="shared" si="5"/>
        <v>0</v>
      </c>
      <c r="AB13" s="3">
        <f t="shared" si="6"/>
        <v>0</v>
      </c>
      <c r="AC13" s="39"/>
      <c r="AD13" s="70" t="str">
        <f t="shared" si="7"/>
        <v/>
      </c>
      <c r="AE13" s="48">
        <f t="shared" si="8"/>
        <v>0</v>
      </c>
    </row>
    <row r="14" spans="1:31" ht="20.25" x14ac:dyDescent="0.3">
      <c r="A14" s="14">
        <v>46271</v>
      </c>
      <c r="B14" s="15">
        <v>10</v>
      </c>
      <c r="C14" s="15"/>
      <c r="D14" s="15"/>
      <c r="E14" s="16"/>
      <c r="F14" s="15"/>
      <c r="G14" s="15"/>
      <c r="H14" s="16"/>
      <c r="I14" s="15" t="str">
        <f t="shared" si="9"/>
        <v xml:space="preserve"> </v>
      </c>
      <c r="J14" s="15" t="str">
        <f t="shared" si="10"/>
        <v xml:space="preserve"> </v>
      </c>
      <c r="K14" s="15"/>
      <c r="L14" s="15">
        <f t="shared" si="16"/>
        <v>0</v>
      </c>
      <c r="M14" s="5" t="str">
        <f t="shared" si="11"/>
        <v/>
      </c>
      <c r="N14" s="25" t="str">
        <f>IF(ISBLANK($E14)," ", COUNTIF($M$4:$M14,$M14))</f>
        <v xml:space="preserve"> </v>
      </c>
      <c r="O14" s="25" t="str">
        <f t="shared" si="12"/>
        <v xml:space="preserve"> </v>
      </c>
      <c r="P14" s="5" t="str">
        <f t="shared" si="13"/>
        <v/>
      </c>
      <c r="Q14" s="5" t="str">
        <f t="shared" si="14"/>
        <v/>
      </c>
      <c r="R14" s="5" t="str">
        <f t="shared" si="15"/>
        <v/>
      </c>
      <c r="T14" s="69">
        <v>12</v>
      </c>
      <c r="U14" s="6" t="s">
        <v>41</v>
      </c>
      <c r="V14" s="3">
        <f t="shared" si="0"/>
        <v>0</v>
      </c>
      <c r="W14" s="3">
        <f t="shared" si="1"/>
        <v>0</v>
      </c>
      <c r="X14" s="3">
        <f t="shared" si="2"/>
        <v>0</v>
      </c>
      <c r="Y14" s="3">
        <f t="shared" si="3"/>
        <v>100</v>
      </c>
      <c r="Z14" s="3">
        <f t="shared" si="4"/>
        <v>0</v>
      </c>
      <c r="AA14" s="3">
        <f t="shared" si="5"/>
        <v>0</v>
      </c>
      <c r="AB14" s="3">
        <f t="shared" si="6"/>
        <v>0</v>
      </c>
      <c r="AC14" s="39"/>
      <c r="AD14" s="70" t="str">
        <f t="shared" si="7"/>
        <v/>
      </c>
      <c r="AE14" s="48">
        <f t="shared" si="8"/>
        <v>0</v>
      </c>
    </row>
    <row r="15" spans="1:31" ht="20.25" x14ac:dyDescent="0.3">
      <c r="A15" s="14">
        <v>46271</v>
      </c>
      <c r="B15" s="15">
        <v>11</v>
      </c>
      <c r="C15" s="15"/>
      <c r="D15" s="15"/>
      <c r="E15" s="16"/>
      <c r="F15" s="15"/>
      <c r="G15" s="15"/>
      <c r="H15" s="16"/>
      <c r="I15" s="15" t="str">
        <f t="shared" si="9"/>
        <v xml:space="preserve"> </v>
      </c>
      <c r="J15" s="15" t="str">
        <f t="shared" si="10"/>
        <v xml:space="preserve"> </v>
      </c>
      <c r="K15" s="15"/>
      <c r="L15" s="15">
        <f t="shared" si="16"/>
        <v>0</v>
      </c>
      <c r="M15" s="5" t="str">
        <f t="shared" si="11"/>
        <v/>
      </c>
      <c r="N15" s="25" t="str">
        <f>IF(ISBLANK($E15)," ", COUNTIF($M$4:$M15,$M15))</f>
        <v xml:space="preserve"> </v>
      </c>
      <c r="O15" s="25" t="str">
        <f t="shared" si="12"/>
        <v xml:space="preserve"> </v>
      </c>
      <c r="P15" s="5" t="str">
        <f t="shared" si="13"/>
        <v/>
      </c>
      <c r="Q15" s="5" t="str">
        <f t="shared" si="14"/>
        <v/>
      </c>
      <c r="R15" s="5" t="str">
        <f t="shared" si="15"/>
        <v/>
      </c>
      <c r="T15" s="69">
        <v>13</v>
      </c>
      <c r="U15" s="6" t="s">
        <v>98</v>
      </c>
      <c r="V15" s="3">
        <f t="shared" si="0"/>
        <v>0</v>
      </c>
      <c r="W15" s="3">
        <f t="shared" si="1"/>
        <v>0</v>
      </c>
      <c r="X15" s="3">
        <f t="shared" si="2"/>
        <v>0</v>
      </c>
      <c r="Y15" s="3">
        <f t="shared" si="3"/>
        <v>100</v>
      </c>
      <c r="Z15" s="3">
        <f t="shared" si="4"/>
        <v>0</v>
      </c>
      <c r="AA15" s="3">
        <f t="shared" si="5"/>
        <v>0</v>
      </c>
      <c r="AB15" s="3">
        <f t="shared" si="6"/>
        <v>0</v>
      </c>
      <c r="AC15" s="39"/>
      <c r="AD15" s="70" t="str">
        <f t="shared" si="7"/>
        <v/>
      </c>
      <c r="AE15" s="48">
        <f t="shared" si="8"/>
        <v>0</v>
      </c>
    </row>
    <row r="16" spans="1:31" ht="20.25" x14ac:dyDescent="0.3">
      <c r="A16" s="14">
        <v>46271</v>
      </c>
      <c r="B16" s="15">
        <v>12</v>
      </c>
      <c r="C16" s="15"/>
      <c r="D16" s="15"/>
      <c r="E16" s="16"/>
      <c r="F16" s="15"/>
      <c r="G16" s="15"/>
      <c r="H16" s="16"/>
      <c r="I16" s="15" t="str">
        <f t="shared" si="9"/>
        <v xml:space="preserve"> </v>
      </c>
      <c r="J16" s="15" t="str">
        <f t="shared" si="10"/>
        <v xml:space="preserve"> </v>
      </c>
      <c r="K16" s="15"/>
      <c r="L16" s="15">
        <f t="shared" si="16"/>
        <v>0</v>
      </c>
      <c r="M16" s="5" t="str">
        <f t="shared" si="11"/>
        <v/>
      </c>
      <c r="N16" s="25" t="str">
        <f>IF(ISBLANK($E16)," ", COUNTIF($M$4:$M16,$M16))</f>
        <v xml:space="preserve"> </v>
      </c>
      <c r="O16" s="25" t="str">
        <f t="shared" si="12"/>
        <v xml:space="preserve"> </v>
      </c>
      <c r="P16" s="5" t="str">
        <f t="shared" si="13"/>
        <v/>
      </c>
      <c r="Q16" s="5" t="str">
        <f t="shared" si="14"/>
        <v/>
      </c>
      <c r="R16" s="5" t="str">
        <f t="shared" si="15"/>
        <v/>
      </c>
      <c r="T16" s="69">
        <v>14</v>
      </c>
      <c r="U16" s="6" t="s">
        <v>115</v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100</v>
      </c>
      <c r="Z16" s="3">
        <f t="shared" si="4"/>
        <v>0</v>
      </c>
      <c r="AA16" s="3">
        <f t="shared" si="5"/>
        <v>0</v>
      </c>
      <c r="AB16" s="3">
        <f t="shared" si="6"/>
        <v>0</v>
      </c>
      <c r="AC16" s="40"/>
      <c r="AD16" s="70" t="str">
        <f t="shared" si="7"/>
        <v/>
      </c>
      <c r="AE16" s="48">
        <f t="shared" si="8"/>
        <v>0</v>
      </c>
    </row>
    <row r="17" spans="1:31" ht="20.25" x14ac:dyDescent="0.3">
      <c r="A17" s="14">
        <v>46271</v>
      </c>
      <c r="B17" s="15">
        <v>13</v>
      </c>
      <c r="C17" s="15"/>
      <c r="D17" s="15"/>
      <c r="E17" s="16"/>
      <c r="F17" s="15"/>
      <c r="G17" s="15"/>
      <c r="H17" s="16"/>
      <c r="I17" s="15" t="str">
        <f t="shared" si="9"/>
        <v xml:space="preserve"> </v>
      </c>
      <c r="J17" s="15" t="str">
        <f t="shared" si="10"/>
        <v xml:space="preserve"> </v>
      </c>
      <c r="K17" s="15"/>
      <c r="L17" s="15">
        <f t="shared" si="16"/>
        <v>0</v>
      </c>
      <c r="M17" s="5" t="str">
        <f t="shared" si="11"/>
        <v/>
      </c>
      <c r="N17" s="25" t="str">
        <f>IF(ISBLANK($E17)," ", COUNTIF($M$4:$M17,$M17))</f>
        <v xml:space="preserve"> </v>
      </c>
      <c r="O17" s="25" t="str">
        <f t="shared" si="12"/>
        <v xml:space="preserve"> </v>
      </c>
      <c r="P17" s="5" t="str">
        <f t="shared" si="13"/>
        <v/>
      </c>
      <c r="Q17" s="5" t="str">
        <f t="shared" si="14"/>
        <v/>
      </c>
      <c r="R17" s="5" t="str">
        <f t="shared" si="15"/>
        <v/>
      </c>
      <c r="T17" s="69">
        <v>15</v>
      </c>
      <c r="U17" s="6" t="s">
        <v>1</v>
      </c>
      <c r="V17" s="3">
        <f t="shared" si="0"/>
        <v>0</v>
      </c>
      <c r="W17" s="3">
        <f t="shared" si="1"/>
        <v>0</v>
      </c>
      <c r="X17" s="3">
        <f t="shared" si="2"/>
        <v>0</v>
      </c>
      <c r="Y17" s="3">
        <f t="shared" si="3"/>
        <v>100</v>
      </c>
      <c r="Z17" s="3">
        <f t="shared" si="4"/>
        <v>0</v>
      </c>
      <c r="AA17" s="3">
        <f t="shared" si="5"/>
        <v>0</v>
      </c>
      <c r="AB17" s="3">
        <f t="shared" si="6"/>
        <v>0</v>
      </c>
      <c r="AC17" s="40"/>
      <c r="AD17" s="70" t="str">
        <f t="shared" si="7"/>
        <v/>
      </c>
      <c r="AE17" s="48">
        <f t="shared" si="8"/>
        <v>0</v>
      </c>
    </row>
    <row r="18" spans="1:31" ht="20.25" x14ac:dyDescent="0.3">
      <c r="A18" s="14">
        <v>46271</v>
      </c>
      <c r="B18" s="15">
        <v>14</v>
      </c>
      <c r="C18" s="15"/>
      <c r="D18" s="15"/>
      <c r="E18" s="16"/>
      <c r="F18" s="15"/>
      <c r="G18" s="15"/>
      <c r="H18" s="16"/>
      <c r="I18" s="15" t="str">
        <f t="shared" si="9"/>
        <v xml:space="preserve"> </v>
      </c>
      <c r="J18" s="15" t="str">
        <f t="shared" si="10"/>
        <v xml:space="preserve"> </v>
      </c>
      <c r="K18" s="15"/>
      <c r="L18" s="15">
        <f t="shared" si="16"/>
        <v>0</v>
      </c>
      <c r="M18" s="5" t="str">
        <f t="shared" si="11"/>
        <v/>
      </c>
      <c r="N18" s="25" t="str">
        <f>IF(ISBLANK($E18)," ", COUNTIF($M$4:$M18,$M18))</f>
        <v xml:space="preserve"> </v>
      </c>
      <c r="O18" s="25" t="str">
        <f t="shared" si="12"/>
        <v xml:space="preserve"> </v>
      </c>
      <c r="P18" s="5" t="str">
        <f t="shared" si="13"/>
        <v/>
      </c>
      <c r="Q18" s="5" t="str">
        <f t="shared" si="14"/>
        <v/>
      </c>
      <c r="R18" s="5" t="str">
        <f t="shared" si="15"/>
        <v/>
      </c>
      <c r="T18" s="69">
        <v>16</v>
      </c>
      <c r="U18" s="6" t="s">
        <v>117</v>
      </c>
      <c r="V18" s="3">
        <f t="shared" si="0"/>
        <v>0</v>
      </c>
      <c r="W18" s="3">
        <f t="shared" si="1"/>
        <v>0</v>
      </c>
      <c r="X18" s="3">
        <f t="shared" si="2"/>
        <v>0</v>
      </c>
      <c r="Y18" s="3">
        <f t="shared" si="3"/>
        <v>100</v>
      </c>
      <c r="Z18" s="3">
        <f t="shared" si="4"/>
        <v>0</v>
      </c>
      <c r="AA18" s="3">
        <f t="shared" si="5"/>
        <v>0</v>
      </c>
      <c r="AB18" s="3">
        <f t="shared" si="6"/>
        <v>0</v>
      </c>
      <c r="AC18" s="40"/>
      <c r="AD18" s="70" t="str">
        <f t="shared" si="7"/>
        <v/>
      </c>
      <c r="AE18" s="48">
        <f t="shared" si="8"/>
        <v>0</v>
      </c>
    </row>
    <row r="19" spans="1:31" ht="20.25" x14ac:dyDescent="0.3">
      <c r="A19" s="14">
        <v>46271</v>
      </c>
      <c r="B19" s="15">
        <v>15</v>
      </c>
      <c r="C19" s="15"/>
      <c r="D19" s="15"/>
      <c r="E19" s="16"/>
      <c r="F19" s="15"/>
      <c r="G19" s="15"/>
      <c r="H19" s="16"/>
      <c r="I19" s="15" t="str">
        <f t="shared" si="9"/>
        <v xml:space="preserve"> </v>
      </c>
      <c r="J19" s="15" t="str">
        <f t="shared" si="10"/>
        <v xml:space="preserve"> </v>
      </c>
      <c r="K19" s="15"/>
      <c r="L19" s="15">
        <f t="shared" si="16"/>
        <v>0</v>
      </c>
      <c r="M19" s="5" t="str">
        <f t="shared" si="11"/>
        <v/>
      </c>
      <c r="N19" s="25" t="str">
        <f>IF(ISBLANK($E19)," ", COUNTIF($M$4:$M19,$M19))</f>
        <v xml:space="preserve"> </v>
      </c>
      <c r="O19" s="25" t="str">
        <f t="shared" si="12"/>
        <v xml:space="preserve"> </v>
      </c>
      <c r="P19" s="5" t="str">
        <f t="shared" si="13"/>
        <v/>
      </c>
      <c r="Q19" s="5" t="str">
        <f t="shared" si="14"/>
        <v/>
      </c>
      <c r="R19" s="5" t="str">
        <f t="shared" si="15"/>
        <v/>
      </c>
      <c r="T19" s="69">
        <v>17</v>
      </c>
      <c r="U19" s="6" t="s">
        <v>4</v>
      </c>
      <c r="V19" s="3">
        <f t="shared" si="0"/>
        <v>0</v>
      </c>
      <c r="W19" s="3">
        <f t="shared" si="1"/>
        <v>0</v>
      </c>
      <c r="X19" s="3">
        <f t="shared" si="2"/>
        <v>0</v>
      </c>
      <c r="Y19" s="3">
        <f t="shared" si="3"/>
        <v>100</v>
      </c>
      <c r="Z19" s="3">
        <f t="shared" si="4"/>
        <v>0</v>
      </c>
      <c r="AA19" s="3">
        <f t="shared" si="5"/>
        <v>0</v>
      </c>
      <c r="AB19" s="3">
        <f t="shared" si="6"/>
        <v>0</v>
      </c>
      <c r="AC19" s="39"/>
      <c r="AD19" s="70" t="str">
        <f t="shared" si="7"/>
        <v/>
      </c>
      <c r="AE19" s="48">
        <f t="shared" si="8"/>
        <v>0</v>
      </c>
    </row>
    <row r="20" spans="1:31" ht="20.25" x14ac:dyDescent="0.3">
      <c r="A20" s="14">
        <v>46271</v>
      </c>
      <c r="B20" s="15">
        <v>16</v>
      </c>
      <c r="C20" s="15"/>
      <c r="D20" s="15"/>
      <c r="E20" s="16"/>
      <c r="F20" s="15"/>
      <c r="G20" s="15"/>
      <c r="H20" s="16"/>
      <c r="I20" s="15" t="str">
        <f t="shared" si="9"/>
        <v xml:space="preserve"> </v>
      </c>
      <c r="J20" s="15" t="str">
        <f t="shared" si="10"/>
        <v xml:space="preserve"> </v>
      </c>
      <c r="K20" s="15"/>
      <c r="L20" s="15">
        <f t="shared" si="16"/>
        <v>0</v>
      </c>
      <c r="M20" s="5" t="str">
        <f t="shared" si="11"/>
        <v/>
      </c>
      <c r="N20" s="25" t="str">
        <f>IF(ISBLANK($E20)," ", COUNTIF($M$4:$M20,$M20))</f>
        <v xml:space="preserve"> </v>
      </c>
      <c r="O20" s="25" t="str">
        <f t="shared" si="12"/>
        <v xml:space="preserve"> </v>
      </c>
      <c r="P20" s="5" t="str">
        <f t="shared" si="13"/>
        <v/>
      </c>
      <c r="Q20" s="5" t="str">
        <f t="shared" si="14"/>
        <v/>
      </c>
      <c r="R20" s="5" t="str">
        <f t="shared" si="15"/>
        <v/>
      </c>
      <c r="T20" s="69">
        <v>18</v>
      </c>
      <c r="U20" s="6" t="s">
        <v>42</v>
      </c>
      <c r="V20" s="3">
        <f t="shared" si="0"/>
        <v>0</v>
      </c>
      <c r="W20" s="3">
        <f t="shared" si="1"/>
        <v>0</v>
      </c>
      <c r="X20" s="3">
        <f t="shared" si="2"/>
        <v>0</v>
      </c>
      <c r="Y20" s="3">
        <f t="shared" si="3"/>
        <v>100</v>
      </c>
      <c r="Z20" s="3">
        <f t="shared" si="4"/>
        <v>0</v>
      </c>
      <c r="AA20" s="3">
        <f t="shared" si="5"/>
        <v>0</v>
      </c>
      <c r="AB20" s="3">
        <f t="shared" si="6"/>
        <v>0</v>
      </c>
      <c r="AC20" s="40"/>
      <c r="AD20" s="70" t="str">
        <f t="shared" si="7"/>
        <v/>
      </c>
      <c r="AE20" s="48">
        <f t="shared" si="8"/>
        <v>0</v>
      </c>
    </row>
    <row r="21" spans="1:31" ht="20.25" x14ac:dyDescent="0.3">
      <c r="A21" s="14">
        <v>46271</v>
      </c>
      <c r="B21" s="15">
        <v>17</v>
      </c>
      <c r="C21" s="15"/>
      <c r="D21" s="15"/>
      <c r="E21" s="16"/>
      <c r="F21" s="15"/>
      <c r="G21" s="15"/>
      <c r="H21" s="16"/>
      <c r="I21" s="15" t="str">
        <f t="shared" si="9"/>
        <v xml:space="preserve"> </v>
      </c>
      <c r="J21" s="15" t="str">
        <f t="shared" si="10"/>
        <v xml:space="preserve"> </v>
      </c>
      <c r="K21" s="15"/>
      <c r="L21" s="15">
        <f t="shared" si="16"/>
        <v>0</v>
      </c>
      <c r="M21" s="5" t="str">
        <f t="shared" si="11"/>
        <v/>
      </c>
      <c r="N21" s="25" t="str">
        <f>IF(ISBLANK($E21)," ", COUNTIF($M$4:$M21,$M21))</f>
        <v xml:space="preserve"> </v>
      </c>
      <c r="O21" s="25" t="str">
        <f t="shared" si="12"/>
        <v xml:space="preserve"> </v>
      </c>
      <c r="P21" s="5" t="str">
        <f t="shared" si="13"/>
        <v/>
      </c>
      <c r="Q21" s="5" t="str">
        <f t="shared" si="14"/>
        <v/>
      </c>
      <c r="R21" s="5" t="str">
        <f t="shared" si="15"/>
        <v/>
      </c>
      <c r="T21" s="69">
        <v>19</v>
      </c>
      <c r="U21" s="6" t="s">
        <v>0</v>
      </c>
      <c r="V21" s="3">
        <f t="shared" si="0"/>
        <v>0</v>
      </c>
      <c r="W21" s="3">
        <f t="shared" si="1"/>
        <v>0</v>
      </c>
      <c r="X21" s="3">
        <f t="shared" si="2"/>
        <v>0</v>
      </c>
      <c r="Y21" s="3">
        <f t="shared" si="3"/>
        <v>100</v>
      </c>
      <c r="Z21" s="3">
        <f t="shared" si="4"/>
        <v>0</v>
      </c>
      <c r="AA21" s="3">
        <f t="shared" si="5"/>
        <v>0</v>
      </c>
      <c r="AB21" s="3">
        <f t="shared" si="6"/>
        <v>0</v>
      </c>
      <c r="AC21" s="39"/>
      <c r="AD21" s="70" t="str">
        <f t="shared" si="7"/>
        <v/>
      </c>
      <c r="AE21" s="48">
        <f t="shared" si="8"/>
        <v>0</v>
      </c>
    </row>
    <row r="22" spans="1:31" ht="20.25" x14ac:dyDescent="0.3">
      <c r="A22" s="14">
        <v>46271</v>
      </c>
      <c r="B22" s="15">
        <v>18</v>
      </c>
      <c r="C22" s="15"/>
      <c r="D22" s="15"/>
      <c r="E22" s="16"/>
      <c r="F22" s="15"/>
      <c r="G22" s="15"/>
      <c r="H22" s="16"/>
      <c r="I22" s="15" t="str">
        <f t="shared" si="9"/>
        <v xml:space="preserve"> </v>
      </c>
      <c r="J22" s="15" t="str">
        <f t="shared" si="10"/>
        <v xml:space="preserve"> </v>
      </c>
      <c r="K22" s="15"/>
      <c r="L22" s="15">
        <f t="shared" si="16"/>
        <v>0</v>
      </c>
      <c r="M22" s="5" t="str">
        <f t="shared" si="11"/>
        <v/>
      </c>
      <c r="N22" s="25" t="str">
        <f>IF(ISBLANK($E22)," ", COUNTIF($M$4:$M22,$M22))</f>
        <v xml:space="preserve"> </v>
      </c>
      <c r="O22" s="25" t="str">
        <f t="shared" si="12"/>
        <v xml:space="preserve"> </v>
      </c>
      <c r="P22" s="5" t="str">
        <f t="shared" si="13"/>
        <v/>
      </c>
      <c r="Q22" s="5" t="str">
        <f t="shared" si="14"/>
        <v/>
      </c>
      <c r="R22" s="5" t="str">
        <f t="shared" si="15"/>
        <v/>
      </c>
      <c r="T22" s="69">
        <v>20</v>
      </c>
      <c r="U22" s="6" t="s">
        <v>73</v>
      </c>
      <c r="V22" s="3">
        <f t="shared" si="0"/>
        <v>0</v>
      </c>
      <c r="W22" s="3">
        <f t="shared" si="1"/>
        <v>0</v>
      </c>
      <c r="X22" s="3">
        <f t="shared" si="2"/>
        <v>0</v>
      </c>
      <c r="Y22" s="3">
        <f t="shared" si="3"/>
        <v>100</v>
      </c>
      <c r="Z22" s="3">
        <f t="shared" si="4"/>
        <v>0</v>
      </c>
      <c r="AA22" s="3">
        <f t="shared" si="5"/>
        <v>0</v>
      </c>
      <c r="AB22" s="3">
        <f t="shared" si="6"/>
        <v>0</v>
      </c>
      <c r="AC22" s="58"/>
      <c r="AD22" s="70" t="str">
        <f t="shared" si="7"/>
        <v/>
      </c>
      <c r="AE22" s="48">
        <f t="shared" si="8"/>
        <v>0</v>
      </c>
    </row>
    <row r="23" spans="1:31" ht="20.25" x14ac:dyDescent="0.3">
      <c r="A23" s="14">
        <v>46271</v>
      </c>
      <c r="B23" s="15">
        <v>19</v>
      </c>
      <c r="C23" s="15"/>
      <c r="D23" s="15"/>
      <c r="E23" s="16"/>
      <c r="F23" s="15"/>
      <c r="G23" s="15"/>
      <c r="H23" s="16"/>
      <c r="I23" s="15" t="str">
        <f t="shared" si="9"/>
        <v xml:space="preserve"> </v>
      </c>
      <c r="J23" s="15" t="str">
        <f t="shared" si="10"/>
        <v xml:space="preserve"> </v>
      </c>
      <c r="K23" s="15"/>
      <c r="L23" s="15">
        <f t="shared" si="16"/>
        <v>0</v>
      </c>
      <c r="M23" s="5" t="str">
        <f t="shared" si="11"/>
        <v/>
      </c>
      <c r="N23" s="25" t="str">
        <f>IF(ISBLANK($E23)," ", COUNTIF($M$4:$M23,$M23))</f>
        <v xml:space="preserve"> </v>
      </c>
      <c r="O23" s="25" t="str">
        <f t="shared" si="12"/>
        <v xml:space="preserve"> </v>
      </c>
      <c r="P23" s="5" t="str">
        <f t="shared" si="13"/>
        <v/>
      </c>
      <c r="Q23" s="5" t="str">
        <f t="shared" si="14"/>
        <v/>
      </c>
      <c r="R23" s="5" t="str">
        <f t="shared" si="15"/>
        <v/>
      </c>
      <c r="T23" s="69">
        <v>21</v>
      </c>
      <c r="U23" s="6" t="s">
        <v>112</v>
      </c>
      <c r="V23" s="3">
        <f t="shared" si="0"/>
        <v>0</v>
      </c>
      <c r="W23" s="3">
        <f t="shared" si="1"/>
        <v>0</v>
      </c>
      <c r="X23" s="3">
        <f t="shared" si="2"/>
        <v>0</v>
      </c>
      <c r="Y23" s="3">
        <f t="shared" si="3"/>
        <v>100</v>
      </c>
      <c r="Z23" s="3">
        <f t="shared" si="4"/>
        <v>0</v>
      </c>
      <c r="AA23" s="3">
        <f t="shared" si="5"/>
        <v>0</v>
      </c>
      <c r="AB23" s="3">
        <f t="shared" si="6"/>
        <v>0</v>
      </c>
      <c r="AC23" s="58"/>
      <c r="AD23" s="71" t="str">
        <f t="shared" si="7"/>
        <v/>
      </c>
      <c r="AE23" s="48">
        <f t="shared" si="8"/>
        <v>0</v>
      </c>
    </row>
    <row r="24" spans="1:31" ht="20.25" x14ac:dyDescent="0.3">
      <c r="A24" s="14">
        <v>46271</v>
      </c>
      <c r="B24" s="15">
        <v>20</v>
      </c>
      <c r="C24" s="15"/>
      <c r="D24" s="15"/>
      <c r="E24" s="16"/>
      <c r="F24" s="15"/>
      <c r="G24" s="15"/>
      <c r="H24" s="16"/>
      <c r="I24" s="15" t="str">
        <f t="shared" si="9"/>
        <v xml:space="preserve"> </v>
      </c>
      <c r="J24" s="15" t="str">
        <f t="shared" si="10"/>
        <v xml:space="preserve"> </v>
      </c>
      <c r="K24" s="15"/>
      <c r="L24" s="15">
        <f t="shared" si="16"/>
        <v>0</v>
      </c>
      <c r="M24" s="5" t="str">
        <f t="shared" si="11"/>
        <v/>
      </c>
      <c r="N24" s="25" t="str">
        <f>IF(ISBLANK($E24)," ", COUNTIF($M$4:$M24,$M24))</f>
        <v xml:space="preserve"> </v>
      </c>
      <c r="O24" s="25" t="str">
        <f t="shared" si="12"/>
        <v xml:space="preserve"> </v>
      </c>
      <c r="P24" s="5" t="str">
        <f t="shared" si="13"/>
        <v/>
      </c>
      <c r="Q24" s="5" t="str">
        <f t="shared" si="14"/>
        <v/>
      </c>
      <c r="R24" s="5" t="str">
        <f t="shared" si="15"/>
        <v/>
      </c>
      <c r="T24" s="69">
        <v>22</v>
      </c>
      <c r="U24" s="6" t="s">
        <v>74</v>
      </c>
      <c r="V24" s="3">
        <f t="shared" si="0"/>
        <v>0</v>
      </c>
      <c r="W24" s="3">
        <f t="shared" si="1"/>
        <v>0</v>
      </c>
      <c r="X24" s="3">
        <f t="shared" si="2"/>
        <v>0</v>
      </c>
      <c r="Y24" s="3">
        <f t="shared" si="3"/>
        <v>100</v>
      </c>
      <c r="Z24" s="3">
        <f t="shared" si="4"/>
        <v>0</v>
      </c>
      <c r="AA24" s="3">
        <f t="shared" si="5"/>
        <v>0</v>
      </c>
      <c r="AB24" s="3">
        <f t="shared" si="6"/>
        <v>0</v>
      </c>
      <c r="AD24" s="70" t="str">
        <f t="shared" si="7"/>
        <v/>
      </c>
      <c r="AE24" s="48">
        <f t="shared" si="8"/>
        <v>0</v>
      </c>
    </row>
    <row r="25" spans="1:31" ht="20.25" x14ac:dyDescent="0.3">
      <c r="A25" s="14"/>
      <c r="B25" s="15">
        <v>21</v>
      </c>
      <c r="C25" s="15"/>
      <c r="D25" s="15"/>
      <c r="E25" s="16"/>
      <c r="F25" s="15"/>
      <c r="G25" s="15"/>
      <c r="H25" s="16"/>
      <c r="I25" s="15" t="str">
        <f t="shared" si="9"/>
        <v xml:space="preserve"> </v>
      </c>
      <c r="J25" s="15" t="str">
        <f t="shared" si="10"/>
        <v xml:space="preserve"> </v>
      </c>
      <c r="K25" s="15"/>
      <c r="L25" s="15">
        <f t="shared" si="16"/>
        <v>0</v>
      </c>
      <c r="M25" s="5" t="str">
        <f t="shared" si="11"/>
        <v/>
      </c>
      <c r="N25" s="25" t="str">
        <f>IF(ISBLANK($E25)," ", COUNTIF($M$4:$M25,$M25))</f>
        <v xml:space="preserve"> </v>
      </c>
      <c r="O25" s="25" t="str">
        <f t="shared" si="12"/>
        <v xml:space="preserve"> </v>
      </c>
      <c r="P25" s="5" t="str">
        <f t="shared" si="13"/>
        <v/>
      </c>
      <c r="Q25" s="5" t="str">
        <f t="shared" si="14"/>
        <v/>
      </c>
      <c r="R25" s="5" t="str">
        <f t="shared" si="15"/>
        <v/>
      </c>
      <c r="T25" s="69">
        <v>23</v>
      </c>
      <c r="U25" s="6" t="s">
        <v>116</v>
      </c>
      <c r="V25" s="3">
        <f t="shared" si="0"/>
        <v>0</v>
      </c>
      <c r="W25" s="3">
        <f t="shared" si="1"/>
        <v>0</v>
      </c>
      <c r="X25" s="3">
        <f t="shared" si="2"/>
        <v>0</v>
      </c>
      <c r="Y25" s="3">
        <f t="shared" si="3"/>
        <v>100</v>
      </c>
      <c r="Z25" s="3">
        <f t="shared" si="4"/>
        <v>0</v>
      </c>
      <c r="AA25" s="3">
        <f t="shared" si="5"/>
        <v>0</v>
      </c>
      <c r="AB25" s="3">
        <f t="shared" si="6"/>
        <v>0</v>
      </c>
      <c r="AD25" s="70" t="str">
        <f t="shared" si="7"/>
        <v/>
      </c>
      <c r="AE25" s="48">
        <f t="shared" si="8"/>
        <v>0</v>
      </c>
    </row>
    <row r="26" spans="1:31" ht="20.25" x14ac:dyDescent="0.3">
      <c r="A26" s="14"/>
      <c r="B26" s="15">
        <v>22</v>
      </c>
      <c r="C26" s="17"/>
      <c r="D26" s="15"/>
      <c r="E26" s="16"/>
      <c r="F26" s="15"/>
      <c r="G26" s="15"/>
      <c r="H26" s="18"/>
      <c r="I26" s="15" t="str">
        <f t="shared" si="9"/>
        <v xml:space="preserve"> </v>
      </c>
      <c r="J26" s="15" t="str">
        <f t="shared" si="10"/>
        <v xml:space="preserve"> </v>
      </c>
      <c r="K26" s="15"/>
      <c r="L26" s="15">
        <f t="shared" si="16"/>
        <v>0</v>
      </c>
      <c r="M26" s="5" t="str">
        <f t="shared" si="11"/>
        <v/>
      </c>
      <c r="N26" s="25" t="str">
        <f>IF(ISBLANK($E26)," ", COUNTIF($M$4:$M26,$M26))</f>
        <v xml:space="preserve"> </v>
      </c>
      <c r="O26" s="25" t="str">
        <f t="shared" si="12"/>
        <v xml:space="preserve"> </v>
      </c>
      <c r="P26" s="5" t="str">
        <f t="shared" si="13"/>
        <v/>
      </c>
      <c r="Q26" s="5" t="str">
        <f t="shared" si="14"/>
        <v/>
      </c>
      <c r="R26" s="5" t="str">
        <f t="shared" si="15"/>
        <v/>
      </c>
      <c r="T26" s="69">
        <v>24</v>
      </c>
      <c r="U26" s="6" t="s">
        <v>7</v>
      </c>
      <c r="V26" s="3">
        <f t="shared" si="0"/>
        <v>0</v>
      </c>
      <c r="W26" s="3">
        <f t="shared" si="1"/>
        <v>0</v>
      </c>
      <c r="X26" s="3">
        <f t="shared" si="2"/>
        <v>0</v>
      </c>
      <c r="Y26" s="3">
        <f t="shared" si="3"/>
        <v>100</v>
      </c>
      <c r="Z26" s="3">
        <f t="shared" si="4"/>
        <v>0</v>
      </c>
      <c r="AA26" s="3">
        <f t="shared" si="5"/>
        <v>0</v>
      </c>
      <c r="AB26" s="3">
        <f t="shared" si="6"/>
        <v>0</v>
      </c>
      <c r="AC26" s="58"/>
      <c r="AD26" s="70" t="str">
        <f t="shared" si="7"/>
        <v/>
      </c>
      <c r="AE26" s="48">
        <f t="shared" si="8"/>
        <v>0</v>
      </c>
    </row>
    <row r="27" spans="1:31" ht="20.25" x14ac:dyDescent="0.3">
      <c r="A27" s="14"/>
      <c r="B27" s="15">
        <v>23</v>
      </c>
      <c r="C27" s="17"/>
      <c r="D27" s="15"/>
      <c r="E27" s="16"/>
      <c r="F27" s="15"/>
      <c r="G27" s="15"/>
      <c r="H27" s="18"/>
      <c r="I27" s="15" t="str">
        <f t="shared" si="9"/>
        <v xml:space="preserve"> </v>
      </c>
      <c r="J27" s="15" t="str">
        <f t="shared" si="10"/>
        <v xml:space="preserve"> </v>
      </c>
      <c r="K27" s="15"/>
      <c r="L27" s="15">
        <f t="shared" si="16"/>
        <v>0</v>
      </c>
      <c r="M27" s="5" t="str">
        <f t="shared" si="11"/>
        <v/>
      </c>
      <c r="N27" s="25" t="str">
        <f>IF(ISBLANK($E27)," ", COUNTIF($M$4:$M27,$M27))</f>
        <v xml:space="preserve"> </v>
      </c>
      <c r="O27" s="25" t="str">
        <f t="shared" si="12"/>
        <v xml:space="preserve"> </v>
      </c>
      <c r="P27" s="5" t="str">
        <f t="shared" si="13"/>
        <v/>
      </c>
      <c r="Q27" s="5" t="str">
        <f t="shared" si="14"/>
        <v/>
      </c>
      <c r="R27" s="5" t="str">
        <f t="shared" si="15"/>
        <v/>
      </c>
      <c r="T27" s="69">
        <v>25</v>
      </c>
      <c r="U27" s="6" t="s">
        <v>96</v>
      </c>
      <c r="V27" s="3">
        <f t="shared" si="0"/>
        <v>0</v>
      </c>
      <c r="W27" s="3">
        <f t="shared" si="1"/>
        <v>0</v>
      </c>
      <c r="X27" s="3">
        <f t="shared" si="2"/>
        <v>0</v>
      </c>
      <c r="Y27" s="3">
        <f t="shared" si="3"/>
        <v>100</v>
      </c>
      <c r="Z27" s="3">
        <f t="shared" si="4"/>
        <v>0</v>
      </c>
      <c r="AA27" s="3">
        <f t="shared" si="5"/>
        <v>0</v>
      </c>
      <c r="AB27" s="3">
        <f t="shared" si="6"/>
        <v>0</v>
      </c>
      <c r="AC27" s="58"/>
      <c r="AD27" s="70" t="str">
        <f t="shared" si="7"/>
        <v/>
      </c>
      <c r="AE27" s="48">
        <f t="shared" si="8"/>
        <v>0</v>
      </c>
    </row>
    <row r="28" spans="1:31" ht="20.25" x14ac:dyDescent="0.3">
      <c r="A28" s="14"/>
      <c r="B28" s="15">
        <v>24</v>
      </c>
      <c r="C28" s="17"/>
      <c r="D28" s="15"/>
      <c r="E28" s="16"/>
      <c r="F28" s="15"/>
      <c r="G28" s="15"/>
      <c r="H28" s="18"/>
      <c r="I28" s="15" t="str">
        <f t="shared" si="9"/>
        <v xml:space="preserve"> </v>
      </c>
      <c r="J28" s="15" t="str">
        <f t="shared" si="10"/>
        <v xml:space="preserve"> </v>
      </c>
      <c r="K28" s="15"/>
      <c r="L28" s="15">
        <f t="shared" si="16"/>
        <v>0</v>
      </c>
      <c r="M28" s="5" t="str">
        <f t="shared" si="11"/>
        <v/>
      </c>
      <c r="N28" s="25" t="str">
        <f>IF(ISBLANK($E28)," ", COUNTIF($M$4:$M28,$M28))</f>
        <v xml:space="preserve"> </v>
      </c>
      <c r="O28" s="25" t="str">
        <f t="shared" si="12"/>
        <v xml:space="preserve"> </v>
      </c>
      <c r="P28" s="5" t="str">
        <f t="shared" si="13"/>
        <v/>
      </c>
      <c r="Q28" s="5" t="str">
        <f t="shared" si="14"/>
        <v/>
      </c>
      <c r="R28" s="5" t="str">
        <f t="shared" si="15"/>
        <v/>
      </c>
      <c r="T28" s="69">
        <v>26</v>
      </c>
      <c r="U28" s="6" t="s">
        <v>24</v>
      </c>
      <c r="V28" s="3">
        <f t="shared" ref="V28:V30" si="17">SUMPRODUCT(--($E$5:$E$696&gt;0),--($C$5:$C$696=$U28))+SUMPRODUCT(--($H$5:$H$696&gt;0),--($F$5:$F$696=$U28))+SUMPRODUCT(--($H$5:$H$696&gt;0),--($D$5:$D$696=$U28))+SUMPRODUCT(--($H$5:$H$696&gt;0),--($G$5:$G$696=$U28))</f>
        <v>0</v>
      </c>
      <c r="W28" s="3">
        <f t="shared" ref="W28:W30" si="18">COUNTIF($J$5:$J$696,$U28)+COUNTIF($I$5:$I$696,$U28)</f>
        <v>0</v>
      </c>
      <c r="X28" s="3">
        <f t="shared" ref="X28:X30" si="19">V28-W28</f>
        <v>0</v>
      </c>
      <c r="Y28" s="3">
        <f t="shared" ref="Y28:Y30" si="20">100 + SUMIF($I$5:$I$696,$U28,$O$5:$O$696)+ SUMIF($J$5:$J$696,$U28,$O$5:$O$696)</f>
        <v>100</v>
      </c>
      <c r="Z28" s="3">
        <f t="shared" ref="Z28:Z30" si="21">SUMIF($C$5:$C$696,$U28,$E$5:$E$696)+SUMIF($F$5:$F$696,$U28,$H$5:$H$696)+SUMIF($D$5:$D$696,$U28,$E$5:$E$696)+SUMIF($G$5:$G$696,$U28,$H$5:$H$696)</f>
        <v>0</v>
      </c>
      <c r="AA28" s="3">
        <f t="shared" ref="AA28:AA30" si="22">SUMIF($C$5:$C$696,$U28,$H$5:$H$696)+SUMIF($F$5:$F$696,$U28,$E$5:$E$696)+SUMIF($D$5:$D$696,$U28,$H$5:$H$696)+SUMIF($G$5:$G$696,$U28,$E$5:$E$696)</f>
        <v>0</v>
      </c>
      <c r="AB28" s="3">
        <f t="shared" ref="AB28:AB30" si="23">Z28-AA28</f>
        <v>0</v>
      </c>
      <c r="AC28" s="58"/>
      <c r="AD28" s="70" t="str">
        <f t="shared" ref="AD28:AD30" si="24">IFERROR($W28/$V28,"")</f>
        <v/>
      </c>
      <c r="AE28" s="48">
        <f t="shared" si="8"/>
        <v>0</v>
      </c>
    </row>
    <row r="29" spans="1:31" ht="20.25" x14ac:dyDescent="0.3">
      <c r="A29" s="14"/>
      <c r="B29" s="15">
        <v>25</v>
      </c>
      <c r="C29" s="17"/>
      <c r="D29" s="15"/>
      <c r="E29" s="16"/>
      <c r="F29" s="15"/>
      <c r="G29" s="15"/>
      <c r="H29" s="18"/>
      <c r="I29" s="15" t="str">
        <f t="shared" si="9"/>
        <v xml:space="preserve"> </v>
      </c>
      <c r="J29" s="15" t="str">
        <f t="shared" si="10"/>
        <v xml:space="preserve"> </v>
      </c>
      <c r="K29" s="15"/>
      <c r="L29" s="15">
        <f t="shared" si="16"/>
        <v>0</v>
      </c>
      <c r="M29" s="5" t="str">
        <f t="shared" si="11"/>
        <v/>
      </c>
      <c r="N29" s="25" t="str">
        <f>IF(ISBLANK($E29)," ", COUNTIF($M$4:$M29,$M29))</f>
        <v xml:space="preserve"> </v>
      </c>
      <c r="O29" s="25" t="str">
        <f t="shared" si="12"/>
        <v xml:space="preserve"> </v>
      </c>
      <c r="P29" s="5" t="str">
        <f t="shared" si="13"/>
        <v/>
      </c>
      <c r="Q29" s="5" t="str">
        <f t="shared" si="14"/>
        <v/>
      </c>
      <c r="R29" s="5" t="str">
        <f t="shared" si="15"/>
        <v/>
      </c>
      <c r="T29" s="69">
        <v>27</v>
      </c>
      <c r="U29" s="6" t="s">
        <v>93</v>
      </c>
      <c r="V29" s="3">
        <f t="shared" si="17"/>
        <v>0</v>
      </c>
      <c r="W29" s="3">
        <f t="shared" si="18"/>
        <v>0</v>
      </c>
      <c r="X29" s="3">
        <f t="shared" si="19"/>
        <v>0</v>
      </c>
      <c r="Y29" s="3">
        <f t="shared" si="20"/>
        <v>100</v>
      </c>
      <c r="Z29" s="3">
        <f t="shared" si="21"/>
        <v>0</v>
      </c>
      <c r="AA29" s="3">
        <f t="shared" si="22"/>
        <v>0</v>
      </c>
      <c r="AB29" s="3">
        <f t="shared" si="23"/>
        <v>0</v>
      </c>
      <c r="AC29" s="58"/>
      <c r="AD29" s="70" t="str">
        <f t="shared" si="24"/>
        <v/>
      </c>
      <c r="AE29" s="48">
        <f t="shared" si="8"/>
        <v>0</v>
      </c>
    </row>
    <row r="30" spans="1:31" ht="21" thickBot="1" x14ac:dyDescent="0.35">
      <c r="A30" s="14"/>
      <c r="B30" s="15">
        <v>26</v>
      </c>
      <c r="C30" s="17"/>
      <c r="D30" s="15"/>
      <c r="E30" s="16"/>
      <c r="F30" s="15"/>
      <c r="G30" s="15"/>
      <c r="H30" s="18"/>
      <c r="I30" s="15" t="str">
        <f t="shared" si="9"/>
        <v xml:space="preserve"> </v>
      </c>
      <c r="J30" s="15" t="str">
        <f t="shared" si="10"/>
        <v xml:space="preserve"> </v>
      </c>
      <c r="K30" s="15"/>
      <c r="L30" s="15">
        <f t="shared" si="16"/>
        <v>0</v>
      </c>
      <c r="M30" s="5" t="str">
        <f t="shared" si="11"/>
        <v/>
      </c>
      <c r="N30" s="25" t="str">
        <f>IF(ISBLANK($E30)," ", COUNTIF($M$4:$M30,$M30))</f>
        <v xml:space="preserve"> </v>
      </c>
      <c r="O30" s="25" t="str">
        <f t="shared" si="12"/>
        <v xml:space="preserve"> </v>
      </c>
      <c r="P30" s="5" t="str">
        <f t="shared" si="13"/>
        <v/>
      </c>
      <c r="Q30" s="5" t="str">
        <f t="shared" si="14"/>
        <v/>
      </c>
      <c r="R30" s="5" t="str">
        <f t="shared" si="15"/>
        <v/>
      </c>
      <c r="T30" s="72">
        <v>28</v>
      </c>
      <c r="U30" s="73" t="s">
        <v>94</v>
      </c>
      <c r="V30" s="74">
        <f t="shared" si="17"/>
        <v>0</v>
      </c>
      <c r="W30" s="74">
        <f t="shared" si="18"/>
        <v>0</v>
      </c>
      <c r="X30" s="74">
        <f t="shared" si="19"/>
        <v>0</v>
      </c>
      <c r="Y30" s="74">
        <f t="shared" si="20"/>
        <v>100</v>
      </c>
      <c r="Z30" s="74">
        <f t="shared" si="21"/>
        <v>0</v>
      </c>
      <c r="AA30" s="74">
        <f t="shared" si="22"/>
        <v>0</v>
      </c>
      <c r="AB30" s="74">
        <f t="shared" si="23"/>
        <v>0</v>
      </c>
      <c r="AC30" s="75"/>
      <c r="AD30" s="76" t="str">
        <f t="shared" si="24"/>
        <v/>
      </c>
      <c r="AE30" s="48">
        <f t="shared" si="8"/>
        <v>0</v>
      </c>
    </row>
    <row r="31" spans="1:31" ht="20.25" x14ac:dyDescent="0.3">
      <c r="A31" s="14"/>
      <c r="B31" s="15">
        <v>27</v>
      </c>
      <c r="C31" s="17"/>
      <c r="D31" s="15"/>
      <c r="E31" s="16"/>
      <c r="F31" s="15"/>
      <c r="G31" s="15"/>
      <c r="H31" s="18"/>
      <c r="I31" s="15" t="str">
        <f t="shared" si="9"/>
        <v xml:space="preserve"> </v>
      </c>
      <c r="J31" s="15" t="str">
        <f t="shared" si="10"/>
        <v xml:space="preserve"> </v>
      </c>
      <c r="K31" s="15"/>
      <c r="L31" s="15">
        <f t="shared" si="16"/>
        <v>0</v>
      </c>
      <c r="M31" s="5" t="str">
        <f t="shared" si="11"/>
        <v/>
      </c>
      <c r="N31" s="25" t="str">
        <f>IF(ISBLANK($E31)," ", COUNTIF($M$4:$M31,$M31))</f>
        <v xml:space="preserve"> </v>
      </c>
      <c r="O31" s="25" t="str">
        <f t="shared" si="12"/>
        <v xml:space="preserve"> </v>
      </c>
      <c r="P31" s="5" t="str">
        <f t="shared" si="13"/>
        <v/>
      </c>
      <c r="Q31" s="5" t="str">
        <f t="shared" si="14"/>
        <v/>
      </c>
      <c r="R31" s="5" t="str">
        <f t="shared" si="15"/>
        <v/>
      </c>
      <c r="T31" s="64">
        <v>29</v>
      </c>
      <c r="AE31" s="48">
        <f t="shared" si="8"/>
        <v>0</v>
      </c>
    </row>
    <row r="32" spans="1:31" ht="20.25" x14ac:dyDescent="0.3">
      <c r="A32" s="14"/>
      <c r="B32" s="15">
        <v>28</v>
      </c>
      <c r="C32" s="22"/>
      <c r="D32" s="15"/>
      <c r="E32" s="23"/>
      <c r="F32" s="15"/>
      <c r="G32" s="15"/>
      <c r="H32" s="24"/>
      <c r="I32" s="15" t="str">
        <f t="shared" si="9"/>
        <v xml:space="preserve"> </v>
      </c>
      <c r="J32" s="15" t="str">
        <f t="shared" si="10"/>
        <v xml:space="preserve"> </v>
      </c>
      <c r="K32" s="15"/>
      <c r="L32" s="15">
        <f t="shared" si="16"/>
        <v>0</v>
      </c>
      <c r="M32" s="5" t="str">
        <f t="shared" si="11"/>
        <v/>
      </c>
      <c r="N32" s="25" t="str">
        <f>IF(ISBLANK($E32)," ", COUNTIF($M$4:$M32,$M32))</f>
        <v xml:space="preserve"> </v>
      </c>
      <c r="O32" s="25" t="str">
        <f t="shared" si="12"/>
        <v xml:space="preserve"> </v>
      </c>
      <c r="P32" s="5" t="str">
        <f t="shared" si="13"/>
        <v/>
      </c>
      <c r="Q32" s="5" t="str">
        <f t="shared" si="14"/>
        <v/>
      </c>
      <c r="R32" s="5" t="str">
        <f t="shared" si="15"/>
        <v/>
      </c>
      <c r="T32" s="2">
        <v>30</v>
      </c>
      <c r="AE32" s="48">
        <f t="shared" si="8"/>
        <v>0</v>
      </c>
    </row>
    <row r="33" spans="1:31" ht="20.25" x14ac:dyDescent="0.3">
      <c r="A33" s="14"/>
      <c r="B33" s="15">
        <v>29</v>
      </c>
      <c r="C33" s="22"/>
      <c r="D33" s="15"/>
      <c r="E33" s="23"/>
      <c r="F33" s="15"/>
      <c r="G33" s="15"/>
      <c r="H33" s="24"/>
      <c r="I33" s="15" t="str">
        <f t="shared" si="9"/>
        <v xml:space="preserve"> </v>
      </c>
      <c r="J33" s="15" t="str">
        <f t="shared" si="10"/>
        <v xml:space="preserve"> </v>
      </c>
      <c r="K33" s="15"/>
      <c r="L33" s="15">
        <f t="shared" si="16"/>
        <v>0</v>
      </c>
      <c r="M33" s="5" t="str">
        <f t="shared" si="11"/>
        <v/>
      </c>
      <c r="N33" s="25" t="str">
        <f>IF(ISBLANK($E33)," ", COUNTIF($M$4:$M33,$M33))</f>
        <v xml:space="preserve"> </v>
      </c>
      <c r="O33" s="25" t="str">
        <f t="shared" si="12"/>
        <v xml:space="preserve"> </v>
      </c>
      <c r="P33" s="5" t="str">
        <f t="shared" si="13"/>
        <v/>
      </c>
      <c r="Q33" s="5" t="str">
        <f t="shared" si="14"/>
        <v/>
      </c>
      <c r="R33" s="5" t="str">
        <f t="shared" si="15"/>
        <v/>
      </c>
      <c r="T33" s="2">
        <v>31</v>
      </c>
      <c r="AE33" s="48">
        <f t="shared" si="8"/>
        <v>0</v>
      </c>
    </row>
    <row r="34" spans="1:31" ht="20.25" x14ac:dyDescent="0.3">
      <c r="A34" s="14"/>
      <c r="B34" s="15">
        <v>30</v>
      </c>
      <c r="C34" s="22"/>
      <c r="D34" s="15"/>
      <c r="E34" s="23"/>
      <c r="F34" s="15"/>
      <c r="G34" s="15"/>
      <c r="H34" s="24"/>
      <c r="I34" s="15" t="str">
        <f t="shared" si="9"/>
        <v xml:space="preserve"> </v>
      </c>
      <c r="J34" s="15" t="str">
        <f t="shared" si="10"/>
        <v xml:space="preserve"> </v>
      </c>
      <c r="K34" s="15"/>
      <c r="L34" s="15">
        <f t="shared" si="16"/>
        <v>0</v>
      </c>
      <c r="M34" s="5" t="str">
        <f t="shared" si="11"/>
        <v/>
      </c>
      <c r="N34" s="25" t="str">
        <f>IF(ISBLANK($E34)," ", COUNTIF($M$4:$M34,$M34))</f>
        <v xml:space="preserve"> </v>
      </c>
      <c r="O34" s="25" t="str">
        <f t="shared" si="12"/>
        <v xml:space="preserve"> </v>
      </c>
      <c r="P34" s="5" t="str">
        <f t="shared" si="13"/>
        <v/>
      </c>
      <c r="Q34" s="5" t="str">
        <f t="shared" si="14"/>
        <v/>
      </c>
      <c r="R34" s="5" t="str">
        <f t="shared" si="15"/>
        <v/>
      </c>
      <c r="T34" s="2">
        <v>32</v>
      </c>
      <c r="AE34" s="48">
        <f t="shared" si="8"/>
        <v>0</v>
      </c>
    </row>
    <row r="35" spans="1:31" ht="20.25" x14ac:dyDescent="0.3">
      <c r="A35" s="14"/>
      <c r="B35" s="15">
        <v>31</v>
      </c>
      <c r="C35" s="22"/>
      <c r="D35" s="15"/>
      <c r="E35" s="23"/>
      <c r="F35" s="15"/>
      <c r="G35" s="15"/>
      <c r="H35" s="24"/>
      <c r="I35" s="15" t="str">
        <f t="shared" si="9"/>
        <v xml:space="preserve"> </v>
      </c>
      <c r="J35" s="15" t="str">
        <f t="shared" si="10"/>
        <v xml:space="preserve"> </v>
      </c>
      <c r="K35" s="15"/>
      <c r="L35" s="15">
        <f t="shared" si="16"/>
        <v>0</v>
      </c>
      <c r="M35" s="5" t="str">
        <f t="shared" si="11"/>
        <v/>
      </c>
      <c r="N35" s="25" t="str">
        <f>IF(ISBLANK($E35)," ", COUNTIF($M$4:$M35,$M35))</f>
        <v xml:space="preserve"> </v>
      </c>
      <c r="O35" s="25" t="str">
        <f t="shared" si="12"/>
        <v xml:space="preserve"> </v>
      </c>
      <c r="P35" s="5" t="str">
        <f t="shared" si="13"/>
        <v/>
      </c>
      <c r="Q35" s="5" t="str">
        <f t="shared" si="14"/>
        <v/>
      </c>
      <c r="R35" s="5" t="str">
        <f t="shared" si="15"/>
        <v/>
      </c>
      <c r="T35" s="2">
        <v>33</v>
      </c>
      <c r="AE35" s="48">
        <f t="shared" si="8"/>
        <v>0</v>
      </c>
    </row>
    <row r="36" spans="1:31" ht="20.25" x14ac:dyDescent="0.3">
      <c r="A36" s="14"/>
      <c r="B36" s="15">
        <v>32</v>
      </c>
      <c r="C36" s="22"/>
      <c r="D36" s="15"/>
      <c r="E36" s="23"/>
      <c r="F36" s="15"/>
      <c r="G36" s="15"/>
      <c r="H36" s="24"/>
      <c r="I36" s="15" t="str">
        <f t="shared" si="9"/>
        <v xml:space="preserve"> </v>
      </c>
      <c r="J36" s="15" t="str">
        <f t="shared" si="10"/>
        <v xml:space="preserve"> </v>
      </c>
      <c r="K36" s="15"/>
      <c r="L36" s="15">
        <f t="shared" si="16"/>
        <v>0</v>
      </c>
      <c r="M36" s="5" t="str">
        <f t="shared" si="11"/>
        <v/>
      </c>
      <c r="N36" s="25" t="str">
        <f>IF(ISBLANK($E36)," ", COUNTIF($M$4:$M36,$M36))</f>
        <v xml:space="preserve"> </v>
      </c>
      <c r="O36" s="25" t="str">
        <f t="shared" si="12"/>
        <v xml:space="preserve"> </v>
      </c>
      <c r="P36" s="5" t="str">
        <f t="shared" si="13"/>
        <v/>
      </c>
      <c r="Q36" s="5" t="str">
        <f t="shared" si="14"/>
        <v/>
      </c>
      <c r="R36" s="5" t="str">
        <f t="shared" si="15"/>
        <v/>
      </c>
    </row>
    <row r="37" spans="1:31" ht="20.25" x14ac:dyDescent="0.3">
      <c r="A37" s="14"/>
      <c r="B37" s="15">
        <v>33</v>
      </c>
      <c r="C37" s="22"/>
      <c r="D37" s="15"/>
      <c r="E37" s="23"/>
      <c r="F37" s="15"/>
      <c r="G37" s="15"/>
      <c r="H37" s="24"/>
      <c r="I37" s="15" t="str">
        <f t="shared" si="9"/>
        <v xml:space="preserve"> </v>
      </c>
      <c r="J37" s="15" t="str">
        <f t="shared" si="10"/>
        <v xml:space="preserve"> </v>
      </c>
      <c r="K37" s="15"/>
      <c r="L37" s="15">
        <f t="shared" si="16"/>
        <v>0</v>
      </c>
      <c r="M37" s="5" t="str">
        <f t="shared" si="11"/>
        <v/>
      </c>
      <c r="N37" s="25" t="str">
        <f>IF(ISBLANK($E37)," ", COUNTIF($M$4:$M37,$M37))</f>
        <v xml:space="preserve"> </v>
      </c>
      <c r="O37" s="25" t="str">
        <f t="shared" si="12"/>
        <v xml:space="preserve"> </v>
      </c>
      <c r="P37" s="5" t="str">
        <f t="shared" si="13"/>
        <v/>
      </c>
      <c r="Q37" s="5" t="str">
        <f t="shared" si="14"/>
        <v/>
      </c>
      <c r="R37" s="5" t="str">
        <f t="shared" si="15"/>
        <v/>
      </c>
    </row>
    <row r="38" spans="1:31" ht="20.25" x14ac:dyDescent="0.3">
      <c r="A38" s="14"/>
      <c r="B38" s="15">
        <v>34</v>
      </c>
      <c r="C38" s="22"/>
      <c r="D38" s="15"/>
      <c r="E38" s="23"/>
      <c r="F38" s="15"/>
      <c r="G38" s="15"/>
      <c r="H38" s="24"/>
      <c r="I38" s="15" t="str">
        <f t="shared" si="9"/>
        <v xml:space="preserve"> </v>
      </c>
      <c r="J38" s="15" t="str">
        <f t="shared" si="10"/>
        <v xml:space="preserve"> </v>
      </c>
      <c r="K38" s="15"/>
      <c r="L38" s="15">
        <f t="shared" si="16"/>
        <v>0</v>
      </c>
      <c r="M38" s="5" t="str">
        <f t="shared" si="11"/>
        <v/>
      </c>
      <c r="N38" s="25" t="str">
        <f>IF(ISBLANK($E38)," ", COUNTIF($M$4:$M38,$M38))</f>
        <v xml:space="preserve"> </v>
      </c>
      <c r="O38" s="25" t="str">
        <f t="shared" si="12"/>
        <v xml:space="preserve"> </v>
      </c>
      <c r="P38" s="5" t="str">
        <f t="shared" si="13"/>
        <v/>
      </c>
      <c r="Q38" s="5" t="str">
        <f t="shared" si="14"/>
        <v/>
      </c>
      <c r="R38" s="5" t="str">
        <f t="shared" si="15"/>
        <v/>
      </c>
    </row>
    <row r="39" spans="1:31" ht="20.25" x14ac:dyDescent="0.3">
      <c r="A39" s="14"/>
      <c r="B39" s="15">
        <v>35</v>
      </c>
      <c r="C39" s="22"/>
      <c r="D39" s="15"/>
      <c r="E39" s="23"/>
      <c r="F39" s="15"/>
      <c r="G39" s="15"/>
      <c r="H39" s="24"/>
      <c r="I39" s="15" t="str">
        <f t="shared" si="9"/>
        <v xml:space="preserve"> </v>
      </c>
      <c r="J39" s="15" t="str">
        <f t="shared" si="10"/>
        <v xml:space="preserve"> </v>
      </c>
      <c r="K39" s="15"/>
      <c r="L39" s="15">
        <f t="shared" si="16"/>
        <v>0</v>
      </c>
      <c r="M39" s="5" t="str">
        <f t="shared" si="11"/>
        <v/>
      </c>
      <c r="N39" s="25" t="str">
        <f>IF(ISBLANK($E39)," ", COUNTIF($M$4:$M39,$M39))</f>
        <v xml:space="preserve"> </v>
      </c>
      <c r="O39" s="25" t="str">
        <f t="shared" si="12"/>
        <v xml:space="preserve"> </v>
      </c>
      <c r="P39" s="5" t="str">
        <f t="shared" si="13"/>
        <v/>
      </c>
      <c r="Q39" s="5" t="str">
        <f t="shared" si="14"/>
        <v/>
      </c>
      <c r="R39" s="5" t="str">
        <f t="shared" si="15"/>
        <v/>
      </c>
      <c r="U39" s="6" t="s">
        <v>5</v>
      </c>
      <c r="V39" s="3">
        <f>SUMPRODUCT(--($E$5:$E$696&gt;0),--($C$5:$C$696=$U39))+SUMPRODUCT(--($H$5:$H$696&gt;0),--($F$5:$F$696=$U39))+SUMPRODUCT(--($H$5:$H$696&gt;0),--($D$5:$D$696=$U39))+SUMPRODUCT(--($H$5:$H$696&gt;0),--($G$5:$G$696=$U39))</f>
        <v>0</v>
      </c>
      <c r="W39" s="3">
        <f>COUNTIF($J$5:$J$696,$U39)+COUNTIF($I$5:$I$696,$U39)</f>
        <v>0</v>
      </c>
      <c r="X39" s="3">
        <f>V39-W39</f>
        <v>0</v>
      </c>
      <c r="Y39" s="3">
        <f>100 + SUMIF($I$5:$I$696,$U39,$O$5:$O$696)+ SUMIF($J$5:$J$696,$U39,$O$5:$O$696)</f>
        <v>100</v>
      </c>
      <c r="Z39" s="3">
        <f>SUMIF($C$5:$C$696,$U39,$E$5:$E$696)+SUMIF($F$5:$F$696,$U39,$H$5:$H$696)+SUMIF($D$5:$D$696,$U39,$E$5:$E$696)+SUMIF($G$5:$G$696,$U39,$H$5:$H$696)</f>
        <v>0</v>
      </c>
      <c r="AA39" s="3">
        <f>SUMIF($C$5:$C$696,$U39,$H$5:$H$696)+SUMIF($F$5:$F$696,$U39,$E$5:$E$696)+SUMIF($D$5:$D$696,$U39,$H$5:$H$696)+SUMIF($G$5:$G$696,$U39,$E$5:$E$696)</f>
        <v>0</v>
      </c>
      <c r="AB39" s="3">
        <f>Z39-AA39</f>
        <v>0</v>
      </c>
      <c r="AC39" s="39"/>
      <c r="AD39" s="41" t="str">
        <f>IFERROR($W39/$V39,"")</f>
        <v/>
      </c>
    </row>
    <row r="40" spans="1:31" ht="20.25" x14ac:dyDescent="0.3">
      <c r="A40" s="14"/>
      <c r="B40" s="15">
        <v>36</v>
      </c>
      <c r="C40" s="22"/>
      <c r="D40" s="15"/>
      <c r="E40" s="23"/>
      <c r="F40" s="15"/>
      <c r="G40" s="15"/>
      <c r="H40" s="24"/>
      <c r="I40" s="15" t="str">
        <f t="shared" si="9"/>
        <v xml:space="preserve"> </v>
      </c>
      <c r="J40" s="15" t="str">
        <f t="shared" si="10"/>
        <v xml:space="preserve"> </v>
      </c>
      <c r="K40" s="15"/>
      <c r="L40" s="15">
        <f t="shared" si="16"/>
        <v>0</v>
      </c>
      <c r="M40" s="5" t="str">
        <f t="shared" si="11"/>
        <v/>
      </c>
      <c r="N40" s="25" t="str">
        <f>IF(ISBLANK($E40)," ", COUNTIF($M$4:$M40,$M40))</f>
        <v xml:space="preserve"> </v>
      </c>
      <c r="O40" s="25" t="str">
        <f t="shared" si="12"/>
        <v xml:space="preserve"> </v>
      </c>
      <c r="P40" s="5" t="str">
        <f t="shared" si="13"/>
        <v/>
      </c>
      <c r="Q40" s="5" t="str">
        <f t="shared" si="14"/>
        <v/>
      </c>
      <c r="R40" s="5" t="str">
        <f t="shared" si="15"/>
        <v/>
      </c>
      <c r="U40" s="6" t="s">
        <v>2</v>
      </c>
      <c r="V40" s="3">
        <f>SUMPRODUCT(--($E$5:$E$696&gt;0),--($C$5:$C$696=$U40))+SUMPRODUCT(--($H$5:$H$696&gt;0),--($F$5:$F$696=$U40))+SUMPRODUCT(--($H$5:$H$696&gt;0),--($D$5:$D$696=$U40))+SUMPRODUCT(--($H$5:$H$696&gt;0),--($G$5:$G$696=$U40))</f>
        <v>0</v>
      </c>
      <c r="W40" s="3">
        <f>COUNTIF($J$5:$J$696,$U40)+COUNTIF($I$5:$I$696,$U40)</f>
        <v>0</v>
      </c>
      <c r="X40" s="3">
        <f>V40-W40</f>
        <v>0</v>
      </c>
      <c r="Y40" s="3">
        <f>100 + SUMIF($I$5:$I$696,$U40,$O$5:$O$696)+ SUMIF($J$5:$J$696,$U40,$O$5:$O$696)</f>
        <v>100</v>
      </c>
      <c r="Z40" s="3">
        <f>SUMIF($C$5:$C$696,$U40,$E$5:$E$696)+SUMIF($F$5:$F$696,$U40,$H$5:$H$696)+SUMIF($D$5:$D$696,$U40,$E$5:$E$696)+SUMIF($G$5:$G$696,$U40,$H$5:$H$696)</f>
        <v>0</v>
      </c>
      <c r="AA40" s="3">
        <f>SUMIF($C$5:$C$696,$U40,$H$5:$H$696)+SUMIF($F$5:$F$696,$U40,$E$5:$E$696)+SUMIF($D$5:$D$696,$U40,$H$5:$H$696)+SUMIF($G$5:$G$696,$U40,$E$5:$E$696)</f>
        <v>0</v>
      </c>
      <c r="AB40" s="3">
        <f>Z40-AA40</f>
        <v>0</v>
      </c>
      <c r="AD40" s="41" t="str">
        <f>IFERROR($W40/$V40,"")</f>
        <v/>
      </c>
    </row>
    <row r="41" spans="1:31" ht="20.25" x14ac:dyDescent="0.3">
      <c r="A41" s="14"/>
      <c r="B41" s="15">
        <v>37</v>
      </c>
      <c r="C41" s="22"/>
      <c r="D41" s="15"/>
      <c r="E41" s="23"/>
      <c r="F41" s="15"/>
      <c r="G41" s="15"/>
      <c r="H41" s="24"/>
      <c r="I41" s="15" t="str">
        <f t="shared" si="9"/>
        <v xml:space="preserve"> </v>
      </c>
      <c r="J41" s="15" t="str">
        <f t="shared" si="10"/>
        <v xml:space="preserve"> </v>
      </c>
      <c r="K41" s="15"/>
      <c r="L41" s="15">
        <f t="shared" si="16"/>
        <v>0</v>
      </c>
      <c r="M41" s="5" t="str">
        <f t="shared" si="11"/>
        <v/>
      </c>
      <c r="N41" s="25" t="str">
        <f>IF(ISBLANK($E41)," ", COUNTIF($M$4:$M41,$M41))</f>
        <v xml:space="preserve"> </v>
      </c>
      <c r="O41" s="25" t="str">
        <f t="shared" si="12"/>
        <v xml:space="preserve"> </v>
      </c>
      <c r="P41" s="5" t="str">
        <f t="shared" si="13"/>
        <v/>
      </c>
      <c r="Q41" s="5" t="str">
        <f t="shared" si="14"/>
        <v/>
      </c>
      <c r="R41" s="5" t="str">
        <f t="shared" si="15"/>
        <v/>
      </c>
      <c r="U41" s="62"/>
    </row>
    <row r="42" spans="1:31" ht="20.25" x14ac:dyDescent="0.3">
      <c r="A42" s="14"/>
      <c r="B42" s="15">
        <v>38</v>
      </c>
      <c r="C42" s="22"/>
      <c r="D42" s="15"/>
      <c r="E42" s="23"/>
      <c r="F42" s="15"/>
      <c r="G42" s="15"/>
      <c r="H42" s="24"/>
      <c r="I42" s="15" t="str">
        <f t="shared" si="9"/>
        <v xml:space="preserve"> </v>
      </c>
      <c r="J42" s="15" t="str">
        <f t="shared" si="10"/>
        <v xml:space="preserve"> </v>
      </c>
      <c r="K42" s="15"/>
      <c r="L42" s="15">
        <f t="shared" si="16"/>
        <v>0</v>
      </c>
      <c r="M42" s="5" t="str">
        <f t="shared" si="11"/>
        <v/>
      </c>
      <c r="N42" s="25" t="str">
        <f>IF(ISBLANK($E42)," ", COUNTIF($M$4:$M42,$M42))</f>
        <v xml:space="preserve"> </v>
      </c>
      <c r="O42" s="25" t="str">
        <f t="shared" si="12"/>
        <v xml:space="preserve"> </v>
      </c>
      <c r="P42" s="5" t="str">
        <f t="shared" si="13"/>
        <v/>
      </c>
      <c r="Q42" s="5" t="str">
        <f t="shared" si="14"/>
        <v/>
      </c>
      <c r="R42" s="5" t="str">
        <f t="shared" si="15"/>
        <v/>
      </c>
      <c r="U42" s="62"/>
    </row>
    <row r="43" spans="1:31" ht="20.25" x14ac:dyDescent="0.3">
      <c r="A43" s="14"/>
      <c r="B43" s="15">
        <v>39</v>
      </c>
      <c r="C43" s="22"/>
      <c r="D43" s="15"/>
      <c r="E43" s="23"/>
      <c r="F43" s="15"/>
      <c r="G43" s="15"/>
      <c r="H43" s="24"/>
      <c r="I43" s="15" t="str">
        <f t="shared" si="9"/>
        <v xml:space="preserve"> </v>
      </c>
      <c r="J43" s="15" t="str">
        <f t="shared" si="10"/>
        <v xml:space="preserve"> </v>
      </c>
      <c r="K43" s="15"/>
      <c r="L43" s="15">
        <f t="shared" si="16"/>
        <v>0</v>
      </c>
      <c r="M43" s="5" t="str">
        <f t="shared" si="11"/>
        <v/>
      </c>
      <c r="N43" s="25" t="str">
        <f>IF(ISBLANK($E43)," ", COUNTIF($M$4:$M43,$M43))</f>
        <v xml:space="preserve"> </v>
      </c>
      <c r="O43" s="25" t="str">
        <f t="shared" si="12"/>
        <v xml:space="preserve"> </v>
      </c>
      <c r="P43" s="5" t="str">
        <f t="shared" si="13"/>
        <v/>
      </c>
      <c r="Q43" s="5" t="str">
        <f t="shared" si="14"/>
        <v/>
      </c>
      <c r="R43" s="5" t="str">
        <f t="shared" si="15"/>
        <v/>
      </c>
      <c r="U43" s="62"/>
    </row>
    <row r="44" spans="1:31" ht="20.25" x14ac:dyDescent="0.3">
      <c r="A44" s="14"/>
      <c r="B44" s="15">
        <v>40</v>
      </c>
      <c r="C44" s="22"/>
      <c r="D44" s="15"/>
      <c r="E44" s="23"/>
      <c r="F44" s="15"/>
      <c r="G44" s="15"/>
      <c r="H44" s="24"/>
      <c r="I44" s="15" t="str">
        <f t="shared" si="9"/>
        <v xml:space="preserve"> </v>
      </c>
      <c r="J44" s="15" t="str">
        <f t="shared" si="10"/>
        <v xml:space="preserve"> </v>
      </c>
      <c r="K44" s="15"/>
      <c r="L44" s="15">
        <f t="shared" si="16"/>
        <v>0</v>
      </c>
      <c r="M44" s="5" t="str">
        <f t="shared" si="11"/>
        <v/>
      </c>
      <c r="N44" s="25" t="str">
        <f>IF(ISBLANK($E44)," ", COUNTIF($M$4:$M44,$M44))</f>
        <v xml:space="preserve"> </v>
      </c>
      <c r="O44" s="25" t="str">
        <f t="shared" si="12"/>
        <v xml:space="preserve"> </v>
      </c>
      <c r="P44" s="5" t="str">
        <f t="shared" si="13"/>
        <v/>
      </c>
      <c r="Q44" s="5" t="str">
        <f t="shared" si="14"/>
        <v/>
      </c>
      <c r="R44" s="5" t="str">
        <f t="shared" si="15"/>
        <v/>
      </c>
      <c r="U44" s="62"/>
    </row>
    <row r="45" spans="1:31" ht="20.25" x14ac:dyDescent="0.3">
      <c r="A45" s="14"/>
      <c r="B45" s="15">
        <v>41</v>
      </c>
      <c r="C45" s="22"/>
      <c r="D45" s="15"/>
      <c r="E45" s="23"/>
      <c r="F45" s="15"/>
      <c r="G45" s="15"/>
      <c r="H45" s="24"/>
      <c r="I45" s="15" t="str">
        <f t="shared" si="9"/>
        <v xml:space="preserve"> </v>
      </c>
      <c r="J45" s="15" t="str">
        <f t="shared" si="10"/>
        <v xml:space="preserve"> </v>
      </c>
      <c r="K45" s="15"/>
      <c r="L45" s="15">
        <f t="shared" si="16"/>
        <v>0</v>
      </c>
      <c r="M45" s="5" t="str">
        <f t="shared" si="11"/>
        <v/>
      </c>
      <c r="N45" s="25" t="str">
        <f>IF(ISBLANK($E45)," ", COUNTIF($M$4:$M45,$M45))</f>
        <v xml:space="preserve"> </v>
      </c>
      <c r="O45" s="25" t="str">
        <f t="shared" si="12"/>
        <v xml:space="preserve"> </v>
      </c>
      <c r="P45" s="5" t="str">
        <f t="shared" si="13"/>
        <v/>
      </c>
      <c r="Q45" s="5" t="str">
        <f t="shared" si="14"/>
        <v/>
      </c>
      <c r="R45" s="5" t="str">
        <f t="shared" si="15"/>
        <v/>
      </c>
      <c r="U45" s="6" t="s">
        <v>71</v>
      </c>
      <c r="V45" s="3">
        <f>SUMPRODUCT(--($E$5:$E$696&gt;0),--($C$5:$C$696=$U45))+SUMPRODUCT(--($H$5:$H$696&gt;0),--($F$5:$F$696=$U45))+SUMPRODUCT(--($H$5:$H$696&gt;0),--($D$5:$D$696=$U45))+SUMPRODUCT(--($H$5:$H$696&gt;0),--($G$5:$G$696=$U45))</f>
        <v>0</v>
      </c>
      <c r="W45" s="3">
        <f>COUNTIF($J$5:$J$696,$U45)+COUNTIF($I$5:$I$696,$U45)</f>
        <v>0</v>
      </c>
      <c r="X45" s="3">
        <f>V45-W45</f>
        <v>0</v>
      </c>
      <c r="Y45" s="3">
        <f>100 + SUMIF($I$5:$I$696,$U45,$O$5:$O$696)+ SUMIF($J$5:$J$696,$U45,$O$5:$O$696)</f>
        <v>100</v>
      </c>
      <c r="Z45" s="3">
        <f>SUMIF($C$5:$C$696,$U45,$E$5:$E$696)+SUMIF($F$5:$F$696,$U45,$H$5:$H$696)+SUMIF($D$5:$D$696,$U45,$E$5:$E$696)+SUMIF($G$5:$G$696,$U45,$H$5:$H$696)</f>
        <v>0</v>
      </c>
      <c r="AA45" s="3">
        <f>SUMIF($C$5:$C$696,$U45,$H$5:$H$696)+SUMIF($F$5:$F$696,$U45,$E$5:$E$696)+SUMIF($D$5:$D$696,$U45,$H$5:$H$696)+SUMIF($G$5:$G$696,$U45,$E$5:$E$696)</f>
        <v>0</v>
      </c>
      <c r="AB45" s="3">
        <f>Z45-AA45</f>
        <v>0</v>
      </c>
      <c r="AC45" s="58"/>
      <c r="AD45" s="41" t="str">
        <f>IFERROR($W45/$V45,"")</f>
        <v/>
      </c>
    </row>
    <row r="46" spans="1:31" ht="20.25" x14ac:dyDescent="0.3">
      <c r="A46" s="14"/>
      <c r="B46" s="15">
        <v>42</v>
      </c>
      <c r="C46" s="22"/>
      <c r="D46" s="15"/>
      <c r="E46" s="23"/>
      <c r="F46" s="15"/>
      <c r="G46" s="15"/>
      <c r="H46" s="24"/>
      <c r="I46" s="15" t="str">
        <f t="shared" si="9"/>
        <v xml:space="preserve"> </v>
      </c>
      <c r="J46" s="15" t="str">
        <f t="shared" si="10"/>
        <v xml:space="preserve"> </v>
      </c>
      <c r="K46" s="15"/>
      <c r="L46" s="15">
        <f t="shared" si="16"/>
        <v>0</v>
      </c>
      <c r="M46" s="5" t="str">
        <f t="shared" si="11"/>
        <v/>
      </c>
      <c r="N46" s="25" t="str">
        <f>IF(ISBLANK($E46)," ", COUNTIF($M$4:$M46,$M46))</f>
        <v xml:space="preserve"> </v>
      </c>
      <c r="O46" s="25" t="str">
        <f t="shared" si="12"/>
        <v xml:space="preserve"> </v>
      </c>
      <c r="P46" s="5" t="str">
        <f t="shared" si="13"/>
        <v/>
      </c>
      <c r="Q46" s="5" t="str">
        <f t="shared" si="14"/>
        <v/>
      </c>
      <c r="R46" s="5" t="str">
        <f t="shared" si="15"/>
        <v/>
      </c>
      <c r="U46" s="62"/>
    </row>
    <row r="47" spans="1:31" ht="20.25" x14ac:dyDescent="0.3">
      <c r="A47" s="14"/>
      <c r="B47" s="15">
        <v>43</v>
      </c>
      <c r="C47" s="22"/>
      <c r="D47" s="15"/>
      <c r="E47" s="23"/>
      <c r="F47" s="15"/>
      <c r="G47" s="15"/>
      <c r="H47" s="24"/>
      <c r="I47" s="15" t="str">
        <f t="shared" si="9"/>
        <v xml:space="preserve"> </v>
      </c>
      <c r="J47" s="15" t="str">
        <f t="shared" si="10"/>
        <v xml:space="preserve"> </v>
      </c>
      <c r="K47" s="15"/>
      <c r="L47" s="15">
        <f t="shared" si="16"/>
        <v>0</v>
      </c>
      <c r="M47" s="5" t="str">
        <f t="shared" si="11"/>
        <v/>
      </c>
      <c r="N47" s="25" t="str">
        <f>IF(ISBLANK($E47)," ", COUNTIF($M$4:$M47,$M47))</f>
        <v xml:space="preserve"> </v>
      </c>
      <c r="O47" s="25" t="str">
        <f t="shared" si="12"/>
        <v xml:space="preserve"> </v>
      </c>
      <c r="P47" s="5" t="str">
        <f t="shared" si="13"/>
        <v/>
      </c>
      <c r="Q47" s="5" t="str">
        <f t="shared" si="14"/>
        <v/>
      </c>
      <c r="R47" s="5" t="str">
        <f t="shared" si="15"/>
        <v/>
      </c>
      <c r="U47" s="62"/>
    </row>
    <row r="48" spans="1:31" ht="20.25" x14ac:dyDescent="0.3">
      <c r="A48" s="14"/>
      <c r="B48" s="15">
        <v>44</v>
      </c>
      <c r="C48" s="22"/>
      <c r="D48" s="15"/>
      <c r="E48" s="23"/>
      <c r="F48" s="15"/>
      <c r="G48" s="15"/>
      <c r="H48" s="24"/>
      <c r="I48" s="15" t="str">
        <f t="shared" si="9"/>
        <v xml:space="preserve"> </v>
      </c>
      <c r="J48" s="15" t="str">
        <f t="shared" si="10"/>
        <v xml:space="preserve"> </v>
      </c>
      <c r="K48" s="15"/>
      <c r="L48" s="15">
        <f t="shared" si="16"/>
        <v>0</v>
      </c>
      <c r="M48" s="5" t="str">
        <f t="shared" si="11"/>
        <v/>
      </c>
      <c r="N48" s="25" t="str">
        <f>IF(ISBLANK($E48)," ", COUNTIF($M$4:$M48,$M48))</f>
        <v xml:space="preserve"> </v>
      </c>
      <c r="O48" s="25" t="str">
        <f t="shared" si="12"/>
        <v xml:space="preserve"> </v>
      </c>
      <c r="P48" s="5" t="str">
        <f t="shared" si="13"/>
        <v/>
      </c>
      <c r="Q48" s="5" t="str">
        <f t="shared" si="14"/>
        <v/>
      </c>
      <c r="R48" s="5" t="str">
        <f t="shared" si="15"/>
        <v/>
      </c>
      <c r="U48" s="6" t="s">
        <v>109</v>
      </c>
      <c r="V48" s="3">
        <f>SUMPRODUCT(--($E$5:$E$696&gt;0),--($C$5:$C$696=$U48))+SUMPRODUCT(--($H$5:$H$696&gt;0),--($F$5:$F$696=$U48))+SUMPRODUCT(--($H$5:$H$696&gt;0),--($D$5:$D$696=$U48))+SUMPRODUCT(--($H$5:$H$696&gt;0),--($G$5:$G$696=$U48))</f>
        <v>0</v>
      </c>
      <c r="W48" s="3">
        <f>COUNTIF($J$5:$J$696,$U48)+COUNTIF($I$5:$I$696,$U48)</f>
        <v>0</v>
      </c>
      <c r="X48" s="3">
        <f>V48-W48</f>
        <v>0</v>
      </c>
      <c r="Y48" s="3">
        <f>100 + SUMIF($I$5:$I$696,$U48,$O$5:$O$696)+ SUMIF($J$5:$J$696,$U48,$O$5:$O$696)</f>
        <v>100</v>
      </c>
      <c r="Z48" s="3">
        <f>SUMIF($C$5:$C$696,$U48,$E$5:$E$696)+SUMIF($F$5:$F$696,$U48,$H$5:$H$696)+SUMIF($D$5:$D$696,$U48,$E$5:$E$696)+SUMIF($G$5:$G$696,$U48,$H$5:$H$696)</f>
        <v>0</v>
      </c>
      <c r="AA48" s="3">
        <f>SUMIF($C$5:$C$696,$U48,$H$5:$H$696)+SUMIF($F$5:$F$696,$U48,$E$5:$E$696)+SUMIF($D$5:$D$696,$U48,$H$5:$H$696)+SUMIF($G$5:$G$696,$U48,$E$5:$E$696)</f>
        <v>0</v>
      </c>
      <c r="AB48" s="3">
        <f>Z48-AA48</f>
        <v>0</v>
      </c>
      <c r="AD48" s="41" t="str">
        <f>IFERROR($W48/$V48,"")</f>
        <v/>
      </c>
    </row>
    <row r="49" spans="1:30" ht="20.25" x14ac:dyDescent="0.3">
      <c r="A49" s="14"/>
      <c r="B49" s="15">
        <v>45</v>
      </c>
      <c r="C49" s="22"/>
      <c r="D49" s="15"/>
      <c r="E49" s="23"/>
      <c r="F49" s="15"/>
      <c r="G49" s="15"/>
      <c r="H49" s="24"/>
      <c r="I49" s="15" t="str">
        <f t="shared" si="9"/>
        <v xml:space="preserve"> </v>
      </c>
      <c r="J49" s="15" t="str">
        <f t="shared" si="10"/>
        <v xml:space="preserve"> </v>
      </c>
      <c r="K49" s="15"/>
      <c r="L49" s="15">
        <f t="shared" si="16"/>
        <v>0</v>
      </c>
      <c r="M49" s="5" t="str">
        <f t="shared" si="11"/>
        <v/>
      </c>
      <c r="N49" s="25" t="str">
        <f>IF(ISBLANK($E49)," ", COUNTIF($M$4:$M49,$M49))</f>
        <v xml:space="preserve"> </v>
      </c>
      <c r="O49" s="25" t="str">
        <f t="shared" si="12"/>
        <v xml:space="preserve"> </v>
      </c>
      <c r="P49" s="5" t="str">
        <f t="shared" si="13"/>
        <v/>
      </c>
      <c r="Q49" s="5" t="str">
        <f t="shared" si="14"/>
        <v/>
      </c>
      <c r="R49" s="5" t="str">
        <f t="shared" si="15"/>
        <v/>
      </c>
      <c r="U49" s="62"/>
    </row>
    <row r="50" spans="1:30" ht="20.25" x14ac:dyDescent="0.3">
      <c r="A50" s="14"/>
      <c r="B50" s="15">
        <v>46</v>
      </c>
      <c r="C50" s="22"/>
      <c r="D50" s="15"/>
      <c r="E50" s="23"/>
      <c r="F50" s="15"/>
      <c r="G50" s="15"/>
      <c r="H50" s="24"/>
      <c r="I50" s="15" t="str">
        <f t="shared" si="9"/>
        <v xml:space="preserve"> </v>
      </c>
      <c r="J50" s="15" t="str">
        <f t="shared" si="10"/>
        <v xml:space="preserve"> </v>
      </c>
      <c r="K50" s="15"/>
      <c r="L50" s="15">
        <f t="shared" si="16"/>
        <v>0</v>
      </c>
      <c r="M50" s="5" t="str">
        <f t="shared" si="11"/>
        <v/>
      </c>
      <c r="N50" s="25" t="str">
        <f>IF(ISBLANK($E50)," ", COUNTIF($M$4:$M50,$M50))</f>
        <v xml:space="preserve"> </v>
      </c>
      <c r="O50" s="25" t="str">
        <f t="shared" si="12"/>
        <v xml:space="preserve"> </v>
      </c>
      <c r="P50" s="5" t="str">
        <f t="shared" si="13"/>
        <v/>
      </c>
      <c r="Q50" s="5" t="str">
        <f t="shared" si="14"/>
        <v/>
      </c>
      <c r="R50" s="5" t="str">
        <f t="shared" si="15"/>
        <v/>
      </c>
      <c r="U50" s="6" t="s">
        <v>113</v>
      </c>
      <c r="V50" s="3">
        <f>SUMPRODUCT(--($E$5:$E$696&gt;0),--($C$5:$C$696=$U50))+SUMPRODUCT(--($H$5:$H$696&gt;0),--($F$5:$F$696=$U50))+SUMPRODUCT(--($H$5:$H$696&gt;0),--($D$5:$D$696=$U50))+SUMPRODUCT(--($H$5:$H$696&gt;0),--($G$5:$G$696=$U50))</f>
        <v>0</v>
      </c>
      <c r="W50" s="3">
        <f>COUNTIF($J$5:$J$696,$U50)+COUNTIF($I$5:$I$696,$U50)</f>
        <v>0</v>
      </c>
      <c r="X50" s="3">
        <f>V50-W50</f>
        <v>0</v>
      </c>
      <c r="Y50" s="3">
        <f>100 + SUMIF($I$5:$I$696,$U50,$O$5:$O$696)+ SUMIF($J$5:$J$696,$U50,$O$5:$O$696)</f>
        <v>100</v>
      </c>
      <c r="Z50" s="3">
        <f>SUMIF($C$5:$C$696,$U50,$E$5:$E$696)+SUMIF($F$5:$F$696,$U50,$H$5:$H$696)+SUMIF($D$5:$D$696,$U50,$E$5:$E$696)+SUMIF($G$5:$G$696,$U50,$H$5:$H$696)</f>
        <v>0</v>
      </c>
      <c r="AA50" s="3">
        <f>SUMIF($C$5:$C$696,$U50,$H$5:$H$696)+SUMIF($F$5:$F$696,$U50,$E$5:$E$696)+SUMIF($D$5:$D$696,$U50,$H$5:$H$696)+SUMIF($G$5:$G$696,$U50,$E$5:$E$696)</f>
        <v>0</v>
      </c>
      <c r="AB50" s="3">
        <f>Z50-AA50</f>
        <v>0</v>
      </c>
      <c r="AD50" s="41" t="str">
        <f>IFERROR($W50/$V50,"")</f>
        <v/>
      </c>
    </row>
    <row r="51" spans="1:30" ht="20.25" x14ac:dyDescent="0.3">
      <c r="A51" s="14"/>
      <c r="B51" s="15">
        <v>47</v>
      </c>
      <c r="C51" s="22"/>
      <c r="D51" s="15"/>
      <c r="E51" s="23"/>
      <c r="F51" s="15"/>
      <c r="G51" s="15"/>
      <c r="H51" s="24"/>
      <c r="I51" s="15" t="str">
        <f t="shared" si="9"/>
        <v xml:space="preserve"> </v>
      </c>
      <c r="J51" s="15" t="str">
        <f t="shared" si="10"/>
        <v xml:space="preserve"> </v>
      </c>
      <c r="K51" s="15"/>
      <c r="L51" s="15">
        <f t="shared" si="16"/>
        <v>0</v>
      </c>
      <c r="M51" s="5" t="str">
        <f t="shared" si="11"/>
        <v/>
      </c>
      <c r="N51" s="25" t="str">
        <f>IF(ISBLANK($E51)," ", COUNTIF($M$4:$M51,$M51))</f>
        <v xml:space="preserve"> </v>
      </c>
      <c r="O51" s="25" t="str">
        <f t="shared" si="12"/>
        <v xml:space="preserve"> </v>
      </c>
      <c r="P51" s="5" t="str">
        <f t="shared" si="13"/>
        <v/>
      </c>
      <c r="Q51" s="5" t="str">
        <f t="shared" si="14"/>
        <v/>
      </c>
      <c r="R51" s="5" t="str">
        <f t="shared" si="15"/>
        <v/>
      </c>
      <c r="U51" s="3"/>
      <c r="V51" s="3"/>
      <c r="W51" s="3"/>
      <c r="X51" s="3"/>
      <c r="Y51" s="3"/>
      <c r="Z51" s="3"/>
      <c r="AA51" s="3"/>
      <c r="AB51" s="3"/>
      <c r="AD51" s="41"/>
    </row>
    <row r="52" spans="1:30" ht="20.25" x14ac:dyDescent="0.3">
      <c r="A52" s="14"/>
      <c r="B52" s="15">
        <v>48</v>
      </c>
      <c r="C52" s="22"/>
      <c r="D52" s="15"/>
      <c r="E52" s="23"/>
      <c r="F52" s="15"/>
      <c r="G52" s="15"/>
      <c r="H52" s="24"/>
      <c r="I52" s="15" t="str">
        <f t="shared" si="9"/>
        <v xml:space="preserve"> </v>
      </c>
      <c r="J52" s="15" t="str">
        <f t="shared" si="10"/>
        <v xml:space="preserve"> </v>
      </c>
      <c r="K52" s="15"/>
      <c r="L52" s="15">
        <f t="shared" si="16"/>
        <v>0</v>
      </c>
      <c r="M52" s="5" t="str">
        <f t="shared" si="11"/>
        <v/>
      </c>
      <c r="N52" s="25" t="str">
        <f>IF(ISBLANK($E52)," ", COUNTIF($M$4:$M52,$M52))</f>
        <v xml:space="preserve"> </v>
      </c>
      <c r="O52" s="25" t="str">
        <f t="shared" si="12"/>
        <v xml:space="preserve"> </v>
      </c>
      <c r="P52" s="5" t="str">
        <f t="shared" si="13"/>
        <v/>
      </c>
      <c r="Q52" s="5" t="str">
        <f t="shared" si="14"/>
        <v/>
      </c>
      <c r="R52" s="5" t="str">
        <f t="shared" si="15"/>
        <v/>
      </c>
    </row>
    <row r="53" spans="1:30" ht="20.25" x14ac:dyDescent="0.3">
      <c r="A53" s="14"/>
      <c r="B53" s="15">
        <v>49</v>
      </c>
      <c r="C53" s="22"/>
      <c r="D53" s="15"/>
      <c r="E53" s="23"/>
      <c r="F53" s="15"/>
      <c r="G53" s="15"/>
      <c r="H53" s="24"/>
      <c r="I53" s="15" t="str">
        <f t="shared" si="9"/>
        <v xml:space="preserve"> </v>
      </c>
      <c r="J53" s="15" t="str">
        <f t="shared" si="10"/>
        <v xml:space="preserve"> </v>
      </c>
      <c r="K53" s="15"/>
      <c r="L53" s="15">
        <f t="shared" si="16"/>
        <v>0</v>
      </c>
      <c r="M53" s="5" t="str">
        <f t="shared" si="11"/>
        <v/>
      </c>
      <c r="N53" s="25" t="str">
        <f>IF(ISBLANK($E53)," ", COUNTIF($M$4:$M53,$M53))</f>
        <v xml:space="preserve"> </v>
      </c>
      <c r="O53" s="25" t="str">
        <f t="shared" si="12"/>
        <v xml:space="preserve"> </v>
      </c>
      <c r="P53" s="5" t="str">
        <f t="shared" si="13"/>
        <v/>
      </c>
      <c r="Q53" s="5" t="str">
        <f t="shared" si="14"/>
        <v/>
      </c>
      <c r="R53" s="5" t="str">
        <f t="shared" si="15"/>
        <v/>
      </c>
    </row>
    <row r="54" spans="1:30" ht="20.25" x14ac:dyDescent="0.3">
      <c r="A54" s="14"/>
      <c r="B54" s="15">
        <v>50</v>
      </c>
      <c r="C54" s="22"/>
      <c r="D54" s="15"/>
      <c r="E54" s="23"/>
      <c r="F54" s="15"/>
      <c r="G54" s="15"/>
      <c r="H54" s="24"/>
      <c r="I54" s="15" t="str">
        <f t="shared" si="9"/>
        <v xml:space="preserve"> </v>
      </c>
      <c r="J54" s="15" t="str">
        <f t="shared" si="10"/>
        <v xml:space="preserve"> </v>
      </c>
      <c r="K54" s="15"/>
      <c r="L54" s="15">
        <f t="shared" si="16"/>
        <v>0</v>
      </c>
      <c r="M54" s="5" t="str">
        <f t="shared" si="11"/>
        <v/>
      </c>
      <c r="N54" s="25" t="str">
        <f>IF(ISBLANK($E54)," ", COUNTIF($M$4:$M54,$M54))</f>
        <v xml:space="preserve"> </v>
      </c>
      <c r="O54" s="25" t="str">
        <f t="shared" si="12"/>
        <v xml:space="preserve"> </v>
      </c>
      <c r="P54" s="5" t="str">
        <f t="shared" si="13"/>
        <v/>
      </c>
      <c r="Q54" s="5" t="str">
        <f t="shared" si="14"/>
        <v/>
      </c>
      <c r="R54" s="5" t="str">
        <f t="shared" si="15"/>
        <v/>
      </c>
    </row>
    <row r="55" spans="1:30" ht="20.25" x14ac:dyDescent="0.3">
      <c r="A55" s="14"/>
      <c r="B55" s="15">
        <v>51</v>
      </c>
      <c r="C55" s="22"/>
      <c r="D55" s="15"/>
      <c r="E55" s="23"/>
      <c r="F55" s="15"/>
      <c r="G55" s="15"/>
      <c r="H55" s="24"/>
      <c r="I55" s="15" t="str">
        <f t="shared" si="9"/>
        <v xml:space="preserve"> </v>
      </c>
      <c r="J55" s="15" t="str">
        <f t="shared" si="10"/>
        <v xml:space="preserve"> </v>
      </c>
      <c r="K55" s="15"/>
      <c r="L55" s="15">
        <f t="shared" si="16"/>
        <v>0</v>
      </c>
      <c r="M55" s="5" t="str">
        <f t="shared" si="11"/>
        <v/>
      </c>
      <c r="N55" s="25" t="str">
        <f>IF(ISBLANK($E55)," ", COUNTIF($M$4:$M55,$M55))</f>
        <v xml:space="preserve"> </v>
      </c>
      <c r="O55" s="25" t="str">
        <f t="shared" si="12"/>
        <v xml:space="preserve"> </v>
      </c>
      <c r="P55" s="5" t="str">
        <f t="shared" si="13"/>
        <v/>
      </c>
      <c r="Q55" s="5" t="str">
        <f t="shared" si="14"/>
        <v/>
      </c>
      <c r="R55" s="5" t="str">
        <f t="shared" si="15"/>
        <v/>
      </c>
    </row>
    <row r="56" spans="1:30" ht="20.25" x14ac:dyDescent="0.3">
      <c r="A56" s="14"/>
      <c r="B56" s="15">
        <v>52</v>
      </c>
      <c r="C56" s="22"/>
      <c r="D56" s="15"/>
      <c r="E56" s="23"/>
      <c r="F56" s="15"/>
      <c r="G56" s="15"/>
      <c r="H56" s="24"/>
      <c r="I56" s="15" t="str">
        <f t="shared" si="9"/>
        <v xml:space="preserve"> </v>
      </c>
      <c r="J56" s="15" t="str">
        <f t="shared" si="10"/>
        <v xml:space="preserve"> </v>
      </c>
      <c r="K56" s="15"/>
      <c r="L56" s="15">
        <f t="shared" si="16"/>
        <v>0</v>
      </c>
      <c r="M56" s="5" t="str">
        <f t="shared" si="11"/>
        <v/>
      </c>
      <c r="N56" s="25" t="str">
        <f>IF(ISBLANK($E56)," ", COUNTIF($M$4:$M56,$M56))</f>
        <v xml:space="preserve"> </v>
      </c>
      <c r="O56" s="25" t="str">
        <f t="shared" si="12"/>
        <v xml:space="preserve"> </v>
      </c>
      <c r="P56" s="5" t="str">
        <f t="shared" si="13"/>
        <v/>
      </c>
      <c r="Q56" s="5" t="str">
        <f t="shared" si="14"/>
        <v/>
      </c>
      <c r="R56" s="5" t="str">
        <f t="shared" si="15"/>
        <v/>
      </c>
    </row>
    <row r="57" spans="1:30" ht="20.25" x14ac:dyDescent="0.3">
      <c r="A57" s="14"/>
      <c r="B57" s="15">
        <v>53</v>
      </c>
      <c r="C57" s="22"/>
      <c r="D57" s="15"/>
      <c r="E57" s="23"/>
      <c r="F57" s="15"/>
      <c r="G57" s="15"/>
      <c r="H57" s="24"/>
      <c r="I57" s="15" t="str">
        <f t="shared" si="9"/>
        <v xml:space="preserve"> </v>
      </c>
      <c r="J57" s="15" t="str">
        <f t="shared" si="10"/>
        <v xml:space="preserve"> </v>
      </c>
      <c r="K57" s="15"/>
      <c r="L57" s="15">
        <f t="shared" si="16"/>
        <v>0</v>
      </c>
      <c r="M57" s="5" t="str">
        <f t="shared" si="11"/>
        <v/>
      </c>
      <c r="N57" s="25" t="str">
        <f>IF(ISBLANK($E57)," ", COUNTIF($M$4:$M57,$M57))</f>
        <v xml:space="preserve"> </v>
      </c>
      <c r="O57" s="25" t="str">
        <f t="shared" si="12"/>
        <v xml:space="preserve"> </v>
      </c>
      <c r="P57" s="5" t="str">
        <f t="shared" si="13"/>
        <v/>
      </c>
      <c r="Q57" s="5" t="str">
        <f t="shared" si="14"/>
        <v/>
      </c>
      <c r="R57" s="5" t="str">
        <f t="shared" si="15"/>
        <v/>
      </c>
    </row>
    <row r="58" spans="1:30" ht="20.25" x14ac:dyDescent="0.3">
      <c r="A58" s="14"/>
      <c r="B58" s="15">
        <v>54</v>
      </c>
      <c r="C58" s="22"/>
      <c r="D58" s="15"/>
      <c r="E58" s="23"/>
      <c r="F58" s="15"/>
      <c r="G58" s="15"/>
      <c r="H58" s="24"/>
      <c r="I58" s="15" t="str">
        <f t="shared" si="9"/>
        <v xml:space="preserve"> </v>
      </c>
      <c r="J58" s="15" t="str">
        <f t="shared" si="10"/>
        <v xml:space="preserve"> </v>
      </c>
      <c r="K58" s="15"/>
      <c r="L58" s="15">
        <f t="shared" si="16"/>
        <v>0</v>
      </c>
      <c r="M58" s="5" t="str">
        <f t="shared" si="11"/>
        <v/>
      </c>
      <c r="N58" s="25" t="str">
        <f>IF(ISBLANK($E58)," ", COUNTIF($M$4:$M58,$M58))</f>
        <v xml:space="preserve"> </v>
      </c>
      <c r="O58" s="25" t="str">
        <f t="shared" si="12"/>
        <v xml:space="preserve"> </v>
      </c>
      <c r="P58" s="5" t="str">
        <f t="shared" si="13"/>
        <v/>
      </c>
      <c r="Q58" s="5" t="str">
        <f t="shared" si="14"/>
        <v/>
      </c>
      <c r="R58" s="5" t="str">
        <f t="shared" si="15"/>
        <v/>
      </c>
    </row>
    <row r="59" spans="1:30" ht="20.25" x14ac:dyDescent="0.3">
      <c r="A59" s="14"/>
      <c r="B59" s="15">
        <v>55</v>
      </c>
      <c r="C59" s="22"/>
      <c r="D59" s="15"/>
      <c r="E59" s="23"/>
      <c r="F59" s="15"/>
      <c r="G59" s="15"/>
      <c r="H59" s="24"/>
      <c r="I59" s="15" t="str">
        <f t="shared" si="9"/>
        <v xml:space="preserve"> </v>
      </c>
      <c r="J59" s="15" t="str">
        <f t="shared" si="10"/>
        <v xml:space="preserve"> </v>
      </c>
      <c r="K59" s="15"/>
      <c r="L59" s="15">
        <f t="shared" si="16"/>
        <v>0</v>
      </c>
      <c r="M59" s="5" t="str">
        <f t="shared" si="11"/>
        <v/>
      </c>
      <c r="N59" s="25" t="str">
        <f>IF(ISBLANK($E59)," ", COUNTIF($M$4:$M59,$M59))</f>
        <v xml:space="preserve"> </v>
      </c>
      <c r="O59" s="25" t="str">
        <f t="shared" si="12"/>
        <v xml:space="preserve"> </v>
      </c>
      <c r="P59" s="5" t="str">
        <f t="shared" si="13"/>
        <v/>
      </c>
      <c r="Q59" s="5" t="str">
        <f t="shared" si="14"/>
        <v/>
      </c>
      <c r="R59" s="5" t="str">
        <f t="shared" si="15"/>
        <v/>
      </c>
    </row>
    <row r="60" spans="1:30" ht="20.25" x14ac:dyDescent="0.3">
      <c r="A60" s="14"/>
      <c r="B60" s="15">
        <v>56</v>
      </c>
      <c r="C60" s="22"/>
      <c r="D60" s="15"/>
      <c r="E60" s="23"/>
      <c r="F60" s="15"/>
      <c r="G60" s="15"/>
      <c r="H60" s="24"/>
      <c r="I60" s="15" t="str">
        <f t="shared" si="9"/>
        <v xml:space="preserve"> </v>
      </c>
      <c r="J60" s="15" t="str">
        <f t="shared" si="10"/>
        <v xml:space="preserve"> </v>
      </c>
      <c r="K60" s="15"/>
      <c r="L60" s="15">
        <f t="shared" si="16"/>
        <v>0</v>
      </c>
      <c r="M60" s="5" t="str">
        <f t="shared" si="11"/>
        <v/>
      </c>
      <c r="N60" s="25" t="str">
        <f>IF(ISBLANK($E60)," ", COUNTIF($M$4:$M60,$M60))</f>
        <v xml:space="preserve"> </v>
      </c>
      <c r="O60" s="25" t="str">
        <f t="shared" si="12"/>
        <v xml:space="preserve"> </v>
      </c>
      <c r="P60" s="5" t="str">
        <f t="shared" si="13"/>
        <v/>
      </c>
      <c r="Q60" s="5" t="str">
        <f t="shared" si="14"/>
        <v/>
      </c>
      <c r="R60" s="5" t="str">
        <f t="shared" si="15"/>
        <v/>
      </c>
    </row>
    <row r="61" spans="1:30" ht="20.25" x14ac:dyDescent="0.3">
      <c r="A61" s="14"/>
      <c r="B61" s="15">
        <v>57</v>
      </c>
      <c r="C61" s="22"/>
      <c r="D61" s="15"/>
      <c r="E61" s="23"/>
      <c r="F61" s="15"/>
      <c r="G61" s="15"/>
      <c r="H61" s="24"/>
      <c r="I61" s="15" t="str">
        <f t="shared" si="9"/>
        <v xml:space="preserve"> </v>
      </c>
      <c r="J61" s="15" t="str">
        <f t="shared" si="10"/>
        <v xml:space="preserve"> </v>
      </c>
      <c r="K61" s="15"/>
      <c r="L61" s="15">
        <f t="shared" si="16"/>
        <v>0</v>
      </c>
      <c r="M61" s="5" t="str">
        <f t="shared" si="11"/>
        <v/>
      </c>
      <c r="N61" s="25" t="str">
        <f>IF(ISBLANK($E61)," ", COUNTIF($M$4:$M61,$M61))</f>
        <v xml:space="preserve"> </v>
      </c>
      <c r="O61" s="25" t="str">
        <f t="shared" si="12"/>
        <v xml:space="preserve"> </v>
      </c>
      <c r="P61" s="5" t="str">
        <f t="shared" si="13"/>
        <v/>
      </c>
      <c r="Q61" s="5" t="str">
        <f t="shared" si="14"/>
        <v/>
      </c>
      <c r="R61" s="5" t="str">
        <f t="shared" si="15"/>
        <v/>
      </c>
    </row>
    <row r="62" spans="1:30" ht="20.25" x14ac:dyDescent="0.3">
      <c r="A62" s="14"/>
      <c r="B62" s="15">
        <v>58</v>
      </c>
      <c r="C62" s="22"/>
      <c r="D62" s="15"/>
      <c r="E62" s="23"/>
      <c r="F62" s="15"/>
      <c r="G62" s="15"/>
      <c r="H62" s="24"/>
      <c r="I62" s="15" t="str">
        <f t="shared" si="9"/>
        <v xml:space="preserve"> </v>
      </c>
      <c r="J62" s="15" t="str">
        <f t="shared" si="10"/>
        <v xml:space="preserve"> </v>
      </c>
      <c r="K62" s="15"/>
      <c r="L62" s="15">
        <f t="shared" si="16"/>
        <v>0</v>
      </c>
      <c r="M62" s="5" t="str">
        <f t="shared" si="11"/>
        <v/>
      </c>
      <c r="N62" s="25" t="str">
        <f>IF(ISBLANK($E62)," ", COUNTIF($M$4:$M62,$M62))</f>
        <v xml:space="preserve"> </v>
      </c>
      <c r="O62" s="25" t="str">
        <f t="shared" si="12"/>
        <v xml:space="preserve"> </v>
      </c>
      <c r="P62" s="5" t="str">
        <f t="shared" si="13"/>
        <v/>
      </c>
      <c r="Q62" s="5" t="str">
        <f t="shared" si="14"/>
        <v/>
      </c>
      <c r="R62" s="5" t="str">
        <f t="shared" si="15"/>
        <v/>
      </c>
    </row>
    <row r="63" spans="1:30" ht="20.25" x14ac:dyDescent="0.3">
      <c r="A63" s="14"/>
      <c r="B63" s="15">
        <v>59</v>
      </c>
      <c r="C63" s="22"/>
      <c r="D63" s="15"/>
      <c r="E63" s="23"/>
      <c r="F63" s="15"/>
      <c r="G63" s="15"/>
      <c r="H63" s="24"/>
      <c r="I63" s="15" t="str">
        <f t="shared" si="9"/>
        <v xml:space="preserve"> </v>
      </c>
      <c r="J63" s="15" t="str">
        <f t="shared" si="10"/>
        <v xml:space="preserve"> </v>
      </c>
      <c r="K63" s="15"/>
      <c r="L63" s="15">
        <f t="shared" si="16"/>
        <v>0</v>
      </c>
      <c r="M63" s="5" t="str">
        <f t="shared" si="11"/>
        <v/>
      </c>
      <c r="N63" s="25" t="str">
        <f>IF(ISBLANK($E63)," ", COUNTIF($M$4:$M63,$M63))</f>
        <v xml:space="preserve"> </v>
      </c>
      <c r="O63" s="25" t="str">
        <f t="shared" si="12"/>
        <v xml:space="preserve"> </v>
      </c>
      <c r="P63" s="5" t="str">
        <f t="shared" si="13"/>
        <v/>
      </c>
      <c r="Q63" s="5" t="str">
        <f t="shared" si="14"/>
        <v/>
      </c>
      <c r="R63" s="5" t="str">
        <f t="shared" si="15"/>
        <v/>
      </c>
    </row>
    <row r="64" spans="1:30" ht="20.25" x14ac:dyDescent="0.3">
      <c r="A64" s="14"/>
      <c r="B64" s="15">
        <v>60</v>
      </c>
      <c r="C64" s="22"/>
      <c r="D64" s="15"/>
      <c r="E64" s="23"/>
      <c r="F64" s="15"/>
      <c r="G64" s="15"/>
      <c r="H64" s="24"/>
      <c r="I64" s="15" t="str">
        <f t="shared" si="9"/>
        <v xml:space="preserve"> </v>
      </c>
      <c r="J64" s="15" t="str">
        <f t="shared" si="10"/>
        <v xml:space="preserve"> </v>
      </c>
      <c r="K64" s="15"/>
      <c r="L64" s="15">
        <f t="shared" si="16"/>
        <v>0</v>
      </c>
      <c r="M64" s="5" t="str">
        <f t="shared" si="11"/>
        <v/>
      </c>
      <c r="N64" s="25" t="str">
        <f>IF(ISBLANK($E64)," ", COUNTIF($M$4:$M64,$M64))</f>
        <v xml:space="preserve"> </v>
      </c>
      <c r="O64" s="25" t="str">
        <f t="shared" si="12"/>
        <v xml:space="preserve"> </v>
      </c>
      <c r="P64" s="5" t="str">
        <f t="shared" si="13"/>
        <v/>
      </c>
      <c r="Q64" s="5" t="str">
        <f t="shared" si="14"/>
        <v/>
      </c>
      <c r="R64" s="5" t="str">
        <f t="shared" si="15"/>
        <v/>
      </c>
    </row>
    <row r="65" spans="1:18" ht="20.25" x14ac:dyDescent="0.3">
      <c r="A65" s="14"/>
      <c r="B65" s="15">
        <v>61</v>
      </c>
      <c r="C65" s="22"/>
      <c r="D65" s="15"/>
      <c r="E65" s="23"/>
      <c r="F65" s="15"/>
      <c r="G65" s="15"/>
      <c r="H65" s="24"/>
      <c r="I65" s="15" t="str">
        <f t="shared" si="9"/>
        <v xml:space="preserve"> </v>
      </c>
      <c r="J65" s="15" t="str">
        <f t="shared" si="10"/>
        <v xml:space="preserve"> </v>
      </c>
      <c r="K65" s="15"/>
      <c r="L65" s="15">
        <f t="shared" si="16"/>
        <v>0</v>
      </c>
      <c r="M65" s="5" t="str">
        <f t="shared" si="11"/>
        <v/>
      </c>
      <c r="N65" s="25" t="str">
        <f>IF(ISBLANK($E65)," ", COUNTIF($M$4:$M65,$M65))</f>
        <v xml:space="preserve"> </v>
      </c>
      <c r="O65" s="25" t="str">
        <f t="shared" si="12"/>
        <v xml:space="preserve"> </v>
      </c>
      <c r="P65" s="5" t="str">
        <f t="shared" si="13"/>
        <v/>
      </c>
      <c r="Q65" s="5" t="str">
        <f t="shared" si="14"/>
        <v/>
      </c>
      <c r="R65" s="5" t="str">
        <f t="shared" si="15"/>
        <v/>
      </c>
    </row>
    <row r="66" spans="1:18" ht="20.25" x14ac:dyDescent="0.3">
      <c r="A66" s="14"/>
      <c r="B66" s="15">
        <v>62</v>
      </c>
      <c r="C66" s="22"/>
      <c r="D66" s="15"/>
      <c r="E66" s="23"/>
      <c r="F66" s="15"/>
      <c r="G66" s="15"/>
      <c r="H66" s="24"/>
      <c r="I66" s="15" t="str">
        <f t="shared" si="9"/>
        <v xml:space="preserve"> </v>
      </c>
      <c r="J66" s="15" t="str">
        <f t="shared" si="10"/>
        <v xml:space="preserve"> </v>
      </c>
      <c r="K66" s="15"/>
      <c r="L66" s="15">
        <f t="shared" si="16"/>
        <v>0</v>
      </c>
      <c r="M66" s="5" t="str">
        <f t="shared" si="11"/>
        <v/>
      </c>
      <c r="N66" s="25" t="str">
        <f>IF(ISBLANK($E66)," ", COUNTIF($M$4:$M66,$M66))</f>
        <v xml:space="preserve"> </v>
      </c>
      <c r="O66" s="25" t="str">
        <f t="shared" si="12"/>
        <v xml:space="preserve"> </v>
      </c>
      <c r="P66" s="5" t="str">
        <f t="shared" si="13"/>
        <v/>
      </c>
      <c r="Q66" s="5" t="str">
        <f t="shared" si="14"/>
        <v/>
      </c>
      <c r="R66" s="5" t="str">
        <f t="shared" si="15"/>
        <v/>
      </c>
    </row>
    <row r="67" spans="1:18" ht="20.25" x14ac:dyDescent="0.3">
      <c r="A67" s="14"/>
      <c r="B67" s="15">
        <v>63</v>
      </c>
      <c r="C67" s="22"/>
      <c r="D67" s="15"/>
      <c r="E67" s="23"/>
      <c r="F67" s="15"/>
      <c r="G67" s="15"/>
      <c r="H67" s="24"/>
      <c r="I67" s="15" t="str">
        <f t="shared" si="9"/>
        <v xml:space="preserve"> </v>
      </c>
      <c r="J67" s="15" t="str">
        <f t="shared" si="10"/>
        <v xml:space="preserve"> </v>
      </c>
      <c r="K67" s="15"/>
      <c r="L67" s="15">
        <f t="shared" si="16"/>
        <v>0</v>
      </c>
      <c r="M67" s="5" t="str">
        <f t="shared" si="11"/>
        <v/>
      </c>
      <c r="N67" s="25" t="str">
        <f>IF(ISBLANK($E67)," ", COUNTIF($M$4:$M67,$M67))</f>
        <v xml:space="preserve"> </v>
      </c>
      <c r="O67" s="25" t="str">
        <f t="shared" si="12"/>
        <v xml:space="preserve"> </v>
      </c>
      <c r="P67" s="5" t="str">
        <f t="shared" si="13"/>
        <v/>
      </c>
      <c r="Q67" s="5" t="str">
        <f t="shared" si="14"/>
        <v/>
      </c>
      <c r="R67" s="5" t="str">
        <f t="shared" si="15"/>
        <v/>
      </c>
    </row>
    <row r="68" spans="1:18" ht="20.25" x14ac:dyDescent="0.3">
      <c r="A68" s="14"/>
      <c r="B68" s="15">
        <v>64</v>
      </c>
      <c r="C68" s="22"/>
      <c r="D68" s="15"/>
      <c r="E68" s="23"/>
      <c r="F68" s="15"/>
      <c r="G68" s="15"/>
      <c r="H68" s="24"/>
      <c r="I68" s="15" t="str">
        <f t="shared" si="9"/>
        <v xml:space="preserve"> </v>
      </c>
      <c r="J68" s="15" t="str">
        <f t="shared" si="10"/>
        <v xml:space="preserve"> </v>
      </c>
      <c r="K68" s="15"/>
      <c r="L68" s="15">
        <f t="shared" si="16"/>
        <v>0</v>
      </c>
      <c r="M68" s="5" t="str">
        <f t="shared" si="11"/>
        <v/>
      </c>
      <c r="N68" s="25" t="str">
        <f>IF(ISBLANK($E68)," ", COUNTIF($M$4:$M68,$M68))</f>
        <v xml:space="preserve"> </v>
      </c>
      <c r="O68" s="25" t="str">
        <f t="shared" si="12"/>
        <v xml:space="preserve"> </v>
      </c>
      <c r="P68" s="5" t="str">
        <f t="shared" si="13"/>
        <v/>
      </c>
      <c r="Q68" s="5" t="str">
        <f t="shared" si="14"/>
        <v/>
      </c>
      <c r="R68" s="5" t="str">
        <f t="shared" si="15"/>
        <v/>
      </c>
    </row>
    <row r="69" spans="1:18" ht="20.25" x14ac:dyDescent="0.3">
      <c r="A69" s="14"/>
      <c r="B69" s="15">
        <v>65</v>
      </c>
      <c r="C69" s="22"/>
      <c r="D69" s="15"/>
      <c r="E69" s="23"/>
      <c r="F69" s="15"/>
      <c r="G69" s="15"/>
      <c r="H69" s="24"/>
      <c r="I69" s="15" t="str">
        <f t="shared" ref="I69:I130" si="25">IF(ISBLANK($E69)," ",IF($E69&gt;$H69,$C69,$F69))</f>
        <v xml:space="preserve"> </v>
      </c>
      <c r="J69" s="15" t="str">
        <f t="shared" ref="J69:J130" si="26">IF(ISBLANK($E69)," ",IF($E69&gt;$H69,$D69,$G69))</f>
        <v xml:space="preserve"> </v>
      </c>
      <c r="K69" s="15"/>
      <c r="L69" s="15">
        <f t="shared" si="16"/>
        <v>0</v>
      </c>
      <c r="M69" s="5" t="str">
        <f t="shared" ref="M69:M130" si="27">IF(ISBLANK($E69),"",VLOOKUP($I69,PLAYERS_IDS,2,FALSE)*VLOOKUP($J69,PLAYERS_IDS,2,FALSE))</f>
        <v/>
      </c>
      <c r="N69" s="25" t="str">
        <f>IF(ISBLANK($E69)," ", COUNTIF($M$4:$M69,$M69))</f>
        <v xml:space="preserve"> </v>
      </c>
      <c r="O69" s="25" t="str">
        <f t="shared" ref="O69:O130" si="28">IF(N69 =" ", " ", IF(N69=1,15,(IF(N69=2,15,(IF(N69=3,15,15))))))</f>
        <v xml:space="preserve"> </v>
      </c>
      <c r="P69" s="5" t="str">
        <f t="shared" ref="P69:P130" si="29">IF(ISBLANK($F69),"",VLOOKUP($C69,PLAYERS_IDS,2,FALSE)*VLOOKUP($D69,PLAYERS_IDS,2,FALSE))</f>
        <v/>
      </c>
      <c r="Q69" s="5" t="str">
        <f t="shared" ref="Q69:Q130" si="30">IF(ISBLANK($F69), "",VLOOKUP($F69,PLAYERS_IDS,2,FALSE)*VLOOKUP($G69,PLAYERS_IDS,2,FALSE))</f>
        <v/>
      </c>
      <c r="R69" s="5" t="str">
        <f t="shared" ref="R69:R130" si="31">IFERROR((P69*100000)+Q69,"")</f>
        <v/>
      </c>
    </row>
    <row r="70" spans="1:18" ht="20.25" x14ac:dyDescent="0.3">
      <c r="A70" s="14"/>
      <c r="B70" s="15">
        <v>66</v>
      </c>
      <c r="C70" s="22"/>
      <c r="D70" s="15"/>
      <c r="E70" s="23"/>
      <c r="F70" s="15"/>
      <c r="G70" s="15"/>
      <c r="H70" s="24"/>
      <c r="I70" s="15" t="str">
        <f t="shared" si="25"/>
        <v xml:space="preserve"> </v>
      </c>
      <c r="J70" s="15" t="str">
        <f t="shared" si="26"/>
        <v xml:space="preserve"> </v>
      </c>
      <c r="K70" s="15"/>
      <c r="L70" s="15">
        <f t="shared" ref="L70:L131" si="32">E70-H70</f>
        <v>0</v>
      </c>
      <c r="M70" s="5" t="str">
        <f t="shared" si="27"/>
        <v/>
      </c>
      <c r="N70" s="25" t="str">
        <f>IF(ISBLANK($E70)," ", COUNTIF($M$4:$M70,$M70))</f>
        <v xml:space="preserve"> </v>
      </c>
      <c r="O70" s="25" t="str">
        <f t="shared" si="28"/>
        <v xml:space="preserve"> </v>
      </c>
      <c r="P70" s="5" t="str">
        <f t="shared" si="29"/>
        <v/>
      </c>
      <c r="Q70" s="5" t="str">
        <f t="shared" si="30"/>
        <v/>
      </c>
      <c r="R70" s="5" t="str">
        <f t="shared" si="31"/>
        <v/>
      </c>
    </row>
    <row r="71" spans="1:18" ht="20.25" x14ac:dyDescent="0.3">
      <c r="A71" s="14"/>
      <c r="B71" s="15">
        <v>67</v>
      </c>
      <c r="C71" s="22"/>
      <c r="D71" s="15"/>
      <c r="E71" s="23"/>
      <c r="F71" s="15"/>
      <c r="G71" s="15"/>
      <c r="H71" s="24"/>
      <c r="I71" s="15" t="str">
        <f t="shared" si="25"/>
        <v xml:space="preserve"> </v>
      </c>
      <c r="J71" s="15" t="str">
        <f t="shared" si="26"/>
        <v xml:space="preserve"> </v>
      </c>
      <c r="K71" s="15"/>
      <c r="L71" s="15">
        <f t="shared" si="32"/>
        <v>0</v>
      </c>
      <c r="M71" s="5" t="str">
        <f t="shared" si="27"/>
        <v/>
      </c>
      <c r="N71" s="25" t="str">
        <f>IF(ISBLANK($E71)," ", COUNTIF($M$4:$M71,$M71))</f>
        <v xml:space="preserve"> </v>
      </c>
      <c r="O71" s="25" t="str">
        <f t="shared" si="28"/>
        <v xml:space="preserve"> </v>
      </c>
      <c r="P71" s="5" t="str">
        <f t="shared" si="29"/>
        <v/>
      </c>
      <c r="Q71" s="5" t="str">
        <f t="shared" si="30"/>
        <v/>
      </c>
      <c r="R71" s="5" t="str">
        <f t="shared" si="31"/>
        <v/>
      </c>
    </row>
    <row r="72" spans="1:18" ht="20.25" x14ac:dyDescent="0.3">
      <c r="A72" s="14"/>
      <c r="B72" s="15">
        <v>68</v>
      </c>
      <c r="C72" s="22"/>
      <c r="D72" s="15"/>
      <c r="E72" s="23"/>
      <c r="F72" s="15"/>
      <c r="G72" s="15"/>
      <c r="H72" s="24"/>
      <c r="I72" s="15" t="str">
        <f t="shared" si="25"/>
        <v xml:space="preserve"> </v>
      </c>
      <c r="J72" s="15" t="str">
        <f t="shared" si="26"/>
        <v xml:space="preserve"> </v>
      </c>
      <c r="K72" s="15"/>
      <c r="L72" s="15">
        <f t="shared" si="32"/>
        <v>0</v>
      </c>
      <c r="M72" s="5" t="str">
        <f t="shared" si="27"/>
        <v/>
      </c>
      <c r="N72" s="25" t="str">
        <f>IF(ISBLANK($E72)," ", COUNTIF($M$4:$M72,$M72))</f>
        <v xml:space="preserve"> </v>
      </c>
      <c r="O72" s="25" t="str">
        <f t="shared" si="28"/>
        <v xml:space="preserve"> </v>
      </c>
      <c r="P72" s="5" t="str">
        <f t="shared" si="29"/>
        <v/>
      </c>
      <c r="Q72" s="5" t="str">
        <f t="shared" si="30"/>
        <v/>
      </c>
      <c r="R72" s="5" t="str">
        <f t="shared" si="31"/>
        <v/>
      </c>
    </row>
    <row r="73" spans="1:18" ht="20.25" x14ac:dyDescent="0.3">
      <c r="A73" s="14"/>
      <c r="B73" s="15">
        <v>69</v>
      </c>
      <c r="C73" s="22"/>
      <c r="D73" s="15"/>
      <c r="E73" s="23"/>
      <c r="F73" s="15"/>
      <c r="G73" s="15"/>
      <c r="H73" s="24"/>
      <c r="I73" s="15" t="str">
        <f t="shared" si="25"/>
        <v xml:space="preserve"> </v>
      </c>
      <c r="J73" s="15" t="str">
        <f t="shared" si="26"/>
        <v xml:space="preserve"> </v>
      </c>
      <c r="K73" s="15"/>
      <c r="L73" s="15">
        <f t="shared" si="32"/>
        <v>0</v>
      </c>
      <c r="M73" s="5" t="str">
        <f t="shared" si="27"/>
        <v/>
      </c>
      <c r="N73" s="25" t="str">
        <f>IF(ISBLANK($E73)," ", COUNTIF($M$4:$M73,$M73))</f>
        <v xml:space="preserve"> </v>
      </c>
      <c r="O73" s="25" t="str">
        <f t="shared" si="28"/>
        <v xml:space="preserve"> </v>
      </c>
      <c r="P73" s="5" t="str">
        <f t="shared" si="29"/>
        <v/>
      </c>
      <c r="Q73" s="5" t="str">
        <f t="shared" si="30"/>
        <v/>
      </c>
      <c r="R73" s="5" t="str">
        <f t="shared" si="31"/>
        <v/>
      </c>
    </row>
    <row r="74" spans="1:18" ht="20.25" x14ac:dyDescent="0.3">
      <c r="A74" s="14"/>
      <c r="B74" s="15">
        <v>70</v>
      </c>
      <c r="C74" s="22"/>
      <c r="D74" s="15"/>
      <c r="E74" s="23"/>
      <c r="F74" s="15"/>
      <c r="G74" s="15"/>
      <c r="H74" s="24"/>
      <c r="I74" s="15" t="str">
        <f t="shared" si="25"/>
        <v xml:space="preserve"> </v>
      </c>
      <c r="J74" s="15" t="str">
        <f t="shared" si="26"/>
        <v xml:space="preserve"> </v>
      </c>
      <c r="K74" s="15"/>
      <c r="L74" s="15">
        <f t="shared" si="32"/>
        <v>0</v>
      </c>
      <c r="M74" s="5" t="str">
        <f t="shared" si="27"/>
        <v/>
      </c>
      <c r="N74" s="25" t="str">
        <f>IF(ISBLANK($E74)," ", COUNTIF($M$4:$M74,$M74))</f>
        <v xml:space="preserve"> </v>
      </c>
      <c r="O74" s="25" t="str">
        <f t="shared" si="28"/>
        <v xml:space="preserve"> </v>
      </c>
      <c r="P74" s="5" t="str">
        <f t="shared" si="29"/>
        <v/>
      </c>
      <c r="Q74" s="5" t="str">
        <f t="shared" si="30"/>
        <v/>
      </c>
      <c r="R74" s="5" t="str">
        <f t="shared" si="31"/>
        <v/>
      </c>
    </row>
    <row r="75" spans="1:18" ht="20.25" x14ac:dyDescent="0.3">
      <c r="A75" s="14"/>
      <c r="B75" s="15">
        <v>71</v>
      </c>
      <c r="C75" s="22"/>
      <c r="D75" s="15"/>
      <c r="E75" s="23"/>
      <c r="F75" s="15"/>
      <c r="G75" s="15"/>
      <c r="H75" s="24"/>
      <c r="I75" s="15" t="str">
        <f t="shared" si="25"/>
        <v xml:space="preserve"> </v>
      </c>
      <c r="J75" s="15" t="str">
        <f t="shared" si="26"/>
        <v xml:space="preserve"> </v>
      </c>
      <c r="K75" s="15"/>
      <c r="L75" s="15">
        <f t="shared" si="32"/>
        <v>0</v>
      </c>
      <c r="M75" s="5" t="str">
        <f t="shared" si="27"/>
        <v/>
      </c>
      <c r="N75" s="25" t="str">
        <f>IF(ISBLANK($E75)," ", COUNTIF($M$4:$M75,$M75))</f>
        <v xml:space="preserve"> </v>
      </c>
      <c r="O75" s="25" t="str">
        <f t="shared" si="28"/>
        <v xml:space="preserve"> </v>
      </c>
      <c r="P75" s="5" t="str">
        <f t="shared" si="29"/>
        <v/>
      </c>
      <c r="Q75" s="5" t="str">
        <f t="shared" si="30"/>
        <v/>
      </c>
      <c r="R75" s="5" t="str">
        <f t="shared" si="31"/>
        <v/>
      </c>
    </row>
    <row r="76" spans="1:18" ht="20.25" x14ac:dyDescent="0.3">
      <c r="A76" s="14"/>
      <c r="B76" s="15">
        <v>72</v>
      </c>
      <c r="C76" s="22"/>
      <c r="D76" s="15"/>
      <c r="E76" s="23"/>
      <c r="F76" s="15"/>
      <c r="G76" s="15"/>
      <c r="H76" s="24"/>
      <c r="I76" s="15" t="str">
        <f t="shared" si="25"/>
        <v xml:space="preserve"> </v>
      </c>
      <c r="J76" s="15" t="str">
        <f t="shared" si="26"/>
        <v xml:space="preserve"> </v>
      </c>
      <c r="K76" s="15"/>
      <c r="L76" s="15">
        <f t="shared" si="32"/>
        <v>0</v>
      </c>
      <c r="M76" s="5" t="str">
        <f t="shared" si="27"/>
        <v/>
      </c>
      <c r="N76" s="25" t="str">
        <f>IF(ISBLANK($E76)," ", COUNTIF($M$4:$M76,$M76))</f>
        <v xml:space="preserve"> </v>
      </c>
      <c r="O76" s="25" t="str">
        <f t="shared" si="28"/>
        <v xml:space="preserve"> </v>
      </c>
      <c r="P76" s="5" t="str">
        <f t="shared" si="29"/>
        <v/>
      </c>
      <c r="Q76" s="5" t="str">
        <f t="shared" si="30"/>
        <v/>
      </c>
      <c r="R76" s="5" t="str">
        <f t="shared" si="31"/>
        <v/>
      </c>
    </row>
    <row r="77" spans="1:18" ht="20.25" x14ac:dyDescent="0.3">
      <c r="A77" s="14"/>
      <c r="B77" s="15">
        <v>73</v>
      </c>
      <c r="C77" s="22"/>
      <c r="D77" s="15"/>
      <c r="E77" s="23"/>
      <c r="F77" s="15"/>
      <c r="G77" s="15"/>
      <c r="H77" s="24"/>
      <c r="I77" s="15" t="str">
        <f t="shared" si="25"/>
        <v xml:space="preserve"> </v>
      </c>
      <c r="J77" s="15" t="str">
        <f t="shared" si="26"/>
        <v xml:space="preserve"> </v>
      </c>
      <c r="K77" s="15"/>
      <c r="L77" s="15">
        <f t="shared" si="32"/>
        <v>0</v>
      </c>
      <c r="M77" s="5" t="str">
        <f t="shared" si="27"/>
        <v/>
      </c>
      <c r="N77" s="25" t="str">
        <f>IF(ISBLANK($E77)," ", COUNTIF($M$4:$M77,$M77))</f>
        <v xml:space="preserve"> </v>
      </c>
      <c r="O77" s="25" t="str">
        <f t="shared" si="28"/>
        <v xml:space="preserve"> </v>
      </c>
      <c r="P77" s="5" t="str">
        <f t="shared" si="29"/>
        <v/>
      </c>
      <c r="Q77" s="5" t="str">
        <f t="shared" si="30"/>
        <v/>
      </c>
      <c r="R77" s="5" t="str">
        <f t="shared" si="31"/>
        <v/>
      </c>
    </row>
    <row r="78" spans="1:18" ht="20.25" x14ac:dyDescent="0.3">
      <c r="A78" s="14"/>
      <c r="B78" s="15">
        <v>74</v>
      </c>
      <c r="C78" s="22"/>
      <c r="D78" s="15"/>
      <c r="E78" s="23"/>
      <c r="F78" s="15"/>
      <c r="G78" s="15"/>
      <c r="H78" s="24"/>
      <c r="I78" s="15" t="str">
        <f t="shared" si="25"/>
        <v xml:space="preserve"> </v>
      </c>
      <c r="J78" s="15" t="str">
        <f t="shared" si="26"/>
        <v xml:space="preserve"> </v>
      </c>
      <c r="K78" s="15"/>
      <c r="L78" s="15">
        <f t="shared" si="32"/>
        <v>0</v>
      </c>
      <c r="M78" s="5" t="str">
        <f t="shared" si="27"/>
        <v/>
      </c>
      <c r="N78" s="25" t="str">
        <f>IF(ISBLANK($E78)," ", COUNTIF($M$4:$M78,$M78))</f>
        <v xml:space="preserve"> </v>
      </c>
      <c r="O78" s="25" t="str">
        <f t="shared" si="28"/>
        <v xml:space="preserve"> </v>
      </c>
      <c r="P78" s="5" t="str">
        <f t="shared" si="29"/>
        <v/>
      </c>
      <c r="Q78" s="5" t="str">
        <f t="shared" si="30"/>
        <v/>
      </c>
      <c r="R78" s="5" t="str">
        <f t="shared" si="31"/>
        <v/>
      </c>
    </row>
    <row r="79" spans="1:18" ht="20.25" x14ac:dyDescent="0.3">
      <c r="A79" s="14"/>
      <c r="B79" s="15">
        <v>75</v>
      </c>
      <c r="C79" s="22"/>
      <c r="D79" s="15"/>
      <c r="E79" s="23"/>
      <c r="F79" s="15"/>
      <c r="G79" s="15"/>
      <c r="H79" s="24"/>
      <c r="I79" s="15" t="str">
        <f t="shared" si="25"/>
        <v xml:space="preserve"> </v>
      </c>
      <c r="J79" s="15" t="str">
        <f t="shared" si="26"/>
        <v xml:space="preserve"> </v>
      </c>
      <c r="K79" s="15"/>
      <c r="L79" s="15">
        <f t="shared" si="32"/>
        <v>0</v>
      </c>
      <c r="M79" s="5" t="str">
        <f t="shared" si="27"/>
        <v/>
      </c>
      <c r="N79" s="25" t="str">
        <f>IF(ISBLANK($E79)," ", COUNTIF($M$4:$M79,$M79))</f>
        <v xml:space="preserve"> </v>
      </c>
      <c r="O79" s="25" t="str">
        <f t="shared" si="28"/>
        <v xml:space="preserve"> </v>
      </c>
      <c r="P79" s="5" t="str">
        <f t="shared" si="29"/>
        <v/>
      </c>
      <c r="Q79" s="5" t="str">
        <f t="shared" si="30"/>
        <v/>
      </c>
      <c r="R79" s="5" t="str">
        <f t="shared" si="31"/>
        <v/>
      </c>
    </row>
    <row r="80" spans="1:18" ht="20.25" x14ac:dyDescent="0.3">
      <c r="A80" s="14"/>
      <c r="B80" s="15">
        <v>76</v>
      </c>
      <c r="C80" s="22"/>
      <c r="D80" s="15"/>
      <c r="E80" s="23"/>
      <c r="F80" s="15"/>
      <c r="G80" s="15"/>
      <c r="H80" s="24"/>
      <c r="I80" s="15" t="str">
        <f t="shared" si="25"/>
        <v xml:space="preserve"> </v>
      </c>
      <c r="J80" s="15" t="str">
        <f t="shared" si="26"/>
        <v xml:space="preserve"> </v>
      </c>
      <c r="K80" s="15"/>
      <c r="L80" s="15">
        <f t="shared" si="32"/>
        <v>0</v>
      </c>
      <c r="M80" s="5" t="str">
        <f t="shared" si="27"/>
        <v/>
      </c>
      <c r="N80" s="25" t="str">
        <f>IF(ISBLANK($E80)," ", COUNTIF($M$4:$M80,$M80))</f>
        <v xml:space="preserve"> </v>
      </c>
      <c r="O80" s="25" t="str">
        <f t="shared" si="28"/>
        <v xml:space="preserve"> </v>
      </c>
      <c r="P80" s="5" t="str">
        <f t="shared" si="29"/>
        <v/>
      </c>
      <c r="Q80" s="5" t="str">
        <f t="shared" si="30"/>
        <v/>
      </c>
      <c r="R80" s="5" t="str">
        <f t="shared" si="31"/>
        <v/>
      </c>
    </row>
    <row r="81" spans="1:18" ht="20.25" x14ac:dyDescent="0.3">
      <c r="A81" s="14"/>
      <c r="B81" s="15">
        <v>77</v>
      </c>
      <c r="C81" s="22"/>
      <c r="D81" s="15"/>
      <c r="E81" s="23"/>
      <c r="F81" s="15"/>
      <c r="G81" s="15"/>
      <c r="H81" s="24"/>
      <c r="I81" s="15" t="str">
        <f t="shared" si="25"/>
        <v xml:space="preserve"> </v>
      </c>
      <c r="J81" s="15" t="str">
        <f t="shared" si="26"/>
        <v xml:space="preserve"> </v>
      </c>
      <c r="K81" s="15"/>
      <c r="L81" s="15">
        <f t="shared" si="32"/>
        <v>0</v>
      </c>
      <c r="M81" s="5" t="str">
        <f t="shared" si="27"/>
        <v/>
      </c>
      <c r="N81" s="25" t="str">
        <f>IF(ISBLANK($E81)," ", COUNTIF($M$4:$M81,$M81))</f>
        <v xml:space="preserve"> </v>
      </c>
      <c r="O81" s="25" t="str">
        <f t="shared" si="28"/>
        <v xml:space="preserve"> </v>
      </c>
      <c r="P81" s="5" t="str">
        <f t="shared" si="29"/>
        <v/>
      </c>
      <c r="Q81" s="5" t="str">
        <f t="shared" si="30"/>
        <v/>
      </c>
      <c r="R81" s="5" t="str">
        <f t="shared" si="31"/>
        <v/>
      </c>
    </row>
    <row r="82" spans="1:18" ht="20.25" x14ac:dyDescent="0.3">
      <c r="A82" s="14"/>
      <c r="B82" s="15">
        <v>78</v>
      </c>
      <c r="C82" s="22"/>
      <c r="D82" s="15"/>
      <c r="E82" s="23"/>
      <c r="F82" s="15"/>
      <c r="G82" s="15"/>
      <c r="H82" s="24"/>
      <c r="I82" s="15" t="str">
        <f t="shared" si="25"/>
        <v xml:space="preserve"> </v>
      </c>
      <c r="J82" s="15" t="str">
        <f t="shared" si="26"/>
        <v xml:space="preserve"> </v>
      </c>
      <c r="K82" s="15"/>
      <c r="L82" s="15">
        <f t="shared" si="32"/>
        <v>0</v>
      </c>
      <c r="M82" s="5" t="str">
        <f t="shared" si="27"/>
        <v/>
      </c>
      <c r="N82" s="25" t="str">
        <f>IF(ISBLANK($E82)," ", COUNTIF($M$4:$M82,$M82))</f>
        <v xml:space="preserve"> </v>
      </c>
      <c r="O82" s="25" t="str">
        <f t="shared" si="28"/>
        <v xml:space="preserve"> </v>
      </c>
      <c r="P82" s="5" t="str">
        <f t="shared" si="29"/>
        <v/>
      </c>
      <c r="Q82" s="5" t="str">
        <f t="shared" si="30"/>
        <v/>
      </c>
      <c r="R82" s="5" t="str">
        <f t="shared" si="31"/>
        <v/>
      </c>
    </row>
    <row r="83" spans="1:18" ht="20.25" x14ac:dyDescent="0.3">
      <c r="A83" s="14"/>
      <c r="B83" s="15">
        <v>79</v>
      </c>
      <c r="C83" s="22"/>
      <c r="D83" s="15"/>
      <c r="E83" s="23"/>
      <c r="F83" s="15"/>
      <c r="G83" s="15"/>
      <c r="H83" s="24"/>
      <c r="I83" s="15" t="str">
        <f t="shared" si="25"/>
        <v xml:space="preserve"> </v>
      </c>
      <c r="J83" s="15" t="str">
        <f t="shared" si="26"/>
        <v xml:space="preserve"> </v>
      </c>
      <c r="K83" s="15"/>
      <c r="L83" s="15">
        <f t="shared" si="32"/>
        <v>0</v>
      </c>
      <c r="M83" s="5" t="str">
        <f t="shared" si="27"/>
        <v/>
      </c>
      <c r="N83" s="25" t="str">
        <f>IF(ISBLANK($E83)," ", COUNTIF($M$4:$M83,$M83))</f>
        <v xml:space="preserve"> </v>
      </c>
      <c r="O83" s="25" t="str">
        <f t="shared" si="28"/>
        <v xml:space="preserve"> </v>
      </c>
      <c r="P83" s="5" t="str">
        <f t="shared" si="29"/>
        <v/>
      </c>
      <c r="Q83" s="5" t="str">
        <f t="shared" si="30"/>
        <v/>
      </c>
      <c r="R83" s="5" t="str">
        <f t="shared" si="31"/>
        <v/>
      </c>
    </row>
    <row r="84" spans="1:18" ht="20.25" x14ac:dyDescent="0.3">
      <c r="A84" s="14"/>
      <c r="B84" s="15">
        <v>80</v>
      </c>
      <c r="C84" s="22"/>
      <c r="D84" s="15"/>
      <c r="E84" s="23"/>
      <c r="F84" s="15"/>
      <c r="G84" s="15"/>
      <c r="H84" s="24"/>
      <c r="I84" s="15" t="str">
        <f t="shared" si="25"/>
        <v xml:space="preserve"> </v>
      </c>
      <c r="J84" s="15" t="str">
        <f t="shared" si="26"/>
        <v xml:space="preserve"> </v>
      </c>
      <c r="K84" s="15"/>
      <c r="L84" s="15">
        <f t="shared" si="32"/>
        <v>0</v>
      </c>
      <c r="M84" s="5" t="str">
        <f t="shared" si="27"/>
        <v/>
      </c>
      <c r="N84" s="25" t="str">
        <f>IF(ISBLANK($E84)," ", COUNTIF($M$4:$M84,$M84))</f>
        <v xml:space="preserve"> </v>
      </c>
      <c r="O84" s="25" t="str">
        <f t="shared" si="28"/>
        <v xml:space="preserve"> </v>
      </c>
      <c r="P84" s="5" t="str">
        <f t="shared" si="29"/>
        <v/>
      </c>
      <c r="Q84" s="5" t="str">
        <f t="shared" si="30"/>
        <v/>
      </c>
      <c r="R84" s="5" t="str">
        <f t="shared" si="31"/>
        <v/>
      </c>
    </row>
    <row r="85" spans="1:18" ht="20.25" x14ac:dyDescent="0.3">
      <c r="A85" s="14"/>
      <c r="B85" s="15">
        <v>81</v>
      </c>
      <c r="C85" s="22"/>
      <c r="D85" s="15"/>
      <c r="E85" s="23"/>
      <c r="F85" s="15"/>
      <c r="G85" s="15"/>
      <c r="H85" s="24"/>
      <c r="I85" s="15" t="str">
        <f t="shared" si="25"/>
        <v xml:space="preserve"> </v>
      </c>
      <c r="J85" s="15" t="str">
        <f t="shared" si="26"/>
        <v xml:space="preserve"> </v>
      </c>
      <c r="K85" s="15"/>
      <c r="L85" s="15">
        <f t="shared" si="32"/>
        <v>0</v>
      </c>
      <c r="M85" s="5" t="str">
        <f t="shared" si="27"/>
        <v/>
      </c>
      <c r="N85" s="25" t="str">
        <f>IF(ISBLANK($E85)," ", COUNTIF($M$4:$M85,$M85))</f>
        <v xml:space="preserve"> </v>
      </c>
      <c r="O85" s="25" t="str">
        <f t="shared" si="28"/>
        <v xml:space="preserve"> </v>
      </c>
      <c r="P85" s="5" t="str">
        <f t="shared" si="29"/>
        <v/>
      </c>
      <c r="Q85" s="5" t="str">
        <f t="shared" si="30"/>
        <v/>
      </c>
      <c r="R85" s="5" t="str">
        <f t="shared" si="31"/>
        <v/>
      </c>
    </row>
    <row r="86" spans="1:18" ht="20.25" x14ac:dyDescent="0.3">
      <c r="A86" s="14"/>
      <c r="B86" s="15">
        <v>82</v>
      </c>
      <c r="C86" s="22"/>
      <c r="D86" s="15"/>
      <c r="E86" s="23"/>
      <c r="F86" s="15"/>
      <c r="G86" s="15"/>
      <c r="H86" s="24"/>
      <c r="I86" s="15" t="str">
        <f t="shared" si="25"/>
        <v xml:space="preserve"> </v>
      </c>
      <c r="J86" s="15" t="str">
        <f t="shared" si="26"/>
        <v xml:space="preserve"> </v>
      </c>
      <c r="K86" s="15"/>
      <c r="L86" s="15">
        <f t="shared" si="32"/>
        <v>0</v>
      </c>
      <c r="M86" s="5" t="str">
        <f t="shared" si="27"/>
        <v/>
      </c>
      <c r="N86" s="25" t="str">
        <f>IF(ISBLANK($E86)," ", COUNTIF($M$4:$M86,$M86))</f>
        <v xml:space="preserve"> </v>
      </c>
      <c r="O86" s="25" t="str">
        <f t="shared" si="28"/>
        <v xml:space="preserve"> </v>
      </c>
      <c r="P86" s="5" t="str">
        <f t="shared" si="29"/>
        <v/>
      </c>
      <c r="Q86" s="5" t="str">
        <f t="shared" si="30"/>
        <v/>
      </c>
      <c r="R86" s="5" t="str">
        <f t="shared" si="31"/>
        <v/>
      </c>
    </row>
    <row r="87" spans="1:18" ht="20.25" x14ac:dyDescent="0.3">
      <c r="A87" s="14"/>
      <c r="B87" s="15">
        <v>83</v>
      </c>
      <c r="C87" s="22"/>
      <c r="D87" s="15"/>
      <c r="E87" s="23"/>
      <c r="F87" s="15"/>
      <c r="G87" s="15"/>
      <c r="H87" s="24"/>
      <c r="I87" s="15" t="str">
        <f t="shared" si="25"/>
        <v xml:space="preserve"> </v>
      </c>
      <c r="J87" s="15" t="str">
        <f t="shared" si="26"/>
        <v xml:space="preserve"> </v>
      </c>
      <c r="K87" s="15"/>
      <c r="L87" s="15">
        <f t="shared" si="32"/>
        <v>0</v>
      </c>
      <c r="M87" s="5" t="str">
        <f t="shared" si="27"/>
        <v/>
      </c>
      <c r="N87" s="25" t="str">
        <f>IF(ISBLANK($E87)," ", COUNTIF($M$4:$M87,$M87))</f>
        <v xml:space="preserve"> </v>
      </c>
      <c r="O87" s="25" t="str">
        <f t="shared" si="28"/>
        <v xml:space="preserve"> </v>
      </c>
      <c r="P87" s="5" t="str">
        <f t="shared" si="29"/>
        <v/>
      </c>
      <c r="Q87" s="5" t="str">
        <f t="shared" si="30"/>
        <v/>
      </c>
      <c r="R87" s="5" t="str">
        <f t="shared" si="31"/>
        <v/>
      </c>
    </row>
    <row r="88" spans="1:18" ht="20.25" x14ac:dyDescent="0.3">
      <c r="A88" s="14"/>
      <c r="B88" s="15">
        <v>84</v>
      </c>
      <c r="C88" s="22"/>
      <c r="D88" s="15"/>
      <c r="E88" s="23"/>
      <c r="F88" s="15"/>
      <c r="G88" s="15"/>
      <c r="H88" s="24"/>
      <c r="I88" s="15" t="str">
        <f t="shared" si="25"/>
        <v xml:space="preserve"> </v>
      </c>
      <c r="J88" s="15" t="str">
        <f t="shared" si="26"/>
        <v xml:space="preserve"> </v>
      </c>
      <c r="K88" s="15"/>
      <c r="L88" s="15">
        <f t="shared" si="32"/>
        <v>0</v>
      </c>
      <c r="M88" s="5" t="str">
        <f t="shared" si="27"/>
        <v/>
      </c>
      <c r="N88" s="25" t="str">
        <f>IF(ISBLANK($E88)," ", COUNTIF($M$4:$M88,$M88))</f>
        <v xml:space="preserve"> </v>
      </c>
      <c r="O88" s="25" t="str">
        <f t="shared" si="28"/>
        <v xml:space="preserve"> </v>
      </c>
      <c r="P88" s="5" t="str">
        <f t="shared" si="29"/>
        <v/>
      </c>
      <c r="Q88" s="5" t="str">
        <f t="shared" si="30"/>
        <v/>
      </c>
      <c r="R88" s="5" t="str">
        <f t="shared" si="31"/>
        <v/>
      </c>
    </row>
    <row r="89" spans="1:18" ht="20.25" x14ac:dyDescent="0.3">
      <c r="A89" s="14"/>
      <c r="B89" s="15">
        <v>85</v>
      </c>
      <c r="C89" s="22"/>
      <c r="D89" s="15"/>
      <c r="E89" s="23"/>
      <c r="F89" s="15"/>
      <c r="G89" s="15"/>
      <c r="H89" s="24"/>
      <c r="I89" s="15" t="str">
        <f t="shared" si="25"/>
        <v xml:space="preserve"> </v>
      </c>
      <c r="J89" s="15" t="str">
        <f t="shared" si="26"/>
        <v xml:space="preserve"> </v>
      </c>
      <c r="K89" s="15"/>
      <c r="L89" s="15">
        <f t="shared" si="32"/>
        <v>0</v>
      </c>
      <c r="M89" s="5" t="str">
        <f t="shared" si="27"/>
        <v/>
      </c>
      <c r="N89" s="25" t="str">
        <f>IF(ISBLANK($E89)," ", COUNTIF($M$4:$M89,$M89))</f>
        <v xml:space="preserve"> </v>
      </c>
      <c r="O89" s="25" t="str">
        <f t="shared" si="28"/>
        <v xml:space="preserve"> </v>
      </c>
      <c r="P89" s="5" t="str">
        <f t="shared" si="29"/>
        <v/>
      </c>
      <c r="Q89" s="5" t="str">
        <f t="shared" si="30"/>
        <v/>
      </c>
      <c r="R89" s="5" t="str">
        <f t="shared" si="31"/>
        <v/>
      </c>
    </row>
    <row r="90" spans="1:18" ht="20.25" x14ac:dyDescent="0.3">
      <c r="A90" s="14"/>
      <c r="B90" s="15">
        <v>86</v>
      </c>
      <c r="C90" s="22"/>
      <c r="D90" s="15"/>
      <c r="E90" s="23"/>
      <c r="F90" s="15"/>
      <c r="G90" s="15"/>
      <c r="H90" s="24"/>
      <c r="I90" s="15" t="str">
        <f t="shared" si="25"/>
        <v xml:space="preserve"> </v>
      </c>
      <c r="J90" s="15" t="str">
        <f t="shared" si="26"/>
        <v xml:space="preserve"> </v>
      </c>
      <c r="K90" s="15"/>
      <c r="L90" s="15">
        <f t="shared" si="32"/>
        <v>0</v>
      </c>
      <c r="M90" s="5" t="str">
        <f t="shared" si="27"/>
        <v/>
      </c>
      <c r="N90" s="25" t="str">
        <f>IF(ISBLANK($E90)," ", COUNTIF($M$4:$M90,$M90))</f>
        <v xml:space="preserve"> </v>
      </c>
      <c r="O90" s="25" t="str">
        <f t="shared" si="28"/>
        <v xml:space="preserve"> </v>
      </c>
      <c r="P90" s="5" t="str">
        <f t="shared" si="29"/>
        <v/>
      </c>
      <c r="Q90" s="5" t="str">
        <f t="shared" si="30"/>
        <v/>
      </c>
      <c r="R90" s="5" t="str">
        <f t="shared" si="31"/>
        <v/>
      </c>
    </row>
    <row r="91" spans="1:18" ht="20.25" x14ac:dyDescent="0.3">
      <c r="A91" s="14"/>
      <c r="B91" s="15">
        <v>87</v>
      </c>
      <c r="C91" s="22"/>
      <c r="D91" s="15"/>
      <c r="E91" s="23"/>
      <c r="F91" s="15"/>
      <c r="G91" s="15"/>
      <c r="H91" s="24"/>
      <c r="I91" s="15" t="str">
        <f t="shared" si="25"/>
        <v xml:space="preserve"> </v>
      </c>
      <c r="J91" s="15" t="str">
        <f t="shared" si="26"/>
        <v xml:space="preserve"> </v>
      </c>
      <c r="K91" s="15"/>
      <c r="L91" s="15">
        <f t="shared" si="32"/>
        <v>0</v>
      </c>
      <c r="M91" s="5" t="str">
        <f t="shared" si="27"/>
        <v/>
      </c>
      <c r="N91" s="25" t="str">
        <f>IF(ISBLANK($E91)," ", COUNTIF($M$4:$M91,$M91))</f>
        <v xml:space="preserve"> </v>
      </c>
      <c r="O91" s="25" t="str">
        <f t="shared" si="28"/>
        <v xml:space="preserve"> </v>
      </c>
      <c r="P91" s="5" t="str">
        <f t="shared" si="29"/>
        <v/>
      </c>
      <c r="Q91" s="5" t="str">
        <f t="shared" si="30"/>
        <v/>
      </c>
      <c r="R91" s="5" t="str">
        <f t="shared" si="31"/>
        <v/>
      </c>
    </row>
    <row r="92" spans="1:18" ht="20.25" x14ac:dyDescent="0.3">
      <c r="A92" s="14"/>
      <c r="B92" s="15">
        <v>88</v>
      </c>
      <c r="C92" s="22"/>
      <c r="D92" s="15"/>
      <c r="E92" s="23"/>
      <c r="F92" s="15"/>
      <c r="G92" s="15"/>
      <c r="H92" s="24"/>
      <c r="I92" s="15" t="str">
        <f t="shared" si="25"/>
        <v xml:space="preserve"> </v>
      </c>
      <c r="J92" s="15" t="str">
        <f t="shared" si="26"/>
        <v xml:space="preserve"> </v>
      </c>
      <c r="K92" s="15"/>
      <c r="L92" s="15">
        <f t="shared" si="32"/>
        <v>0</v>
      </c>
      <c r="M92" s="5" t="str">
        <f t="shared" si="27"/>
        <v/>
      </c>
      <c r="N92" s="25" t="str">
        <f>IF(ISBLANK($E92)," ", COUNTIF($M$4:$M92,$M92))</f>
        <v xml:space="preserve"> </v>
      </c>
      <c r="O92" s="25" t="str">
        <f t="shared" si="28"/>
        <v xml:space="preserve"> </v>
      </c>
      <c r="P92" s="5" t="str">
        <f t="shared" si="29"/>
        <v/>
      </c>
      <c r="Q92" s="5" t="str">
        <f t="shared" si="30"/>
        <v/>
      </c>
      <c r="R92" s="5" t="str">
        <f t="shared" si="31"/>
        <v/>
      </c>
    </row>
    <row r="93" spans="1:18" ht="20.25" x14ac:dyDescent="0.3">
      <c r="A93" s="14"/>
      <c r="B93" s="15">
        <v>89</v>
      </c>
      <c r="C93" s="22"/>
      <c r="D93" s="15"/>
      <c r="E93" s="23"/>
      <c r="F93" s="15"/>
      <c r="G93" s="15"/>
      <c r="H93" s="24"/>
      <c r="I93" s="15" t="str">
        <f t="shared" si="25"/>
        <v xml:space="preserve"> </v>
      </c>
      <c r="J93" s="15" t="str">
        <f t="shared" si="26"/>
        <v xml:space="preserve"> </v>
      </c>
      <c r="K93" s="15"/>
      <c r="L93" s="15">
        <f t="shared" si="32"/>
        <v>0</v>
      </c>
      <c r="M93" s="5" t="str">
        <f t="shared" si="27"/>
        <v/>
      </c>
      <c r="N93" s="25" t="str">
        <f>IF(ISBLANK($E93)," ", COUNTIF($M$4:$M93,$M93))</f>
        <v xml:space="preserve"> </v>
      </c>
      <c r="O93" s="25" t="str">
        <f t="shared" si="28"/>
        <v xml:space="preserve"> </v>
      </c>
      <c r="P93" s="5" t="str">
        <f t="shared" si="29"/>
        <v/>
      </c>
      <c r="Q93" s="5" t="str">
        <f t="shared" si="30"/>
        <v/>
      </c>
      <c r="R93" s="5" t="str">
        <f t="shared" si="31"/>
        <v/>
      </c>
    </row>
    <row r="94" spans="1:18" ht="20.25" x14ac:dyDescent="0.3">
      <c r="A94" s="14"/>
      <c r="B94" s="15">
        <v>90</v>
      </c>
      <c r="C94" s="22"/>
      <c r="D94" s="15"/>
      <c r="E94" s="23"/>
      <c r="F94" s="15"/>
      <c r="G94" s="15"/>
      <c r="H94" s="24"/>
      <c r="I94" s="15" t="str">
        <f t="shared" si="25"/>
        <v xml:space="preserve"> </v>
      </c>
      <c r="J94" s="15" t="str">
        <f t="shared" si="26"/>
        <v xml:space="preserve"> </v>
      </c>
      <c r="K94" s="15"/>
      <c r="L94" s="15">
        <f t="shared" si="32"/>
        <v>0</v>
      </c>
      <c r="M94" s="5" t="str">
        <f t="shared" si="27"/>
        <v/>
      </c>
      <c r="N94" s="25" t="str">
        <f>IF(ISBLANK($E94)," ", COUNTIF($M$4:$M94,$M94))</f>
        <v xml:space="preserve"> </v>
      </c>
      <c r="O94" s="25" t="str">
        <f t="shared" si="28"/>
        <v xml:space="preserve"> </v>
      </c>
      <c r="P94" s="5" t="str">
        <f t="shared" si="29"/>
        <v/>
      </c>
      <c r="Q94" s="5" t="str">
        <f t="shared" si="30"/>
        <v/>
      </c>
      <c r="R94" s="5" t="str">
        <f t="shared" si="31"/>
        <v/>
      </c>
    </row>
    <row r="95" spans="1:18" ht="20.25" x14ac:dyDescent="0.3">
      <c r="A95" s="14"/>
      <c r="B95" s="15">
        <v>91</v>
      </c>
      <c r="C95" s="22"/>
      <c r="D95" s="15"/>
      <c r="E95" s="23"/>
      <c r="F95" s="15"/>
      <c r="G95" s="15"/>
      <c r="H95" s="24"/>
      <c r="I95" s="15" t="str">
        <f t="shared" si="25"/>
        <v xml:space="preserve"> </v>
      </c>
      <c r="J95" s="15" t="str">
        <f t="shared" si="26"/>
        <v xml:space="preserve"> </v>
      </c>
      <c r="K95" s="15"/>
      <c r="L95" s="15">
        <f t="shared" si="32"/>
        <v>0</v>
      </c>
      <c r="M95" s="5" t="str">
        <f t="shared" si="27"/>
        <v/>
      </c>
      <c r="N95" s="25" t="str">
        <f>IF(ISBLANK($E95)," ", COUNTIF($M$4:$M95,$M95))</f>
        <v xml:space="preserve"> </v>
      </c>
      <c r="O95" s="25" t="str">
        <f t="shared" si="28"/>
        <v xml:space="preserve"> </v>
      </c>
      <c r="P95" s="5" t="str">
        <f t="shared" si="29"/>
        <v/>
      </c>
      <c r="Q95" s="5" t="str">
        <f t="shared" si="30"/>
        <v/>
      </c>
      <c r="R95" s="5" t="str">
        <f t="shared" si="31"/>
        <v/>
      </c>
    </row>
    <row r="96" spans="1:18" ht="20.25" x14ac:dyDescent="0.3">
      <c r="A96" s="14"/>
      <c r="B96" s="15">
        <v>92</v>
      </c>
      <c r="C96" s="22"/>
      <c r="D96" s="15"/>
      <c r="E96" s="23"/>
      <c r="F96" s="15"/>
      <c r="G96" s="15"/>
      <c r="H96" s="24"/>
      <c r="I96" s="15" t="str">
        <f t="shared" si="25"/>
        <v xml:space="preserve"> </v>
      </c>
      <c r="J96" s="15" t="str">
        <f t="shared" si="26"/>
        <v xml:space="preserve"> </v>
      </c>
      <c r="K96" s="15"/>
      <c r="L96" s="15">
        <f t="shared" si="32"/>
        <v>0</v>
      </c>
      <c r="M96" s="5" t="str">
        <f t="shared" si="27"/>
        <v/>
      </c>
      <c r="N96" s="25" t="str">
        <f>IF(ISBLANK($E96)," ", COUNTIF($M$4:$M96,$M96))</f>
        <v xml:space="preserve"> </v>
      </c>
      <c r="O96" s="25" t="str">
        <f t="shared" si="28"/>
        <v xml:space="preserve"> </v>
      </c>
      <c r="P96" s="5" t="str">
        <f t="shared" si="29"/>
        <v/>
      </c>
      <c r="Q96" s="5" t="str">
        <f t="shared" si="30"/>
        <v/>
      </c>
      <c r="R96" s="5" t="str">
        <f t="shared" si="31"/>
        <v/>
      </c>
    </row>
    <row r="97" spans="1:18" ht="20.25" x14ac:dyDescent="0.3">
      <c r="A97" s="14"/>
      <c r="B97" s="15">
        <v>93</v>
      </c>
      <c r="C97" s="22"/>
      <c r="D97" s="15"/>
      <c r="E97" s="23"/>
      <c r="F97" s="15"/>
      <c r="G97" s="15"/>
      <c r="H97" s="24"/>
      <c r="I97" s="15" t="str">
        <f t="shared" si="25"/>
        <v xml:space="preserve"> </v>
      </c>
      <c r="J97" s="15" t="str">
        <f t="shared" si="26"/>
        <v xml:space="preserve"> </v>
      </c>
      <c r="K97" s="15"/>
      <c r="L97" s="15">
        <f t="shared" si="32"/>
        <v>0</v>
      </c>
      <c r="M97" s="5" t="str">
        <f t="shared" si="27"/>
        <v/>
      </c>
      <c r="N97" s="25" t="str">
        <f>IF(ISBLANK($E97)," ", COUNTIF($M$4:$M97,$M97))</f>
        <v xml:space="preserve"> </v>
      </c>
      <c r="O97" s="25" t="str">
        <f t="shared" si="28"/>
        <v xml:space="preserve"> </v>
      </c>
      <c r="P97" s="5" t="str">
        <f t="shared" si="29"/>
        <v/>
      </c>
      <c r="Q97" s="5" t="str">
        <f t="shared" si="30"/>
        <v/>
      </c>
      <c r="R97" s="5" t="str">
        <f t="shared" si="31"/>
        <v/>
      </c>
    </row>
    <row r="98" spans="1:18" ht="20.25" x14ac:dyDescent="0.3">
      <c r="A98" s="14"/>
      <c r="B98" s="15">
        <v>94</v>
      </c>
      <c r="C98" s="22"/>
      <c r="D98" s="15"/>
      <c r="E98" s="23"/>
      <c r="F98" s="15"/>
      <c r="G98" s="15"/>
      <c r="H98" s="24"/>
      <c r="I98" s="15" t="str">
        <f t="shared" si="25"/>
        <v xml:space="preserve"> </v>
      </c>
      <c r="J98" s="15" t="str">
        <f t="shared" si="26"/>
        <v xml:space="preserve"> </v>
      </c>
      <c r="K98" s="15"/>
      <c r="L98" s="15">
        <f t="shared" si="32"/>
        <v>0</v>
      </c>
      <c r="M98" s="5" t="str">
        <f t="shared" si="27"/>
        <v/>
      </c>
      <c r="N98" s="25" t="str">
        <f>IF(ISBLANK($E98)," ", COUNTIF($M$4:$M98,$M98))</f>
        <v xml:space="preserve"> </v>
      </c>
      <c r="O98" s="25" t="str">
        <f t="shared" si="28"/>
        <v xml:space="preserve"> </v>
      </c>
      <c r="P98" s="5" t="str">
        <f t="shared" si="29"/>
        <v/>
      </c>
      <c r="Q98" s="5" t="str">
        <f t="shared" si="30"/>
        <v/>
      </c>
      <c r="R98" s="5" t="str">
        <f t="shared" si="31"/>
        <v/>
      </c>
    </row>
    <row r="99" spans="1:18" ht="20.25" x14ac:dyDescent="0.3">
      <c r="A99" s="14"/>
      <c r="B99" s="15">
        <v>95</v>
      </c>
      <c r="C99" s="22"/>
      <c r="D99" s="15"/>
      <c r="E99" s="23"/>
      <c r="F99" s="15"/>
      <c r="G99" s="15"/>
      <c r="H99" s="24"/>
      <c r="I99" s="15" t="str">
        <f t="shared" si="25"/>
        <v xml:space="preserve"> </v>
      </c>
      <c r="J99" s="15" t="str">
        <f t="shared" si="26"/>
        <v xml:space="preserve"> </v>
      </c>
      <c r="K99" s="15"/>
      <c r="L99" s="15">
        <f t="shared" si="32"/>
        <v>0</v>
      </c>
      <c r="M99" s="5" t="str">
        <f t="shared" si="27"/>
        <v/>
      </c>
      <c r="N99" s="25" t="str">
        <f>IF(ISBLANK($E99)," ", COUNTIF($M$4:$M99,$M99))</f>
        <v xml:space="preserve"> </v>
      </c>
      <c r="O99" s="25" t="str">
        <f t="shared" si="28"/>
        <v xml:space="preserve"> </v>
      </c>
      <c r="P99" s="5" t="str">
        <f t="shared" si="29"/>
        <v/>
      </c>
      <c r="Q99" s="5" t="str">
        <f t="shared" si="30"/>
        <v/>
      </c>
      <c r="R99" s="5" t="str">
        <f t="shared" si="31"/>
        <v/>
      </c>
    </row>
    <row r="100" spans="1:18" ht="20.25" x14ac:dyDescent="0.3">
      <c r="A100" s="14"/>
      <c r="B100" s="15">
        <v>96</v>
      </c>
      <c r="C100" s="22"/>
      <c r="D100" s="15"/>
      <c r="E100" s="23"/>
      <c r="F100" s="15"/>
      <c r="G100" s="15"/>
      <c r="H100" s="24"/>
      <c r="I100" s="15" t="str">
        <f t="shared" si="25"/>
        <v xml:space="preserve"> </v>
      </c>
      <c r="J100" s="15" t="str">
        <f t="shared" si="26"/>
        <v xml:space="preserve"> </v>
      </c>
      <c r="K100" s="15"/>
      <c r="L100" s="15">
        <f t="shared" si="32"/>
        <v>0</v>
      </c>
      <c r="M100" s="5" t="str">
        <f t="shared" si="27"/>
        <v/>
      </c>
      <c r="N100" s="25" t="str">
        <f>IF(ISBLANK($E100)," ", COUNTIF($M$4:$M100,$M100))</f>
        <v xml:space="preserve"> </v>
      </c>
      <c r="O100" s="25" t="str">
        <f t="shared" si="28"/>
        <v xml:space="preserve"> </v>
      </c>
      <c r="P100" s="5" t="str">
        <f t="shared" si="29"/>
        <v/>
      </c>
      <c r="Q100" s="5" t="str">
        <f t="shared" si="30"/>
        <v/>
      </c>
      <c r="R100" s="5" t="str">
        <f t="shared" si="31"/>
        <v/>
      </c>
    </row>
    <row r="101" spans="1:18" ht="20.25" x14ac:dyDescent="0.3">
      <c r="A101" s="14"/>
      <c r="B101" s="15">
        <v>97</v>
      </c>
      <c r="C101" s="22"/>
      <c r="D101" s="15"/>
      <c r="E101" s="23"/>
      <c r="F101" s="15"/>
      <c r="G101" s="15"/>
      <c r="H101" s="24"/>
      <c r="I101" s="15" t="str">
        <f t="shared" si="25"/>
        <v xml:space="preserve"> </v>
      </c>
      <c r="J101" s="15" t="str">
        <f t="shared" si="26"/>
        <v xml:space="preserve"> </v>
      </c>
      <c r="K101" s="15"/>
      <c r="L101" s="15">
        <f t="shared" si="32"/>
        <v>0</v>
      </c>
      <c r="M101" s="5" t="str">
        <f t="shared" si="27"/>
        <v/>
      </c>
      <c r="N101" s="25" t="str">
        <f>IF(ISBLANK($E101)," ", COUNTIF($M$4:$M101,$M101))</f>
        <v xml:space="preserve"> </v>
      </c>
      <c r="O101" s="25" t="str">
        <f t="shared" si="28"/>
        <v xml:space="preserve"> </v>
      </c>
      <c r="P101" s="5" t="str">
        <f t="shared" si="29"/>
        <v/>
      </c>
      <c r="Q101" s="5" t="str">
        <f t="shared" si="30"/>
        <v/>
      </c>
      <c r="R101" s="5" t="str">
        <f t="shared" si="31"/>
        <v/>
      </c>
    </row>
    <row r="102" spans="1:18" ht="20.25" x14ac:dyDescent="0.3">
      <c r="A102" s="14"/>
      <c r="B102" s="15">
        <v>98</v>
      </c>
      <c r="C102" s="22"/>
      <c r="D102" s="15"/>
      <c r="E102" s="23"/>
      <c r="F102" s="15"/>
      <c r="G102" s="15"/>
      <c r="H102" s="24"/>
      <c r="I102" s="15" t="str">
        <f t="shared" si="25"/>
        <v xml:space="preserve"> </v>
      </c>
      <c r="J102" s="15" t="str">
        <f t="shared" si="26"/>
        <v xml:space="preserve"> </v>
      </c>
      <c r="K102" s="15"/>
      <c r="L102" s="15">
        <f t="shared" si="32"/>
        <v>0</v>
      </c>
      <c r="M102" s="5" t="str">
        <f t="shared" si="27"/>
        <v/>
      </c>
      <c r="N102" s="25" t="str">
        <f>IF(ISBLANK($E102)," ", COUNTIF($M$4:$M102,$M102))</f>
        <v xml:space="preserve"> </v>
      </c>
      <c r="O102" s="25" t="str">
        <f t="shared" si="28"/>
        <v xml:space="preserve"> </v>
      </c>
      <c r="P102" s="5" t="str">
        <f t="shared" si="29"/>
        <v/>
      </c>
      <c r="Q102" s="5" t="str">
        <f t="shared" si="30"/>
        <v/>
      </c>
      <c r="R102" s="5" t="str">
        <f t="shared" si="31"/>
        <v/>
      </c>
    </row>
    <row r="103" spans="1:18" ht="20.25" x14ac:dyDescent="0.3">
      <c r="A103" s="14"/>
      <c r="B103" s="15">
        <v>99</v>
      </c>
      <c r="C103" s="22"/>
      <c r="D103" s="15"/>
      <c r="E103" s="23"/>
      <c r="F103" s="15"/>
      <c r="G103" s="15"/>
      <c r="H103" s="24"/>
      <c r="I103" s="15" t="str">
        <f t="shared" si="25"/>
        <v xml:space="preserve"> </v>
      </c>
      <c r="J103" s="15" t="str">
        <f t="shared" si="26"/>
        <v xml:space="preserve"> </v>
      </c>
      <c r="K103" s="15"/>
      <c r="L103" s="15">
        <f t="shared" si="32"/>
        <v>0</v>
      </c>
      <c r="M103" s="5" t="str">
        <f t="shared" si="27"/>
        <v/>
      </c>
      <c r="N103" s="25" t="str">
        <f>IF(ISBLANK($E103)," ", COUNTIF($M$4:$M103,$M103))</f>
        <v xml:space="preserve"> </v>
      </c>
      <c r="O103" s="25" t="str">
        <f t="shared" si="28"/>
        <v xml:space="preserve"> </v>
      </c>
      <c r="P103" s="5" t="str">
        <f t="shared" si="29"/>
        <v/>
      </c>
      <c r="Q103" s="5" t="str">
        <f t="shared" si="30"/>
        <v/>
      </c>
      <c r="R103" s="5" t="str">
        <f t="shared" si="31"/>
        <v/>
      </c>
    </row>
    <row r="104" spans="1:18" ht="20.25" x14ac:dyDescent="0.3">
      <c r="A104" s="14"/>
      <c r="B104" s="15">
        <v>100</v>
      </c>
      <c r="C104" s="22"/>
      <c r="D104" s="15"/>
      <c r="E104" s="23"/>
      <c r="F104" s="15"/>
      <c r="G104" s="15"/>
      <c r="H104" s="24"/>
      <c r="I104" s="15" t="str">
        <f t="shared" si="25"/>
        <v xml:space="preserve"> </v>
      </c>
      <c r="J104" s="15" t="str">
        <f t="shared" si="26"/>
        <v xml:space="preserve"> </v>
      </c>
      <c r="K104" s="15"/>
      <c r="L104" s="15">
        <f t="shared" si="32"/>
        <v>0</v>
      </c>
      <c r="M104" s="5" t="str">
        <f t="shared" si="27"/>
        <v/>
      </c>
      <c r="N104" s="25" t="str">
        <f>IF(ISBLANK($E104)," ", COUNTIF($M$4:$M104,$M104))</f>
        <v xml:space="preserve"> </v>
      </c>
      <c r="O104" s="25" t="str">
        <f t="shared" si="28"/>
        <v xml:space="preserve"> </v>
      </c>
      <c r="P104" s="5" t="str">
        <f t="shared" si="29"/>
        <v/>
      </c>
      <c r="Q104" s="5" t="str">
        <f t="shared" si="30"/>
        <v/>
      </c>
      <c r="R104" s="5" t="str">
        <f t="shared" si="31"/>
        <v/>
      </c>
    </row>
    <row r="105" spans="1:18" ht="20.25" x14ac:dyDescent="0.3">
      <c r="A105" s="14"/>
      <c r="B105" s="15">
        <v>101</v>
      </c>
      <c r="C105" s="22"/>
      <c r="D105" s="15"/>
      <c r="E105" s="23"/>
      <c r="F105" s="15"/>
      <c r="G105" s="15"/>
      <c r="H105" s="24"/>
      <c r="I105" s="15" t="str">
        <f t="shared" si="25"/>
        <v xml:space="preserve"> </v>
      </c>
      <c r="J105" s="15" t="str">
        <f t="shared" si="26"/>
        <v xml:space="preserve"> </v>
      </c>
      <c r="K105" s="15"/>
      <c r="L105" s="15">
        <f t="shared" si="32"/>
        <v>0</v>
      </c>
      <c r="M105" s="5" t="str">
        <f t="shared" si="27"/>
        <v/>
      </c>
      <c r="N105" s="25" t="str">
        <f>IF(ISBLANK($E105)," ", COUNTIF($M$4:$M105,$M105))</f>
        <v xml:space="preserve"> </v>
      </c>
      <c r="O105" s="25" t="str">
        <f t="shared" si="28"/>
        <v xml:space="preserve"> </v>
      </c>
      <c r="P105" s="5" t="str">
        <f t="shared" si="29"/>
        <v/>
      </c>
      <c r="Q105" s="5" t="str">
        <f t="shared" si="30"/>
        <v/>
      </c>
      <c r="R105" s="5" t="str">
        <f t="shared" si="31"/>
        <v/>
      </c>
    </row>
    <row r="106" spans="1:18" ht="20.25" x14ac:dyDescent="0.3">
      <c r="A106" s="14"/>
      <c r="B106" s="15">
        <v>102</v>
      </c>
      <c r="C106" s="22"/>
      <c r="D106" s="15"/>
      <c r="E106" s="23"/>
      <c r="F106" s="15"/>
      <c r="G106" s="15"/>
      <c r="H106" s="24"/>
      <c r="I106" s="15" t="str">
        <f t="shared" si="25"/>
        <v xml:space="preserve"> </v>
      </c>
      <c r="J106" s="15" t="str">
        <f t="shared" si="26"/>
        <v xml:space="preserve"> </v>
      </c>
      <c r="K106" s="15"/>
      <c r="L106" s="15">
        <f t="shared" si="32"/>
        <v>0</v>
      </c>
      <c r="M106" s="5" t="str">
        <f t="shared" si="27"/>
        <v/>
      </c>
      <c r="N106" s="25" t="str">
        <f>IF(ISBLANK($E106)," ", COUNTIF($M$4:$M106,$M106))</f>
        <v xml:space="preserve"> </v>
      </c>
      <c r="O106" s="25" t="str">
        <f t="shared" si="28"/>
        <v xml:space="preserve"> </v>
      </c>
      <c r="P106" s="5" t="str">
        <f t="shared" si="29"/>
        <v/>
      </c>
      <c r="Q106" s="5" t="str">
        <f t="shared" si="30"/>
        <v/>
      </c>
      <c r="R106" s="5" t="str">
        <f t="shared" si="31"/>
        <v/>
      </c>
    </row>
    <row r="107" spans="1:18" ht="20.25" x14ac:dyDescent="0.3">
      <c r="A107" s="14"/>
      <c r="B107" s="15">
        <v>103</v>
      </c>
      <c r="C107" s="22"/>
      <c r="D107" s="15"/>
      <c r="E107" s="23"/>
      <c r="F107" s="15"/>
      <c r="G107" s="15"/>
      <c r="H107" s="24"/>
      <c r="I107" s="15" t="str">
        <f t="shared" si="25"/>
        <v xml:space="preserve"> </v>
      </c>
      <c r="J107" s="15" t="str">
        <f t="shared" si="26"/>
        <v xml:space="preserve"> </v>
      </c>
      <c r="K107" s="15"/>
      <c r="L107" s="15">
        <f t="shared" si="32"/>
        <v>0</v>
      </c>
      <c r="M107" s="5" t="str">
        <f t="shared" si="27"/>
        <v/>
      </c>
      <c r="N107" s="25" t="str">
        <f>IF(ISBLANK($E107)," ", COUNTIF($M$4:$M107,$M107))</f>
        <v xml:space="preserve"> </v>
      </c>
      <c r="O107" s="25" t="str">
        <f t="shared" si="28"/>
        <v xml:space="preserve"> </v>
      </c>
      <c r="P107" s="5" t="str">
        <f t="shared" si="29"/>
        <v/>
      </c>
      <c r="Q107" s="5" t="str">
        <f t="shared" si="30"/>
        <v/>
      </c>
      <c r="R107" s="5" t="str">
        <f t="shared" si="31"/>
        <v/>
      </c>
    </row>
    <row r="108" spans="1:18" ht="20.25" x14ac:dyDescent="0.3">
      <c r="A108" s="14"/>
      <c r="B108" s="15">
        <v>104</v>
      </c>
      <c r="C108" s="22"/>
      <c r="D108" s="15"/>
      <c r="E108" s="23"/>
      <c r="F108" s="15"/>
      <c r="G108" s="15"/>
      <c r="H108" s="24"/>
      <c r="I108" s="15" t="str">
        <f t="shared" si="25"/>
        <v xml:space="preserve"> </v>
      </c>
      <c r="J108" s="15" t="str">
        <f t="shared" si="26"/>
        <v xml:space="preserve"> </v>
      </c>
      <c r="K108" s="15"/>
      <c r="L108" s="15">
        <f t="shared" si="32"/>
        <v>0</v>
      </c>
      <c r="M108" s="5" t="str">
        <f t="shared" si="27"/>
        <v/>
      </c>
      <c r="N108" s="25" t="str">
        <f>IF(ISBLANK($E108)," ", COUNTIF($M$4:$M108,$M108))</f>
        <v xml:space="preserve"> </v>
      </c>
      <c r="O108" s="25" t="str">
        <f t="shared" si="28"/>
        <v xml:space="preserve"> </v>
      </c>
      <c r="P108" s="5" t="str">
        <f t="shared" si="29"/>
        <v/>
      </c>
      <c r="Q108" s="5" t="str">
        <f t="shared" si="30"/>
        <v/>
      </c>
      <c r="R108" s="5" t="str">
        <f t="shared" si="31"/>
        <v/>
      </c>
    </row>
    <row r="109" spans="1:18" ht="20.25" x14ac:dyDescent="0.3">
      <c r="A109" s="14"/>
      <c r="B109" s="15">
        <v>105</v>
      </c>
      <c r="C109" s="22"/>
      <c r="D109" s="15"/>
      <c r="E109" s="23"/>
      <c r="F109" s="15"/>
      <c r="G109" s="15"/>
      <c r="H109" s="24"/>
      <c r="I109" s="15" t="str">
        <f t="shared" si="25"/>
        <v xml:space="preserve"> </v>
      </c>
      <c r="J109" s="15" t="str">
        <f t="shared" si="26"/>
        <v xml:space="preserve"> </v>
      </c>
      <c r="K109" s="15"/>
      <c r="L109" s="15">
        <f t="shared" si="32"/>
        <v>0</v>
      </c>
      <c r="M109" s="5" t="str">
        <f t="shared" si="27"/>
        <v/>
      </c>
      <c r="N109" s="25" t="str">
        <f>IF(ISBLANK($E109)," ", COUNTIF($M$4:$M109,$M109))</f>
        <v xml:space="preserve"> </v>
      </c>
      <c r="O109" s="25" t="str">
        <f t="shared" si="28"/>
        <v xml:space="preserve"> </v>
      </c>
      <c r="P109" s="5" t="str">
        <f t="shared" si="29"/>
        <v/>
      </c>
      <c r="Q109" s="5" t="str">
        <f t="shared" si="30"/>
        <v/>
      </c>
      <c r="R109" s="5" t="str">
        <f t="shared" si="31"/>
        <v/>
      </c>
    </row>
    <row r="110" spans="1:18" ht="20.25" x14ac:dyDescent="0.3">
      <c r="A110" s="14"/>
      <c r="B110" s="15">
        <v>106</v>
      </c>
      <c r="C110" s="22"/>
      <c r="D110" s="15"/>
      <c r="E110" s="23"/>
      <c r="F110" s="15"/>
      <c r="G110" s="15"/>
      <c r="H110" s="24"/>
      <c r="I110" s="15" t="str">
        <f t="shared" si="25"/>
        <v xml:space="preserve"> </v>
      </c>
      <c r="J110" s="15" t="str">
        <f t="shared" si="26"/>
        <v xml:space="preserve"> </v>
      </c>
      <c r="K110" s="15"/>
      <c r="L110" s="15">
        <f t="shared" si="32"/>
        <v>0</v>
      </c>
      <c r="M110" s="5" t="str">
        <f t="shared" si="27"/>
        <v/>
      </c>
      <c r="N110" s="25" t="str">
        <f>IF(ISBLANK($E110)," ", COUNTIF($M$4:$M110,$M110))</f>
        <v xml:space="preserve"> </v>
      </c>
      <c r="O110" s="25" t="str">
        <f t="shared" si="28"/>
        <v xml:space="preserve"> </v>
      </c>
      <c r="P110" s="5" t="str">
        <f t="shared" si="29"/>
        <v/>
      </c>
      <c r="Q110" s="5" t="str">
        <f t="shared" si="30"/>
        <v/>
      </c>
      <c r="R110" s="5" t="str">
        <f t="shared" si="31"/>
        <v/>
      </c>
    </row>
    <row r="111" spans="1:18" ht="20.25" x14ac:dyDescent="0.3">
      <c r="A111" s="14"/>
      <c r="B111" s="15">
        <v>107</v>
      </c>
      <c r="C111" s="22"/>
      <c r="D111" s="15"/>
      <c r="E111" s="23"/>
      <c r="F111" s="15"/>
      <c r="G111" s="15"/>
      <c r="H111" s="24"/>
      <c r="I111" s="15" t="str">
        <f t="shared" si="25"/>
        <v xml:space="preserve"> </v>
      </c>
      <c r="J111" s="15" t="str">
        <f t="shared" si="26"/>
        <v xml:space="preserve"> </v>
      </c>
      <c r="K111" s="15"/>
      <c r="L111" s="15">
        <f t="shared" si="32"/>
        <v>0</v>
      </c>
      <c r="M111" s="5" t="str">
        <f t="shared" si="27"/>
        <v/>
      </c>
      <c r="N111" s="25" t="str">
        <f>IF(ISBLANK($E111)," ", COUNTIF($M$4:$M111,$M111))</f>
        <v xml:space="preserve"> </v>
      </c>
      <c r="O111" s="25" t="str">
        <f t="shared" si="28"/>
        <v xml:space="preserve"> </v>
      </c>
      <c r="P111" s="5" t="str">
        <f t="shared" si="29"/>
        <v/>
      </c>
      <c r="Q111" s="5" t="str">
        <f t="shared" si="30"/>
        <v/>
      </c>
      <c r="R111" s="5" t="str">
        <f t="shared" si="31"/>
        <v/>
      </c>
    </row>
    <row r="112" spans="1:18" ht="20.25" x14ac:dyDescent="0.3">
      <c r="A112" s="14"/>
      <c r="B112" s="15">
        <v>108</v>
      </c>
      <c r="C112" s="22"/>
      <c r="D112" s="15"/>
      <c r="E112" s="23"/>
      <c r="F112" s="15"/>
      <c r="G112" s="15"/>
      <c r="H112" s="24"/>
      <c r="I112" s="15" t="str">
        <f t="shared" si="25"/>
        <v xml:space="preserve"> </v>
      </c>
      <c r="J112" s="15" t="str">
        <f t="shared" si="26"/>
        <v xml:space="preserve"> </v>
      </c>
      <c r="K112" s="15"/>
      <c r="L112" s="15">
        <f t="shared" si="32"/>
        <v>0</v>
      </c>
      <c r="M112" s="5" t="str">
        <f t="shared" si="27"/>
        <v/>
      </c>
      <c r="N112" s="25" t="str">
        <f>IF(ISBLANK($E112)," ", COUNTIF($M$4:$M112,$M112))</f>
        <v xml:space="preserve"> </v>
      </c>
      <c r="O112" s="25" t="str">
        <f t="shared" si="28"/>
        <v xml:space="preserve"> </v>
      </c>
      <c r="P112" s="5" t="str">
        <f t="shared" si="29"/>
        <v/>
      </c>
      <c r="Q112" s="5" t="str">
        <f t="shared" si="30"/>
        <v/>
      </c>
      <c r="R112" s="5" t="str">
        <f t="shared" si="31"/>
        <v/>
      </c>
    </row>
    <row r="113" spans="1:18" ht="20.25" x14ac:dyDescent="0.3">
      <c r="A113" s="14"/>
      <c r="B113" s="15">
        <v>109</v>
      </c>
      <c r="C113" s="22"/>
      <c r="D113" s="15"/>
      <c r="E113" s="23"/>
      <c r="F113" s="15"/>
      <c r="G113" s="15"/>
      <c r="H113" s="24"/>
      <c r="I113" s="15" t="str">
        <f t="shared" si="25"/>
        <v xml:space="preserve"> </v>
      </c>
      <c r="J113" s="15" t="str">
        <f t="shared" si="26"/>
        <v xml:space="preserve"> </v>
      </c>
      <c r="K113" s="15"/>
      <c r="L113" s="15">
        <f t="shared" si="32"/>
        <v>0</v>
      </c>
      <c r="M113" s="5" t="str">
        <f t="shared" si="27"/>
        <v/>
      </c>
      <c r="N113" s="25" t="str">
        <f>IF(ISBLANK($E113)," ", COUNTIF($M$4:$M113,$M113))</f>
        <v xml:space="preserve"> </v>
      </c>
      <c r="O113" s="25" t="str">
        <f t="shared" si="28"/>
        <v xml:space="preserve"> </v>
      </c>
      <c r="P113" s="5" t="str">
        <f t="shared" si="29"/>
        <v/>
      </c>
      <c r="Q113" s="5" t="str">
        <f t="shared" si="30"/>
        <v/>
      </c>
      <c r="R113" s="5" t="str">
        <f t="shared" si="31"/>
        <v/>
      </c>
    </row>
    <row r="114" spans="1:18" ht="20.25" x14ac:dyDescent="0.3">
      <c r="A114" s="14"/>
      <c r="B114" s="15">
        <v>110</v>
      </c>
      <c r="C114" s="22"/>
      <c r="D114" s="15"/>
      <c r="E114" s="23"/>
      <c r="F114" s="15"/>
      <c r="G114" s="15"/>
      <c r="H114" s="24"/>
      <c r="I114" s="15" t="str">
        <f t="shared" si="25"/>
        <v xml:space="preserve"> </v>
      </c>
      <c r="J114" s="15" t="str">
        <f t="shared" si="26"/>
        <v xml:space="preserve"> </v>
      </c>
      <c r="K114" s="15"/>
      <c r="L114" s="15">
        <f t="shared" si="32"/>
        <v>0</v>
      </c>
      <c r="M114" s="5" t="str">
        <f t="shared" si="27"/>
        <v/>
      </c>
      <c r="N114" s="25" t="str">
        <f>IF(ISBLANK($E114)," ", COUNTIF($M$4:$M114,$M114))</f>
        <v xml:space="preserve"> </v>
      </c>
      <c r="O114" s="25" t="str">
        <f t="shared" si="28"/>
        <v xml:space="preserve"> </v>
      </c>
      <c r="P114" s="5" t="str">
        <f t="shared" si="29"/>
        <v/>
      </c>
      <c r="Q114" s="5" t="str">
        <f t="shared" si="30"/>
        <v/>
      </c>
      <c r="R114" s="5" t="str">
        <f t="shared" si="31"/>
        <v/>
      </c>
    </row>
    <row r="115" spans="1:18" ht="20.25" x14ac:dyDescent="0.3">
      <c r="A115" s="14"/>
      <c r="B115" s="15">
        <v>111</v>
      </c>
      <c r="C115" s="22"/>
      <c r="D115" s="15"/>
      <c r="E115" s="23"/>
      <c r="F115" s="15"/>
      <c r="G115" s="15"/>
      <c r="H115" s="24"/>
      <c r="I115" s="15" t="str">
        <f t="shared" si="25"/>
        <v xml:space="preserve"> </v>
      </c>
      <c r="J115" s="15" t="str">
        <f t="shared" si="26"/>
        <v xml:space="preserve"> </v>
      </c>
      <c r="K115" s="15"/>
      <c r="L115" s="15">
        <f t="shared" si="32"/>
        <v>0</v>
      </c>
      <c r="M115" s="5" t="str">
        <f t="shared" si="27"/>
        <v/>
      </c>
      <c r="N115" s="25" t="str">
        <f>IF(ISBLANK($E115)," ", COUNTIF($M$4:$M115,$M115))</f>
        <v xml:space="preserve"> </v>
      </c>
      <c r="O115" s="25" t="str">
        <f t="shared" si="28"/>
        <v xml:space="preserve"> </v>
      </c>
      <c r="P115" s="5" t="str">
        <f t="shared" si="29"/>
        <v/>
      </c>
      <c r="Q115" s="5" t="str">
        <f t="shared" si="30"/>
        <v/>
      </c>
      <c r="R115" s="5" t="str">
        <f t="shared" si="31"/>
        <v/>
      </c>
    </row>
    <row r="116" spans="1:18" ht="20.25" x14ac:dyDescent="0.3">
      <c r="A116" s="14"/>
      <c r="B116" s="15">
        <v>112</v>
      </c>
      <c r="C116" s="22"/>
      <c r="D116" s="15"/>
      <c r="E116" s="23"/>
      <c r="F116" s="15"/>
      <c r="G116" s="15"/>
      <c r="H116" s="24"/>
      <c r="I116" s="15" t="str">
        <f t="shared" si="25"/>
        <v xml:space="preserve"> </v>
      </c>
      <c r="J116" s="15" t="str">
        <f t="shared" si="26"/>
        <v xml:space="preserve"> </v>
      </c>
      <c r="K116" s="15"/>
      <c r="L116" s="15">
        <f t="shared" si="32"/>
        <v>0</v>
      </c>
      <c r="M116" s="5" t="str">
        <f t="shared" si="27"/>
        <v/>
      </c>
      <c r="N116" s="25" t="str">
        <f>IF(ISBLANK($E116)," ", COUNTIF($M$4:$M116,$M116))</f>
        <v xml:space="preserve"> </v>
      </c>
      <c r="O116" s="25" t="str">
        <f t="shared" si="28"/>
        <v xml:space="preserve"> </v>
      </c>
      <c r="P116" s="5" t="str">
        <f t="shared" si="29"/>
        <v/>
      </c>
      <c r="Q116" s="5" t="str">
        <f t="shared" si="30"/>
        <v/>
      </c>
      <c r="R116" s="5" t="str">
        <f t="shared" si="31"/>
        <v/>
      </c>
    </row>
    <row r="117" spans="1:18" ht="20.25" x14ac:dyDescent="0.3">
      <c r="A117" s="14"/>
      <c r="B117" s="15">
        <v>113</v>
      </c>
      <c r="C117" s="22"/>
      <c r="D117" s="15"/>
      <c r="E117" s="23"/>
      <c r="F117" s="15"/>
      <c r="G117" s="15"/>
      <c r="H117" s="24"/>
      <c r="I117" s="15" t="str">
        <f t="shared" si="25"/>
        <v xml:space="preserve"> </v>
      </c>
      <c r="J117" s="15" t="str">
        <f t="shared" si="26"/>
        <v xml:space="preserve"> </v>
      </c>
      <c r="K117" s="15"/>
      <c r="L117" s="15">
        <f t="shared" si="32"/>
        <v>0</v>
      </c>
      <c r="M117" s="5" t="str">
        <f t="shared" si="27"/>
        <v/>
      </c>
      <c r="N117" s="25" t="str">
        <f>IF(ISBLANK($E117)," ", COUNTIF($M$4:$M117,$M117))</f>
        <v xml:space="preserve"> </v>
      </c>
      <c r="O117" s="25" t="str">
        <f t="shared" si="28"/>
        <v xml:space="preserve"> </v>
      </c>
      <c r="P117" s="5" t="str">
        <f t="shared" si="29"/>
        <v/>
      </c>
      <c r="Q117" s="5" t="str">
        <f t="shared" si="30"/>
        <v/>
      </c>
      <c r="R117" s="5" t="str">
        <f t="shared" si="31"/>
        <v/>
      </c>
    </row>
    <row r="118" spans="1:18" ht="20.25" x14ac:dyDescent="0.3">
      <c r="A118" s="14"/>
      <c r="B118" s="15">
        <v>114</v>
      </c>
      <c r="C118" s="22"/>
      <c r="D118" s="15"/>
      <c r="E118" s="23"/>
      <c r="F118" s="15"/>
      <c r="G118" s="15"/>
      <c r="H118" s="24"/>
      <c r="I118" s="15" t="str">
        <f t="shared" si="25"/>
        <v xml:space="preserve"> </v>
      </c>
      <c r="J118" s="15" t="str">
        <f t="shared" si="26"/>
        <v xml:space="preserve"> </v>
      </c>
      <c r="K118" s="15"/>
      <c r="L118" s="15">
        <f t="shared" si="32"/>
        <v>0</v>
      </c>
      <c r="M118" s="5" t="str">
        <f t="shared" si="27"/>
        <v/>
      </c>
      <c r="N118" s="25" t="str">
        <f>IF(ISBLANK($E118)," ", COUNTIF($M$4:$M118,$M118))</f>
        <v xml:space="preserve"> </v>
      </c>
      <c r="O118" s="25" t="str">
        <f t="shared" si="28"/>
        <v xml:space="preserve"> </v>
      </c>
      <c r="P118" s="5" t="str">
        <f t="shared" si="29"/>
        <v/>
      </c>
      <c r="Q118" s="5" t="str">
        <f t="shared" si="30"/>
        <v/>
      </c>
      <c r="R118" s="5" t="str">
        <f t="shared" si="31"/>
        <v/>
      </c>
    </row>
    <row r="119" spans="1:18" ht="20.25" x14ac:dyDescent="0.3">
      <c r="A119" s="14"/>
      <c r="B119" s="15">
        <v>115</v>
      </c>
      <c r="C119" s="22"/>
      <c r="D119" s="15"/>
      <c r="E119" s="23"/>
      <c r="F119" s="15"/>
      <c r="G119" s="15"/>
      <c r="H119" s="24"/>
      <c r="I119" s="15" t="str">
        <f t="shared" si="25"/>
        <v xml:space="preserve"> </v>
      </c>
      <c r="J119" s="15" t="str">
        <f t="shared" si="26"/>
        <v xml:space="preserve"> </v>
      </c>
      <c r="K119" s="15"/>
      <c r="L119" s="15">
        <f t="shared" si="32"/>
        <v>0</v>
      </c>
      <c r="M119" s="5" t="str">
        <f t="shared" si="27"/>
        <v/>
      </c>
      <c r="N119" s="25" t="str">
        <f>IF(ISBLANK($E119)," ", COUNTIF($M$4:$M119,$M119))</f>
        <v xml:space="preserve"> </v>
      </c>
      <c r="O119" s="25" t="str">
        <f t="shared" si="28"/>
        <v xml:space="preserve"> </v>
      </c>
      <c r="P119" s="5" t="str">
        <f t="shared" si="29"/>
        <v/>
      </c>
      <c r="Q119" s="5" t="str">
        <f t="shared" si="30"/>
        <v/>
      </c>
      <c r="R119" s="5" t="str">
        <f t="shared" si="31"/>
        <v/>
      </c>
    </row>
    <row r="120" spans="1:18" ht="20.25" x14ac:dyDescent="0.3">
      <c r="A120" s="14"/>
      <c r="B120" s="15">
        <v>116</v>
      </c>
      <c r="C120" s="22"/>
      <c r="D120" s="15"/>
      <c r="E120" s="23"/>
      <c r="F120" s="15"/>
      <c r="G120" s="15"/>
      <c r="H120" s="24"/>
      <c r="I120" s="15" t="str">
        <f t="shared" si="25"/>
        <v xml:space="preserve"> </v>
      </c>
      <c r="J120" s="15" t="str">
        <f t="shared" si="26"/>
        <v xml:space="preserve"> </v>
      </c>
      <c r="K120" s="15"/>
      <c r="L120" s="15">
        <f t="shared" si="32"/>
        <v>0</v>
      </c>
      <c r="M120" s="5" t="str">
        <f t="shared" si="27"/>
        <v/>
      </c>
      <c r="N120" s="25" t="str">
        <f>IF(ISBLANK($E120)," ", COUNTIF($M$4:$M120,$M120))</f>
        <v xml:space="preserve"> </v>
      </c>
      <c r="O120" s="25" t="str">
        <f t="shared" si="28"/>
        <v xml:space="preserve"> </v>
      </c>
      <c r="P120" s="5" t="str">
        <f t="shared" si="29"/>
        <v/>
      </c>
      <c r="Q120" s="5" t="str">
        <f t="shared" si="30"/>
        <v/>
      </c>
      <c r="R120" s="5" t="str">
        <f t="shared" si="31"/>
        <v/>
      </c>
    </row>
    <row r="121" spans="1:18" ht="20.25" x14ac:dyDescent="0.3">
      <c r="A121" s="14"/>
      <c r="B121" s="15">
        <v>117</v>
      </c>
      <c r="C121" s="22"/>
      <c r="D121" s="15"/>
      <c r="E121" s="23"/>
      <c r="F121" s="15"/>
      <c r="G121" s="15"/>
      <c r="H121" s="24"/>
      <c r="I121" s="15" t="str">
        <f t="shared" si="25"/>
        <v xml:space="preserve"> </v>
      </c>
      <c r="J121" s="15" t="str">
        <f t="shared" si="26"/>
        <v xml:space="preserve"> </v>
      </c>
      <c r="K121" s="15"/>
      <c r="L121" s="15">
        <f t="shared" si="32"/>
        <v>0</v>
      </c>
      <c r="M121" s="5" t="str">
        <f t="shared" si="27"/>
        <v/>
      </c>
      <c r="N121" s="25" t="str">
        <f>IF(ISBLANK($E121)," ", COUNTIF($M$4:$M121,$M121))</f>
        <v xml:space="preserve"> </v>
      </c>
      <c r="O121" s="25" t="str">
        <f t="shared" si="28"/>
        <v xml:space="preserve"> </v>
      </c>
      <c r="P121" s="5" t="str">
        <f t="shared" si="29"/>
        <v/>
      </c>
      <c r="Q121" s="5" t="str">
        <f t="shared" si="30"/>
        <v/>
      </c>
      <c r="R121" s="5" t="str">
        <f t="shared" si="31"/>
        <v/>
      </c>
    </row>
    <row r="122" spans="1:18" ht="20.25" x14ac:dyDescent="0.3">
      <c r="A122" s="14"/>
      <c r="B122" s="15">
        <v>118</v>
      </c>
      <c r="C122" s="22"/>
      <c r="D122" s="15"/>
      <c r="E122" s="23"/>
      <c r="F122" s="15"/>
      <c r="G122" s="15"/>
      <c r="H122" s="24"/>
      <c r="I122" s="15" t="str">
        <f t="shared" si="25"/>
        <v xml:space="preserve"> </v>
      </c>
      <c r="J122" s="15" t="str">
        <f t="shared" si="26"/>
        <v xml:space="preserve"> </v>
      </c>
      <c r="K122" s="15"/>
      <c r="L122" s="15">
        <f t="shared" si="32"/>
        <v>0</v>
      </c>
      <c r="M122" s="5" t="str">
        <f t="shared" si="27"/>
        <v/>
      </c>
      <c r="N122" s="25" t="str">
        <f>IF(ISBLANK($E122)," ", COUNTIF($M$4:$M122,$M122))</f>
        <v xml:space="preserve"> </v>
      </c>
      <c r="O122" s="25" t="str">
        <f t="shared" si="28"/>
        <v xml:space="preserve"> </v>
      </c>
      <c r="P122" s="5" t="str">
        <f t="shared" si="29"/>
        <v/>
      </c>
      <c r="Q122" s="5" t="str">
        <f t="shared" si="30"/>
        <v/>
      </c>
      <c r="R122" s="5" t="str">
        <f t="shared" si="31"/>
        <v/>
      </c>
    </row>
    <row r="123" spans="1:18" ht="20.25" x14ac:dyDescent="0.3">
      <c r="A123" s="14"/>
      <c r="B123" s="15">
        <v>119</v>
      </c>
      <c r="C123" s="22"/>
      <c r="D123" s="15"/>
      <c r="E123" s="3"/>
      <c r="F123" s="15"/>
      <c r="G123" s="15"/>
      <c r="H123" s="24"/>
      <c r="I123" s="15" t="str">
        <f t="shared" si="25"/>
        <v xml:space="preserve"> </v>
      </c>
      <c r="J123" s="15" t="str">
        <f t="shared" si="26"/>
        <v xml:space="preserve"> </v>
      </c>
      <c r="K123" s="15"/>
      <c r="L123" s="15">
        <f t="shared" si="32"/>
        <v>0</v>
      </c>
      <c r="M123" s="5" t="str">
        <f t="shared" si="27"/>
        <v/>
      </c>
      <c r="N123" s="25" t="str">
        <f>IF(ISBLANK($E123)," ", COUNTIF($M$4:$M123,$M123))</f>
        <v xml:space="preserve"> </v>
      </c>
      <c r="O123" s="25" t="str">
        <f t="shared" si="28"/>
        <v xml:space="preserve"> </v>
      </c>
      <c r="P123" s="5" t="str">
        <f t="shared" si="29"/>
        <v/>
      </c>
      <c r="Q123" s="5" t="str">
        <f t="shared" si="30"/>
        <v/>
      </c>
      <c r="R123" s="5" t="str">
        <f t="shared" si="31"/>
        <v/>
      </c>
    </row>
    <row r="124" spans="1:18" ht="20.25" x14ac:dyDescent="0.3">
      <c r="A124" s="14"/>
      <c r="B124" s="15">
        <v>120</v>
      </c>
      <c r="C124" s="22"/>
      <c r="D124" s="15"/>
      <c r="E124" s="3"/>
      <c r="F124" s="15"/>
      <c r="G124" s="15"/>
      <c r="H124" s="24"/>
      <c r="I124" s="15" t="str">
        <f t="shared" si="25"/>
        <v xml:space="preserve"> </v>
      </c>
      <c r="J124" s="15" t="str">
        <f t="shared" si="26"/>
        <v xml:space="preserve"> </v>
      </c>
      <c r="K124" s="15"/>
      <c r="L124" s="15">
        <f t="shared" si="32"/>
        <v>0</v>
      </c>
      <c r="M124" s="5" t="str">
        <f t="shared" si="27"/>
        <v/>
      </c>
      <c r="N124" s="25" t="str">
        <f>IF(ISBLANK($E124)," ", COUNTIF($M$4:$M124,$M124))</f>
        <v xml:space="preserve"> </v>
      </c>
      <c r="O124" s="25" t="str">
        <f t="shared" si="28"/>
        <v xml:space="preserve"> </v>
      </c>
      <c r="P124" s="5" t="str">
        <f t="shared" si="29"/>
        <v/>
      </c>
      <c r="Q124" s="5" t="str">
        <f t="shared" si="30"/>
        <v/>
      </c>
      <c r="R124" s="5" t="str">
        <f t="shared" si="31"/>
        <v/>
      </c>
    </row>
    <row r="125" spans="1:18" ht="20.25" x14ac:dyDescent="0.3">
      <c r="A125" s="14"/>
      <c r="B125" s="15">
        <v>121</v>
      </c>
      <c r="C125" s="22"/>
      <c r="D125" s="15"/>
      <c r="E125" s="3"/>
      <c r="F125" s="15"/>
      <c r="G125" s="15"/>
      <c r="H125" s="24"/>
      <c r="I125" s="15" t="str">
        <f t="shared" si="25"/>
        <v xml:space="preserve"> </v>
      </c>
      <c r="J125" s="15" t="str">
        <f t="shared" si="26"/>
        <v xml:space="preserve"> </v>
      </c>
      <c r="K125" s="15"/>
      <c r="L125" s="15">
        <f t="shared" si="32"/>
        <v>0</v>
      </c>
      <c r="M125" s="5" t="str">
        <f t="shared" si="27"/>
        <v/>
      </c>
      <c r="N125" s="25" t="str">
        <f>IF(ISBLANK($E125)," ", COUNTIF($M$4:$M125,$M125))</f>
        <v xml:space="preserve"> </v>
      </c>
      <c r="O125" s="25" t="str">
        <f t="shared" si="28"/>
        <v xml:space="preserve"> </v>
      </c>
      <c r="P125" s="5" t="str">
        <f t="shared" si="29"/>
        <v/>
      </c>
      <c r="Q125" s="5" t="str">
        <f t="shared" si="30"/>
        <v/>
      </c>
      <c r="R125" s="5" t="str">
        <f t="shared" si="31"/>
        <v/>
      </c>
    </row>
    <row r="126" spans="1:18" ht="20.25" x14ac:dyDescent="0.3">
      <c r="A126" s="14"/>
      <c r="B126" s="15">
        <v>122</v>
      </c>
      <c r="C126" s="22"/>
      <c r="D126" s="15"/>
      <c r="E126" s="3"/>
      <c r="F126" s="15"/>
      <c r="G126" s="15"/>
      <c r="H126" s="24"/>
      <c r="I126" s="15" t="str">
        <f t="shared" si="25"/>
        <v xml:space="preserve"> </v>
      </c>
      <c r="J126" s="15" t="str">
        <f t="shared" si="26"/>
        <v xml:space="preserve"> </v>
      </c>
      <c r="K126" s="15"/>
      <c r="L126" s="15">
        <f t="shared" si="32"/>
        <v>0</v>
      </c>
      <c r="M126" s="5" t="str">
        <f t="shared" si="27"/>
        <v/>
      </c>
      <c r="N126" s="25" t="str">
        <f>IF(ISBLANK($E126)," ", COUNTIF($M$4:$M126,$M126))</f>
        <v xml:space="preserve"> </v>
      </c>
      <c r="O126" s="25" t="str">
        <f t="shared" si="28"/>
        <v xml:space="preserve"> </v>
      </c>
      <c r="P126" s="5" t="str">
        <f t="shared" si="29"/>
        <v/>
      </c>
      <c r="Q126" s="5" t="str">
        <f t="shared" si="30"/>
        <v/>
      </c>
      <c r="R126" s="5" t="str">
        <f t="shared" si="31"/>
        <v/>
      </c>
    </row>
    <row r="127" spans="1:18" ht="20.25" x14ac:dyDescent="0.3">
      <c r="A127" s="14"/>
      <c r="B127" s="15">
        <v>123</v>
      </c>
      <c r="C127" s="22"/>
      <c r="D127" s="15"/>
      <c r="E127" s="3"/>
      <c r="F127" s="15"/>
      <c r="G127" s="15"/>
      <c r="H127" s="24"/>
      <c r="I127" s="15" t="str">
        <f t="shared" si="25"/>
        <v xml:space="preserve"> </v>
      </c>
      <c r="J127" s="15" t="str">
        <f t="shared" si="26"/>
        <v xml:space="preserve"> </v>
      </c>
      <c r="K127" s="15"/>
      <c r="L127" s="15">
        <f t="shared" si="32"/>
        <v>0</v>
      </c>
      <c r="M127" s="5" t="str">
        <f t="shared" si="27"/>
        <v/>
      </c>
      <c r="N127" s="25" t="str">
        <f>IF(ISBLANK($E127)," ", COUNTIF($M$4:$M127,$M127))</f>
        <v xml:space="preserve"> </v>
      </c>
      <c r="O127" s="25" t="str">
        <f t="shared" si="28"/>
        <v xml:space="preserve"> </v>
      </c>
      <c r="P127" s="5" t="str">
        <f t="shared" si="29"/>
        <v/>
      </c>
      <c r="Q127" s="5" t="str">
        <f t="shared" si="30"/>
        <v/>
      </c>
      <c r="R127" s="5" t="str">
        <f t="shared" si="31"/>
        <v/>
      </c>
    </row>
    <row r="128" spans="1:18" ht="20.25" x14ac:dyDescent="0.3">
      <c r="A128" s="14"/>
      <c r="B128" s="15">
        <v>124</v>
      </c>
      <c r="C128" s="22"/>
      <c r="D128" s="15"/>
      <c r="E128" s="3"/>
      <c r="F128" s="15"/>
      <c r="G128" s="15"/>
      <c r="H128" s="24"/>
      <c r="I128" s="15" t="str">
        <f t="shared" si="25"/>
        <v xml:space="preserve"> </v>
      </c>
      <c r="J128" s="15" t="str">
        <f t="shared" si="26"/>
        <v xml:space="preserve"> </v>
      </c>
      <c r="K128" s="15"/>
      <c r="L128" s="15">
        <f t="shared" si="32"/>
        <v>0</v>
      </c>
      <c r="M128" s="5" t="str">
        <f t="shared" si="27"/>
        <v/>
      </c>
      <c r="N128" s="25" t="str">
        <f>IF(ISBLANK($E128)," ", COUNTIF($M$4:$M128,$M128))</f>
        <v xml:space="preserve"> </v>
      </c>
      <c r="O128" s="25" t="str">
        <f t="shared" si="28"/>
        <v xml:space="preserve"> </v>
      </c>
      <c r="P128" s="5" t="str">
        <f t="shared" si="29"/>
        <v/>
      </c>
      <c r="Q128" s="5" t="str">
        <f t="shared" si="30"/>
        <v/>
      </c>
      <c r="R128" s="5" t="str">
        <f t="shared" si="31"/>
        <v/>
      </c>
    </row>
    <row r="129" spans="1:18" ht="20.25" x14ac:dyDescent="0.3">
      <c r="A129" s="14"/>
      <c r="B129" s="15">
        <v>125</v>
      </c>
      <c r="C129" s="22"/>
      <c r="D129" s="15"/>
      <c r="E129" s="3"/>
      <c r="F129" s="15"/>
      <c r="G129" s="15"/>
      <c r="H129" s="24"/>
      <c r="I129" s="15" t="str">
        <f t="shared" si="25"/>
        <v xml:space="preserve"> </v>
      </c>
      <c r="J129" s="15" t="str">
        <f t="shared" si="26"/>
        <v xml:space="preserve"> </v>
      </c>
      <c r="K129" s="15"/>
      <c r="L129" s="15">
        <f t="shared" si="32"/>
        <v>0</v>
      </c>
      <c r="M129" s="5" t="str">
        <f t="shared" si="27"/>
        <v/>
      </c>
      <c r="N129" s="25" t="str">
        <f>IF(ISBLANK($E129)," ", COUNTIF($M$4:$M129,$M129))</f>
        <v xml:space="preserve"> </v>
      </c>
      <c r="O129" s="25" t="str">
        <f t="shared" si="28"/>
        <v xml:space="preserve"> </v>
      </c>
      <c r="P129" s="5" t="str">
        <f t="shared" si="29"/>
        <v/>
      </c>
      <c r="Q129" s="5" t="str">
        <f t="shared" si="30"/>
        <v/>
      </c>
      <c r="R129" s="5" t="str">
        <f t="shared" si="31"/>
        <v/>
      </c>
    </row>
    <row r="130" spans="1:18" ht="20.25" x14ac:dyDescent="0.3">
      <c r="A130" s="14"/>
      <c r="B130" s="15">
        <v>126</v>
      </c>
      <c r="C130" s="22"/>
      <c r="D130" s="15"/>
      <c r="E130" s="3"/>
      <c r="F130" s="15"/>
      <c r="G130" s="15"/>
      <c r="H130" s="24"/>
      <c r="I130" s="15" t="str">
        <f t="shared" si="25"/>
        <v xml:space="preserve"> </v>
      </c>
      <c r="J130" s="15" t="str">
        <f t="shared" si="26"/>
        <v xml:space="preserve"> </v>
      </c>
      <c r="K130" s="15"/>
      <c r="L130" s="15">
        <f t="shared" si="32"/>
        <v>0</v>
      </c>
      <c r="M130" s="5" t="str">
        <f t="shared" si="27"/>
        <v/>
      </c>
      <c r="N130" s="25" t="str">
        <f>IF(ISBLANK($E130)," ", COUNTIF($M$4:$M130,$M130))</f>
        <v xml:space="preserve"> </v>
      </c>
      <c r="O130" s="25" t="str">
        <f t="shared" si="28"/>
        <v xml:space="preserve"> </v>
      </c>
      <c r="P130" s="5" t="str">
        <f t="shared" si="29"/>
        <v/>
      </c>
      <c r="Q130" s="5" t="str">
        <f t="shared" si="30"/>
        <v/>
      </c>
      <c r="R130" s="5" t="str">
        <f t="shared" si="31"/>
        <v/>
      </c>
    </row>
    <row r="131" spans="1:18" ht="20.25" x14ac:dyDescent="0.3">
      <c r="A131" s="14"/>
      <c r="B131" s="15">
        <v>127</v>
      </c>
      <c r="C131" s="22"/>
      <c r="D131" s="15"/>
      <c r="E131" s="3"/>
      <c r="F131" s="15"/>
      <c r="G131" s="15"/>
      <c r="H131" s="24"/>
      <c r="I131" s="15" t="str">
        <f t="shared" ref="I131:I193" si="33">IF(ISBLANK($E131)," ",IF($E131&gt;$H131,$C131,$F131))</f>
        <v xml:space="preserve"> </v>
      </c>
      <c r="J131" s="15" t="str">
        <f t="shared" ref="J131:J193" si="34">IF(ISBLANK($E131)," ",IF($E131&gt;$H131,$D131,$G131))</f>
        <v xml:space="preserve"> </v>
      </c>
      <c r="K131" s="15"/>
      <c r="L131" s="15">
        <f t="shared" si="32"/>
        <v>0</v>
      </c>
      <c r="M131" s="5" t="str">
        <f t="shared" ref="M131:M193" si="35">IF(ISBLANK($E131),"",VLOOKUP($I131,PLAYERS_IDS,2,FALSE)*VLOOKUP($J131,PLAYERS_IDS,2,FALSE))</f>
        <v/>
      </c>
      <c r="N131" s="25" t="str">
        <f>IF(ISBLANK($E131)," ", COUNTIF($M$4:$M131,$M131))</f>
        <v xml:space="preserve"> </v>
      </c>
      <c r="O131" s="25" t="str">
        <f t="shared" ref="O131:O193" si="36">IF(N131 =" ", " ", IF(N131=1,15,(IF(N131=2,15,(IF(N131=3,15,15))))))</f>
        <v xml:space="preserve"> </v>
      </c>
      <c r="P131" s="5" t="str">
        <f t="shared" ref="P131:P193" si="37">IF(ISBLANK($F131),"",VLOOKUP($C131,PLAYERS_IDS,2,FALSE)*VLOOKUP($D131,PLAYERS_IDS,2,FALSE))</f>
        <v/>
      </c>
      <c r="Q131" s="5" t="str">
        <f t="shared" ref="Q131:Q193" si="38">IF(ISBLANK($F131), "",VLOOKUP($F131,PLAYERS_IDS,2,FALSE)*VLOOKUP($G131,PLAYERS_IDS,2,FALSE))</f>
        <v/>
      </c>
      <c r="R131" s="5" t="str">
        <f t="shared" ref="R131:R193" si="39">IFERROR((P131*100000)+Q131,"")</f>
        <v/>
      </c>
    </row>
    <row r="132" spans="1:18" ht="20.25" x14ac:dyDescent="0.3">
      <c r="A132" s="14"/>
      <c r="B132" s="15">
        <v>128</v>
      </c>
      <c r="C132" s="22"/>
      <c r="D132" s="15"/>
      <c r="E132" s="3"/>
      <c r="F132" s="15"/>
      <c r="G132" s="15"/>
      <c r="H132" s="24"/>
      <c r="I132" s="15" t="str">
        <f t="shared" si="33"/>
        <v xml:space="preserve"> </v>
      </c>
      <c r="J132" s="15" t="str">
        <f t="shared" si="34"/>
        <v xml:space="preserve"> </v>
      </c>
      <c r="K132" s="15"/>
      <c r="L132" s="15">
        <f t="shared" ref="L132:L194" si="40">E132-H132</f>
        <v>0</v>
      </c>
      <c r="M132" s="5" t="str">
        <f t="shared" si="35"/>
        <v/>
      </c>
      <c r="N132" s="25" t="str">
        <f>IF(ISBLANK($E132)," ", COUNTIF($M$4:$M132,$M132))</f>
        <v xml:space="preserve"> </v>
      </c>
      <c r="O132" s="25" t="str">
        <f t="shared" si="36"/>
        <v xml:space="preserve"> </v>
      </c>
      <c r="P132" s="5" t="str">
        <f t="shared" si="37"/>
        <v/>
      </c>
      <c r="Q132" s="5" t="str">
        <f t="shared" si="38"/>
        <v/>
      </c>
      <c r="R132" s="5" t="str">
        <f t="shared" si="39"/>
        <v/>
      </c>
    </row>
    <row r="133" spans="1:18" ht="20.25" x14ac:dyDescent="0.3">
      <c r="A133" s="14"/>
      <c r="B133" s="15">
        <v>129</v>
      </c>
      <c r="C133" s="22"/>
      <c r="D133" s="15"/>
      <c r="E133" s="3"/>
      <c r="F133" s="15"/>
      <c r="G133" s="15"/>
      <c r="H133" s="24"/>
      <c r="I133" s="15" t="str">
        <f t="shared" si="33"/>
        <v xml:space="preserve"> </v>
      </c>
      <c r="J133" s="15" t="str">
        <f t="shared" si="34"/>
        <v xml:space="preserve"> </v>
      </c>
      <c r="K133" s="15"/>
      <c r="L133" s="15">
        <f t="shared" si="40"/>
        <v>0</v>
      </c>
      <c r="M133" s="5" t="str">
        <f t="shared" si="35"/>
        <v/>
      </c>
      <c r="N133" s="25" t="str">
        <f>IF(ISBLANK($E133)," ", COUNTIF($M$4:$M133,$M133))</f>
        <v xml:space="preserve"> </v>
      </c>
      <c r="O133" s="25" t="str">
        <f t="shared" si="36"/>
        <v xml:space="preserve"> </v>
      </c>
      <c r="P133" s="5" t="str">
        <f t="shared" si="37"/>
        <v/>
      </c>
      <c r="Q133" s="5" t="str">
        <f t="shared" si="38"/>
        <v/>
      </c>
      <c r="R133" s="5" t="str">
        <f t="shared" si="39"/>
        <v/>
      </c>
    </row>
    <row r="134" spans="1:18" ht="20.25" x14ac:dyDescent="0.3">
      <c r="A134" s="14"/>
      <c r="B134" s="15">
        <v>130</v>
      </c>
      <c r="C134" s="22"/>
      <c r="D134" s="15"/>
      <c r="E134" s="3"/>
      <c r="F134" s="15"/>
      <c r="G134" s="15"/>
      <c r="H134" s="24"/>
      <c r="I134" s="15" t="str">
        <f t="shared" si="33"/>
        <v xml:space="preserve"> </v>
      </c>
      <c r="J134" s="15" t="str">
        <f t="shared" si="34"/>
        <v xml:space="preserve"> </v>
      </c>
      <c r="K134" s="15"/>
      <c r="L134" s="15">
        <f t="shared" si="40"/>
        <v>0</v>
      </c>
      <c r="M134" s="5" t="str">
        <f t="shared" si="35"/>
        <v/>
      </c>
      <c r="N134" s="25" t="str">
        <f>IF(ISBLANK($E134)," ", COUNTIF($M$4:$M134,$M134))</f>
        <v xml:space="preserve"> </v>
      </c>
      <c r="O134" s="25" t="str">
        <f t="shared" si="36"/>
        <v xml:space="preserve"> </v>
      </c>
      <c r="P134" s="5" t="str">
        <f t="shared" si="37"/>
        <v/>
      </c>
      <c r="Q134" s="5" t="str">
        <f t="shared" si="38"/>
        <v/>
      </c>
      <c r="R134" s="5" t="str">
        <f t="shared" si="39"/>
        <v/>
      </c>
    </row>
    <row r="135" spans="1:18" ht="20.25" x14ac:dyDescent="0.3">
      <c r="A135" s="14"/>
      <c r="B135" s="15">
        <v>131</v>
      </c>
      <c r="C135" s="22"/>
      <c r="D135" s="15"/>
      <c r="E135" s="3"/>
      <c r="F135" s="15"/>
      <c r="G135" s="15"/>
      <c r="H135" s="24"/>
      <c r="I135" s="15" t="str">
        <f t="shared" si="33"/>
        <v xml:space="preserve"> </v>
      </c>
      <c r="J135" s="15" t="str">
        <f t="shared" si="34"/>
        <v xml:space="preserve"> </v>
      </c>
      <c r="K135" s="15"/>
      <c r="L135" s="15">
        <f t="shared" si="40"/>
        <v>0</v>
      </c>
      <c r="M135" s="5" t="str">
        <f t="shared" si="35"/>
        <v/>
      </c>
      <c r="N135" s="25" t="str">
        <f>IF(ISBLANK($E135)," ", COUNTIF($M$4:$M135,$M135))</f>
        <v xml:space="preserve"> </v>
      </c>
      <c r="O135" s="25" t="str">
        <f t="shared" si="36"/>
        <v xml:space="preserve"> </v>
      </c>
      <c r="P135" s="5" t="str">
        <f t="shared" si="37"/>
        <v/>
      </c>
      <c r="Q135" s="5" t="str">
        <f t="shared" si="38"/>
        <v/>
      </c>
      <c r="R135" s="5" t="str">
        <f t="shared" si="39"/>
        <v/>
      </c>
    </row>
    <row r="136" spans="1:18" ht="20.25" x14ac:dyDescent="0.3">
      <c r="A136" s="14"/>
      <c r="B136" s="15">
        <v>132</v>
      </c>
      <c r="C136" s="22"/>
      <c r="D136" s="15"/>
      <c r="E136" s="3"/>
      <c r="F136" s="15"/>
      <c r="G136" s="15"/>
      <c r="H136" s="24"/>
      <c r="I136" s="15" t="str">
        <f t="shared" si="33"/>
        <v xml:space="preserve"> </v>
      </c>
      <c r="J136" s="15" t="str">
        <f t="shared" si="34"/>
        <v xml:space="preserve"> </v>
      </c>
      <c r="K136" s="15"/>
      <c r="L136" s="15">
        <f t="shared" si="40"/>
        <v>0</v>
      </c>
      <c r="M136" s="5" t="str">
        <f t="shared" si="35"/>
        <v/>
      </c>
      <c r="N136" s="25" t="str">
        <f>IF(ISBLANK($E136)," ", COUNTIF($M$4:$M136,$M136))</f>
        <v xml:space="preserve"> </v>
      </c>
      <c r="O136" s="25" t="str">
        <f t="shared" si="36"/>
        <v xml:space="preserve"> </v>
      </c>
      <c r="P136" s="5" t="str">
        <f t="shared" si="37"/>
        <v/>
      </c>
      <c r="Q136" s="5" t="str">
        <f t="shared" si="38"/>
        <v/>
      </c>
      <c r="R136" s="5" t="str">
        <f t="shared" si="39"/>
        <v/>
      </c>
    </row>
    <row r="137" spans="1:18" ht="20.25" x14ac:dyDescent="0.3">
      <c r="A137" s="14"/>
      <c r="B137" s="15">
        <v>133</v>
      </c>
      <c r="C137" s="22"/>
      <c r="D137" s="15"/>
      <c r="E137" s="3"/>
      <c r="F137" s="15"/>
      <c r="G137" s="15"/>
      <c r="H137" s="24"/>
      <c r="I137" s="15" t="str">
        <f t="shared" si="33"/>
        <v xml:space="preserve"> </v>
      </c>
      <c r="J137" s="15" t="str">
        <f t="shared" si="34"/>
        <v xml:space="preserve"> </v>
      </c>
      <c r="K137" s="15"/>
      <c r="L137" s="15">
        <f t="shared" si="40"/>
        <v>0</v>
      </c>
      <c r="M137" s="5" t="str">
        <f t="shared" si="35"/>
        <v/>
      </c>
      <c r="N137" s="25" t="str">
        <f>IF(ISBLANK($E137)," ", COUNTIF($M$4:$M137,$M137))</f>
        <v xml:space="preserve"> </v>
      </c>
      <c r="O137" s="25" t="str">
        <f t="shared" si="36"/>
        <v xml:space="preserve"> </v>
      </c>
      <c r="P137" s="5" t="str">
        <f t="shared" si="37"/>
        <v/>
      </c>
      <c r="Q137" s="5" t="str">
        <f t="shared" si="38"/>
        <v/>
      </c>
      <c r="R137" s="5" t="str">
        <f t="shared" si="39"/>
        <v/>
      </c>
    </row>
    <row r="138" spans="1:18" ht="20.25" x14ac:dyDescent="0.3">
      <c r="A138" s="14"/>
      <c r="B138" s="15">
        <v>134</v>
      </c>
      <c r="C138" s="22"/>
      <c r="D138" s="15"/>
      <c r="E138" s="3"/>
      <c r="F138" s="15"/>
      <c r="G138" s="15"/>
      <c r="H138" s="24"/>
      <c r="I138" s="15" t="str">
        <f t="shared" si="33"/>
        <v xml:space="preserve"> </v>
      </c>
      <c r="J138" s="15" t="str">
        <f t="shared" si="34"/>
        <v xml:space="preserve"> </v>
      </c>
      <c r="K138" s="15"/>
      <c r="L138" s="15">
        <f t="shared" si="40"/>
        <v>0</v>
      </c>
      <c r="M138" s="5" t="str">
        <f t="shared" si="35"/>
        <v/>
      </c>
      <c r="N138" s="25" t="str">
        <f>IF(ISBLANK($E138)," ", COUNTIF($M$4:$M138,$M138))</f>
        <v xml:space="preserve"> </v>
      </c>
      <c r="O138" s="25" t="str">
        <f t="shared" si="36"/>
        <v xml:space="preserve"> </v>
      </c>
      <c r="P138" s="5" t="str">
        <f t="shared" si="37"/>
        <v/>
      </c>
      <c r="Q138" s="5" t="str">
        <f t="shared" si="38"/>
        <v/>
      </c>
      <c r="R138" s="5" t="str">
        <f t="shared" si="39"/>
        <v/>
      </c>
    </row>
    <row r="139" spans="1:18" ht="20.25" x14ac:dyDescent="0.3">
      <c r="A139" s="14"/>
      <c r="B139" s="15">
        <v>135</v>
      </c>
      <c r="C139" s="22"/>
      <c r="D139" s="15"/>
      <c r="E139" s="3"/>
      <c r="F139" s="15"/>
      <c r="G139" s="15"/>
      <c r="H139" s="24"/>
      <c r="I139" s="15" t="str">
        <f t="shared" si="33"/>
        <v xml:space="preserve"> </v>
      </c>
      <c r="J139" s="15" t="str">
        <f t="shared" si="34"/>
        <v xml:space="preserve"> </v>
      </c>
      <c r="K139" s="15"/>
      <c r="L139" s="15">
        <f t="shared" si="40"/>
        <v>0</v>
      </c>
      <c r="M139" s="5" t="str">
        <f t="shared" si="35"/>
        <v/>
      </c>
      <c r="N139" s="25" t="str">
        <f>IF(ISBLANK($E139)," ", COUNTIF($M$4:$M139,$M139))</f>
        <v xml:space="preserve"> </v>
      </c>
      <c r="O139" s="25" t="str">
        <f t="shared" si="36"/>
        <v xml:space="preserve"> </v>
      </c>
      <c r="P139" s="5" t="str">
        <f t="shared" si="37"/>
        <v/>
      </c>
      <c r="Q139" s="5" t="str">
        <f t="shared" si="38"/>
        <v/>
      </c>
      <c r="R139" s="5" t="str">
        <f t="shared" si="39"/>
        <v/>
      </c>
    </row>
    <row r="140" spans="1:18" ht="20.25" x14ac:dyDescent="0.3">
      <c r="A140" s="14"/>
      <c r="B140" s="15">
        <v>136</v>
      </c>
      <c r="C140" s="22"/>
      <c r="D140" s="15"/>
      <c r="E140" s="3"/>
      <c r="F140" s="15"/>
      <c r="G140" s="15"/>
      <c r="H140" s="24"/>
      <c r="I140" s="15" t="str">
        <f t="shared" si="33"/>
        <v xml:space="preserve"> </v>
      </c>
      <c r="J140" s="15" t="str">
        <f t="shared" si="34"/>
        <v xml:space="preserve"> </v>
      </c>
      <c r="K140" s="15"/>
      <c r="L140" s="15">
        <f t="shared" si="40"/>
        <v>0</v>
      </c>
      <c r="M140" s="5" t="str">
        <f t="shared" si="35"/>
        <v/>
      </c>
      <c r="N140" s="25" t="str">
        <f>IF(ISBLANK($E140)," ", COUNTIF($M$4:$M140,$M140))</f>
        <v xml:space="preserve"> </v>
      </c>
      <c r="O140" s="25" t="str">
        <f t="shared" si="36"/>
        <v xml:space="preserve"> </v>
      </c>
      <c r="P140" s="5" t="str">
        <f t="shared" si="37"/>
        <v/>
      </c>
      <c r="Q140" s="5" t="str">
        <f t="shared" si="38"/>
        <v/>
      </c>
      <c r="R140" s="5" t="str">
        <f t="shared" si="39"/>
        <v/>
      </c>
    </row>
    <row r="141" spans="1:18" ht="20.25" x14ac:dyDescent="0.3">
      <c r="A141" s="14"/>
      <c r="B141" s="15">
        <v>137</v>
      </c>
      <c r="C141" s="22"/>
      <c r="D141" s="15"/>
      <c r="E141" s="3"/>
      <c r="F141" s="15"/>
      <c r="G141" s="15"/>
      <c r="H141" s="24"/>
      <c r="I141" s="15" t="str">
        <f t="shared" si="33"/>
        <v xml:space="preserve"> </v>
      </c>
      <c r="J141" s="15" t="str">
        <f t="shared" si="34"/>
        <v xml:space="preserve"> </v>
      </c>
      <c r="K141" s="15"/>
      <c r="L141" s="15">
        <f t="shared" si="40"/>
        <v>0</v>
      </c>
      <c r="M141" s="5" t="str">
        <f t="shared" si="35"/>
        <v/>
      </c>
      <c r="N141" s="25" t="str">
        <f>IF(ISBLANK($E141)," ", COUNTIF($M$4:$M141,$M141))</f>
        <v xml:space="preserve"> </v>
      </c>
      <c r="O141" s="25" t="str">
        <f t="shared" si="36"/>
        <v xml:space="preserve"> </v>
      </c>
      <c r="P141" s="5" t="str">
        <f t="shared" si="37"/>
        <v/>
      </c>
      <c r="Q141" s="5" t="str">
        <f t="shared" si="38"/>
        <v/>
      </c>
      <c r="R141" s="5" t="str">
        <f t="shared" si="39"/>
        <v/>
      </c>
    </row>
    <row r="142" spans="1:18" ht="20.25" x14ac:dyDescent="0.3">
      <c r="A142" s="14"/>
      <c r="B142" s="15">
        <v>138</v>
      </c>
      <c r="C142" s="22"/>
      <c r="D142" s="15"/>
      <c r="E142" s="3"/>
      <c r="F142" s="15"/>
      <c r="G142" s="15"/>
      <c r="H142" s="24"/>
      <c r="I142" s="15" t="str">
        <f t="shared" si="33"/>
        <v xml:space="preserve"> </v>
      </c>
      <c r="J142" s="15" t="str">
        <f t="shared" si="34"/>
        <v xml:space="preserve"> </v>
      </c>
      <c r="K142" s="15"/>
      <c r="L142" s="15">
        <f t="shared" si="40"/>
        <v>0</v>
      </c>
      <c r="M142" s="5" t="str">
        <f t="shared" si="35"/>
        <v/>
      </c>
      <c r="N142" s="25" t="str">
        <f>IF(ISBLANK($E142)," ", COUNTIF($M$4:$M142,$M142))</f>
        <v xml:space="preserve"> </v>
      </c>
      <c r="O142" s="25" t="str">
        <f t="shared" si="36"/>
        <v xml:space="preserve"> </v>
      </c>
      <c r="P142" s="5" t="str">
        <f t="shared" si="37"/>
        <v/>
      </c>
      <c r="Q142" s="5" t="str">
        <f t="shared" si="38"/>
        <v/>
      </c>
      <c r="R142" s="5" t="str">
        <f t="shared" si="39"/>
        <v/>
      </c>
    </row>
    <row r="143" spans="1:18" ht="20.25" x14ac:dyDescent="0.3">
      <c r="A143" s="14"/>
      <c r="B143" s="15">
        <v>139</v>
      </c>
      <c r="C143" s="22"/>
      <c r="D143" s="15"/>
      <c r="E143" s="3"/>
      <c r="F143" s="15"/>
      <c r="G143" s="15"/>
      <c r="H143" s="24"/>
      <c r="I143" s="15" t="str">
        <f t="shared" si="33"/>
        <v xml:space="preserve"> </v>
      </c>
      <c r="J143" s="15" t="str">
        <f t="shared" si="34"/>
        <v xml:space="preserve"> </v>
      </c>
      <c r="K143" s="15"/>
      <c r="L143" s="15">
        <f t="shared" si="40"/>
        <v>0</v>
      </c>
      <c r="M143" s="5" t="str">
        <f t="shared" si="35"/>
        <v/>
      </c>
      <c r="N143" s="25" t="str">
        <f>IF(ISBLANK($E143)," ", COUNTIF($M$4:$M143,$M143))</f>
        <v xml:space="preserve"> </v>
      </c>
      <c r="O143" s="25" t="str">
        <f t="shared" si="36"/>
        <v xml:space="preserve"> </v>
      </c>
      <c r="P143" s="5" t="str">
        <f t="shared" si="37"/>
        <v/>
      </c>
      <c r="Q143" s="5" t="str">
        <f t="shared" si="38"/>
        <v/>
      </c>
      <c r="R143" s="5" t="str">
        <f t="shared" si="39"/>
        <v/>
      </c>
    </row>
    <row r="144" spans="1:18" ht="20.25" x14ac:dyDescent="0.3">
      <c r="A144" s="14"/>
      <c r="B144" s="15">
        <v>140</v>
      </c>
      <c r="C144" s="22"/>
      <c r="D144" s="15"/>
      <c r="E144" s="3"/>
      <c r="F144" s="15"/>
      <c r="G144" s="15"/>
      <c r="H144" s="24"/>
      <c r="I144" s="15" t="str">
        <f t="shared" si="33"/>
        <v xml:space="preserve"> </v>
      </c>
      <c r="J144" s="15" t="str">
        <f t="shared" si="34"/>
        <v xml:space="preserve"> </v>
      </c>
      <c r="K144" s="15"/>
      <c r="L144" s="15">
        <f t="shared" si="40"/>
        <v>0</v>
      </c>
      <c r="M144" s="5" t="str">
        <f t="shared" si="35"/>
        <v/>
      </c>
      <c r="N144" s="25" t="str">
        <f>IF(ISBLANK($E144)," ", COUNTIF($M$4:$M144,$M144))</f>
        <v xml:space="preserve"> </v>
      </c>
      <c r="O144" s="25" t="str">
        <f t="shared" si="36"/>
        <v xml:space="preserve"> </v>
      </c>
      <c r="P144" s="5" t="str">
        <f t="shared" si="37"/>
        <v/>
      </c>
      <c r="Q144" s="5" t="str">
        <f t="shared" si="38"/>
        <v/>
      </c>
      <c r="R144" s="5" t="str">
        <f t="shared" si="39"/>
        <v/>
      </c>
    </row>
    <row r="145" spans="1:22" ht="20.25" x14ac:dyDescent="0.3">
      <c r="A145" s="14"/>
      <c r="B145" s="15">
        <v>141</v>
      </c>
      <c r="C145" s="22"/>
      <c r="D145" s="15"/>
      <c r="E145" s="3"/>
      <c r="F145" s="15"/>
      <c r="G145" s="15"/>
      <c r="H145" s="24"/>
      <c r="I145" s="15" t="str">
        <f t="shared" si="33"/>
        <v xml:space="preserve"> </v>
      </c>
      <c r="J145" s="15" t="str">
        <f t="shared" si="34"/>
        <v xml:space="preserve"> </v>
      </c>
      <c r="K145" s="15"/>
      <c r="L145" s="15">
        <f t="shared" si="40"/>
        <v>0</v>
      </c>
      <c r="M145" s="5" t="str">
        <f t="shared" si="35"/>
        <v/>
      </c>
      <c r="N145" s="25" t="str">
        <f>IF(ISBLANK($E145)," ", COUNTIF($M$4:$M145,$M145))</f>
        <v xml:space="preserve"> </v>
      </c>
      <c r="O145" s="25" t="str">
        <f t="shared" si="36"/>
        <v xml:space="preserve"> </v>
      </c>
      <c r="P145" s="5" t="str">
        <f t="shared" si="37"/>
        <v/>
      </c>
      <c r="Q145" s="5" t="str">
        <f t="shared" si="38"/>
        <v/>
      </c>
      <c r="R145" s="5" t="str">
        <f t="shared" si="39"/>
        <v/>
      </c>
      <c r="T145" s="5"/>
      <c r="U145" s="26" t="s">
        <v>8</v>
      </c>
      <c r="V145" s="8" t="s">
        <v>34</v>
      </c>
    </row>
    <row r="146" spans="1:22" ht="20.25" x14ac:dyDescent="0.3">
      <c r="A146" s="14"/>
      <c r="B146" s="15">
        <v>142</v>
      </c>
      <c r="C146" s="22"/>
      <c r="D146" s="15"/>
      <c r="E146" s="3"/>
      <c r="F146" s="15"/>
      <c r="G146" s="15"/>
      <c r="H146" s="24"/>
      <c r="I146" s="15" t="str">
        <f t="shared" si="33"/>
        <v xml:space="preserve"> </v>
      </c>
      <c r="J146" s="15" t="str">
        <f t="shared" si="34"/>
        <v xml:space="preserve"> </v>
      </c>
      <c r="K146" s="15"/>
      <c r="L146" s="15">
        <f t="shared" si="40"/>
        <v>0</v>
      </c>
      <c r="M146" s="5" t="str">
        <f t="shared" si="35"/>
        <v/>
      </c>
      <c r="N146" s="25" t="str">
        <f>IF(ISBLANK($E146)," ", COUNTIF($M$4:$M146,$M146))</f>
        <v xml:space="preserve"> </v>
      </c>
      <c r="O146" s="25" t="str">
        <f t="shared" si="36"/>
        <v xml:space="preserve"> </v>
      </c>
      <c r="P146" s="5" t="str">
        <f t="shared" si="37"/>
        <v/>
      </c>
      <c r="Q146" s="5" t="str">
        <f t="shared" si="38"/>
        <v/>
      </c>
      <c r="R146" s="5" t="str">
        <f t="shared" si="39"/>
        <v/>
      </c>
      <c r="T146" s="5">
        <v>1</v>
      </c>
      <c r="U146" s="27" t="s">
        <v>0</v>
      </c>
      <c r="V146" s="6">
        <v>11</v>
      </c>
    </row>
    <row r="147" spans="1:22" ht="20.25" x14ac:dyDescent="0.3">
      <c r="A147" s="14"/>
      <c r="B147" s="15">
        <v>143</v>
      </c>
      <c r="C147" s="22"/>
      <c r="D147" s="15"/>
      <c r="E147" s="3"/>
      <c r="F147" s="15"/>
      <c r="G147" s="15"/>
      <c r="H147" s="24"/>
      <c r="I147" s="15" t="str">
        <f t="shared" si="33"/>
        <v xml:space="preserve"> </v>
      </c>
      <c r="J147" s="15" t="str">
        <f t="shared" si="34"/>
        <v xml:space="preserve"> </v>
      </c>
      <c r="K147" s="15"/>
      <c r="L147" s="15">
        <f t="shared" si="40"/>
        <v>0</v>
      </c>
      <c r="M147" s="5" t="str">
        <f t="shared" si="35"/>
        <v/>
      </c>
      <c r="N147" s="25" t="str">
        <f>IF(ISBLANK($E147)," ", COUNTIF($M$4:$M147,$M147))</f>
        <v xml:space="preserve"> </v>
      </c>
      <c r="O147" s="25" t="str">
        <f t="shared" si="36"/>
        <v xml:space="preserve"> </v>
      </c>
      <c r="P147" s="5" t="str">
        <f t="shared" si="37"/>
        <v/>
      </c>
      <c r="Q147" s="5" t="str">
        <f t="shared" si="38"/>
        <v/>
      </c>
      <c r="R147" s="5" t="str">
        <f t="shared" si="39"/>
        <v/>
      </c>
      <c r="T147" s="5">
        <v>2</v>
      </c>
      <c r="U147" s="27" t="s">
        <v>125</v>
      </c>
      <c r="V147" s="6">
        <v>13</v>
      </c>
    </row>
    <row r="148" spans="1:22" ht="20.25" x14ac:dyDescent="0.3">
      <c r="A148" s="14"/>
      <c r="B148" s="15">
        <v>144</v>
      </c>
      <c r="C148" s="22"/>
      <c r="D148" s="15"/>
      <c r="E148" s="3"/>
      <c r="F148" s="15"/>
      <c r="G148" s="15"/>
      <c r="H148" s="24"/>
      <c r="I148" s="15" t="str">
        <f t="shared" si="33"/>
        <v xml:space="preserve"> </v>
      </c>
      <c r="J148" s="15" t="str">
        <f t="shared" si="34"/>
        <v xml:space="preserve"> </v>
      </c>
      <c r="K148" s="15"/>
      <c r="L148" s="15">
        <f t="shared" si="40"/>
        <v>0</v>
      </c>
      <c r="M148" s="5" t="str">
        <f t="shared" si="35"/>
        <v/>
      </c>
      <c r="N148" s="25" t="str">
        <f>IF(ISBLANK($E148)," ", COUNTIF($M$4:$M148,$M148))</f>
        <v xml:space="preserve"> </v>
      </c>
      <c r="O148" s="25" t="str">
        <f t="shared" si="36"/>
        <v xml:space="preserve"> </v>
      </c>
      <c r="P148" s="5" t="str">
        <f t="shared" si="37"/>
        <v/>
      </c>
      <c r="Q148" s="5" t="str">
        <f t="shared" si="38"/>
        <v/>
      </c>
      <c r="R148" s="5" t="str">
        <f t="shared" si="39"/>
        <v/>
      </c>
      <c r="T148" s="5">
        <v>3</v>
      </c>
      <c r="U148" s="27" t="s">
        <v>73</v>
      </c>
      <c r="V148" s="6">
        <v>17</v>
      </c>
    </row>
    <row r="149" spans="1:22" ht="20.25" x14ac:dyDescent="0.3">
      <c r="A149" s="14"/>
      <c r="B149" s="15">
        <v>145</v>
      </c>
      <c r="C149" s="22"/>
      <c r="D149" s="15"/>
      <c r="E149" s="3"/>
      <c r="F149" s="15"/>
      <c r="G149" s="15"/>
      <c r="H149" s="24"/>
      <c r="I149" s="15" t="str">
        <f t="shared" si="33"/>
        <v xml:space="preserve"> </v>
      </c>
      <c r="J149" s="15" t="str">
        <f t="shared" si="34"/>
        <v xml:space="preserve"> </v>
      </c>
      <c r="K149" s="15"/>
      <c r="L149" s="15">
        <f t="shared" si="40"/>
        <v>0</v>
      </c>
      <c r="M149" s="5" t="str">
        <f t="shared" si="35"/>
        <v/>
      </c>
      <c r="N149" s="25" t="str">
        <f>IF(ISBLANK($E149)," ", COUNTIF($M$4:$M149,$M149))</f>
        <v xml:space="preserve"> </v>
      </c>
      <c r="O149" s="25" t="str">
        <f t="shared" si="36"/>
        <v xml:space="preserve"> </v>
      </c>
      <c r="P149" s="5" t="str">
        <f t="shared" si="37"/>
        <v/>
      </c>
      <c r="Q149" s="5" t="str">
        <f t="shared" si="38"/>
        <v/>
      </c>
      <c r="R149" s="5" t="str">
        <f t="shared" si="39"/>
        <v/>
      </c>
      <c r="T149" s="5">
        <v>4</v>
      </c>
      <c r="U149" s="27" t="s">
        <v>70</v>
      </c>
      <c r="V149" s="6">
        <v>19</v>
      </c>
    </row>
    <row r="150" spans="1:22" ht="20.25" x14ac:dyDescent="0.3">
      <c r="A150" s="14"/>
      <c r="B150" s="15">
        <v>146</v>
      </c>
      <c r="C150" s="22"/>
      <c r="D150" s="15"/>
      <c r="E150" s="3"/>
      <c r="F150" s="15"/>
      <c r="G150" s="15"/>
      <c r="H150" s="24"/>
      <c r="I150" s="15" t="str">
        <f t="shared" si="33"/>
        <v xml:space="preserve"> </v>
      </c>
      <c r="J150" s="15" t="str">
        <f t="shared" si="34"/>
        <v xml:space="preserve"> </v>
      </c>
      <c r="K150" s="15"/>
      <c r="L150" s="15">
        <f t="shared" si="40"/>
        <v>0</v>
      </c>
      <c r="M150" s="5" t="str">
        <f t="shared" si="35"/>
        <v/>
      </c>
      <c r="N150" s="25" t="str">
        <f>IF(ISBLANK($E150)," ", COUNTIF($M$4:$M150,$M150))</f>
        <v xml:space="preserve"> </v>
      </c>
      <c r="O150" s="25" t="str">
        <f t="shared" si="36"/>
        <v xml:space="preserve"> </v>
      </c>
      <c r="P150" s="5" t="str">
        <f t="shared" si="37"/>
        <v/>
      </c>
      <c r="Q150" s="5" t="str">
        <f t="shared" si="38"/>
        <v/>
      </c>
      <c r="R150" s="5" t="str">
        <f t="shared" si="39"/>
        <v/>
      </c>
      <c r="T150" s="5">
        <v>5</v>
      </c>
      <c r="U150" s="27" t="s">
        <v>40</v>
      </c>
      <c r="V150" s="6">
        <v>23</v>
      </c>
    </row>
    <row r="151" spans="1:22" ht="20.25" x14ac:dyDescent="0.3">
      <c r="A151" s="14"/>
      <c r="B151" s="15">
        <v>147</v>
      </c>
      <c r="C151" s="22"/>
      <c r="D151" s="15"/>
      <c r="E151" s="3"/>
      <c r="F151" s="15"/>
      <c r="G151" s="15"/>
      <c r="H151" s="24"/>
      <c r="I151" s="15" t="str">
        <f t="shared" si="33"/>
        <v xml:space="preserve"> </v>
      </c>
      <c r="J151" s="15" t="str">
        <f t="shared" si="34"/>
        <v xml:space="preserve"> </v>
      </c>
      <c r="K151" s="15"/>
      <c r="L151" s="15">
        <f t="shared" si="40"/>
        <v>0</v>
      </c>
      <c r="M151" s="5" t="str">
        <f t="shared" si="35"/>
        <v/>
      </c>
      <c r="N151" s="25" t="str">
        <f>IF(ISBLANK($E151)," ", COUNTIF($M$4:$M151,$M151))</f>
        <v xml:space="preserve"> </v>
      </c>
      <c r="O151" s="25" t="str">
        <f t="shared" si="36"/>
        <v xml:space="preserve"> </v>
      </c>
      <c r="P151" s="5" t="str">
        <f t="shared" si="37"/>
        <v/>
      </c>
      <c r="Q151" s="5" t="str">
        <f t="shared" si="38"/>
        <v/>
      </c>
      <c r="R151" s="5" t="str">
        <f t="shared" si="39"/>
        <v/>
      </c>
      <c r="T151" s="5">
        <v>6</v>
      </c>
      <c r="U151" s="27" t="s">
        <v>112</v>
      </c>
      <c r="V151" s="6">
        <v>29</v>
      </c>
    </row>
    <row r="152" spans="1:22" ht="20.25" x14ac:dyDescent="0.3">
      <c r="A152" s="14"/>
      <c r="B152" s="15">
        <v>148</v>
      </c>
      <c r="C152" s="15"/>
      <c r="D152" s="15"/>
      <c r="E152" s="3"/>
      <c r="F152" s="15"/>
      <c r="G152" s="15"/>
      <c r="H152" s="16"/>
      <c r="I152" s="15" t="str">
        <f t="shared" si="33"/>
        <v xml:space="preserve"> </v>
      </c>
      <c r="J152" s="15" t="str">
        <f t="shared" si="34"/>
        <v xml:space="preserve"> </v>
      </c>
      <c r="K152" s="15"/>
      <c r="L152" s="15">
        <f t="shared" si="40"/>
        <v>0</v>
      </c>
      <c r="M152" s="5" t="str">
        <f t="shared" si="35"/>
        <v/>
      </c>
      <c r="N152" s="25" t="str">
        <f>IF(ISBLANK($E152)," ", COUNTIF($M$4:$M152,$M152))</f>
        <v xml:space="preserve"> </v>
      </c>
      <c r="O152" s="25" t="str">
        <f t="shared" si="36"/>
        <v xml:space="preserve"> </v>
      </c>
      <c r="P152" s="5" t="str">
        <f t="shared" si="37"/>
        <v/>
      </c>
      <c r="Q152" s="5" t="str">
        <f t="shared" si="38"/>
        <v/>
      </c>
      <c r="R152" s="5" t="str">
        <f t="shared" si="39"/>
        <v/>
      </c>
      <c r="T152" s="5">
        <v>7</v>
      </c>
      <c r="U152" s="27" t="s">
        <v>124</v>
      </c>
      <c r="V152" s="6">
        <v>31</v>
      </c>
    </row>
    <row r="153" spans="1:22" ht="20.25" x14ac:dyDescent="0.3">
      <c r="A153" s="14"/>
      <c r="B153" s="15">
        <v>149</v>
      </c>
      <c r="C153" s="22"/>
      <c r="D153" s="15"/>
      <c r="E153" s="16"/>
      <c r="F153" s="15"/>
      <c r="G153" s="15"/>
      <c r="H153" s="16"/>
      <c r="I153" s="15" t="str">
        <f t="shared" si="33"/>
        <v xml:space="preserve"> </v>
      </c>
      <c r="J153" s="15" t="str">
        <f t="shared" si="34"/>
        <v xml:space="preserve"> </v>
      </c>
      <c r="K153" s="15"/>
      <c r="L153" s="15">
        <f t="shared" si="40"/>
        <v>0</v>
      </c>
      <c r="M153" s="5" t="str">
        <f t="shared" si="35"/>
        <v/>
      </c>
      <c r="N153" s="25" t="str">
        <f>IF(ISBLANK($E153)," ", COUNTIF($M$4:$M153,$M153))</f>
        <v xml:space="preserve"> </v>
      </c>
      <c r="O153" s="25" t="str">
        <f t="shared" si="36"/>
        <v xml:space="preserve"> </v>
      </c>
      <c r="P153" s="5" t="str">
        <f t="shared" si="37"/>
        <v/>
      </c>
      <c r="Q153" s="5" t="str">
        <f t="shared" si="38"/>
        <v/>
      </c>
      <c r="R153" s="5" t="str">
        <f t="shared" si="39"/>
        <v/>
      </c>
      <c r="T153" s="5">
        <v>8</v>
      </c>
      <c r="U153" s="27" t="s">
        <v>3</v>
      </c>
      <c r="V153" s="6">
        <v>37</v>
      </c>
    </row>
    <row r="154" spans="1:22" ht="20.25" x14ac:dyDescent="0.3">
      <c r="A154" s="14"/>
      <c r="B154" s="15">
        <v>150</v>
      </c>
      <c r="C154" s="22"/>
      <c r="D154" s="22"/>
      <c r="E154" s="16"/>
      <c r="F154" s="15"/>
      <c r="G154" s="15"/>
      <c r="H154" s="16"/>
      <c r="I154" s="15" t="str">
        <f t="shared" si="33"/>
        <v xml:space="preserve"> </v>
      </c>
      <c r="J154" s="15" t="str">
        <f t="shared" si="34"/>
        <v xml:space="preserve"> </v>
      </c>
      <c r="K154" s="15"/>
      <c r="L154" s="15">
        <f t="shared" si="40"/>
        <v>0</v>
      </c>
      <c r="M154" s="5" t="str">
        <f t="shared" si="35"/>
        <v/>
      </c>
      <c r="N154" s="25" t="str">
        <f>IF(ISBLANK($E154)," ", COUNTIF($M$4:$M154,$M154))</f>
        <v xml:space="preserve"> </v>
      </c>
      <c r="O154" s="25" t="str">
        <f t="shared" si="36"/>
        <v xml:space="preserve"> </v>
      </c>
      <c r="P154" s="5" t="str">
        <f t="shared" si="37"/>
        <v/>
      </c>
      <c r="Q154" s="5" t="str">
        <f t="shared" si="38"/>
        <v/>
      </c>
      <c r="R154" s="5" t="str">
        <f t="shared" si="39"/>
        <v/>
      </c>
      <c r="T154" s="5">
        <v>9</v>
      </c>
      <c r="U154" s="27" t="s">
        <v>24</v>
      </c>
      <c r="V154" s="6">
        <v>83</v>
      </c>
    </row>
    <row r="155" spans="1:22" ht="20.25" x14ac:dyDescent="0.3">
      <c r="A155" s="14"/>
      <c r="B155" s="15">
        <v>151</v>
      </c>
      <c r="C155" s="22"/>
      <c r="D155" s="22"/>
      <c r="E155" s="16"/>
      <c r="F155" s="15"/>
      <c r="G155" s="15"/>
      <c r="H155" s="16"/>
      <c r="I155" s="15" t="str">
        <f t="shared" si="33"/>
        <v xml:space="preserve"> </v>
      </c>
      <c r="J155" s="15" t="str">
        <f t="shared" si="34"/>
        <v xml:space="preserve"> </v>
      </c>
      <c r="K155" s="15"/>
      <c r="L155" s="15">
        <f t="shared" si="40"/>
        <v>0</v>
      </c>
      <c r="M155" s="5" t="str">
        <f t="shared" si="35"/>
        <v/>
      </c>
      <c r="N155" s="25" t="str">
        <f>IF(ISBLANK($E155)," ", COUNTIF($M$4:$M155,$M155))</f>
        <v xml:space="preserve"> </v>
      </c>
      <c r="O155" s="25" t="str">
        <f t="shared" si="36"/>
        <v xml:space="preserve"> </v>
      </c>
      <c r="P155" s="5" t="str">
        <f t="shared" si="37"/>
        <v/>
      </c>
      <c r="Q155" s="5" t="str">
        <f t="shared" si="38"/>
        <v/>
      </c>
      <c r="R155" s="5" t="str">
        <f t="shared" si="39"/>
        <v/>
      </c>
      <c r="T155" s="5">
        <v>10</v>
      </c>
      <c r="U155" s="27" t="s">
        <v>74</v>
      </c>
      <c r="V155" s="6">
        <v>89</v>
      </c>
    </row>
    <row r="156" spans="1:22" ht="20.25" x14ac:dyDescent="0.3">
      <c r="A156" s="14"/>
      <c r="B156" s="15">
        <v>152</v>
      </c>
      <c r="C156" s="22"/>
      <c r="D156" s="22"/>
      <c r="E156" s="16"/>
      <c r="F156" s="15"/>
      <c r="G156" s="15"/>
      <c r="H156" s="16"/>
      <c r="I156" s="15" t="str">
        <f t="shared" si="33"/>
        <v xml:space="preserve"> </v>
      </c>
      <c r="J156" s="15" t="str">
        <f t="shared" si="34"/>
        <v xml:space="preserve"> </v>
      </c>
      <c r="K156" s="15"/>
      <c r="L156" s="15">
        <f t="shared" si="40"/>
        <v>0</v>
      </c>
      <c r="M156" s="5" t="str">
        <f t="shared" si="35"/>
        <v/>
      </c>
      <c r="N156" s="25" t="str">
        <f>IF(ISBLANK($E156)," ", COUNTIF($M$4:$M156,$M156))</f>
        <v xml:space="preserve"> </v>
      </c>
      <c r="O156" s="25" t="str">
        <f t="shared" si="36"/>
        <v xml:space="preserve"> </v>
      </c>
      <c r="P156" s="5" t="str">
        <f t="shared" si="37"/>
        <v/>
      </c>
      <c r="Q156" s="5" t="str">
        <f t="shared" si="38"/>
        <v/>
      </c>
      <c r="R156" s="5" t="str">
        <f t="shared" si="39"/>
        <v/>
      </c>
      <c r="T156" s="38">
        <v>11</v>
      </c>
      <c r="U156" s="27" t="s">
        <v>113</v>
      </c>
      <c r="V156" s="6">
        <v>97</v>
      </c>
    </row>
    <row r="157" spans="1:22" ht="20.25" x14ac:dyDescent="0.3">
      <c r="A157" s="14"/>
      <c r="B157" s="15">
        <v>153</v>
      </c>
      <c r="C157" s="22"/>
      <c r="D157" s="22"/>
      <c r="E157" s="16"/>
      <c r="F157" s="15"/>
      <c r="G157" s="15"/>
      <c r="H157" s="16"/>
      <c r="I157" s="15" t="str">
        <f t="shared" si="33"/>
        <v xml:space="preserve"> </v>
      </c>
      <c r="J157" s="15" t="str">
        <f t="shared" si="34"/>
        <v xml:space="preserve"> </v>
      </c>
      <c r="K157" s="15"/>
      <c r="L157" s="15">
        <f t="shared" si="40"/>
        <v>0</v>
      </c>
      <c r="M157" s="5" t="str">
        <f t="shared" si="35"/>
        <v/>
      </c>
      <c r="N157" s="25" t="str">
        <f>IF(ISBLANK($E157)," ", COUNTIF($M$4:$M157,$M157))</f>
        <v xml:space="preserve"> </v>
      </c>
      <c r="O157" s="25" t="str">
        <f t="shared" si="36"/>
        <v xml:space="preserve"> </v>
      </c>
      <c r="P157" s="5" t="str">
        <f t="shared" si="37"/>
        <v/>
      </c>
      <c r="Q157" s="5" t="str">
        <f t="shared" si="38"/>
        <v/>
      </c>
      <c r="R157" s="5" t="str">
        <f t="shared" si="39"/>
        <v/>
      </c>
      <c r="T157" s="38">
        <v>12</v>
      </c>
      <c r="U157" s="27" t="s">
        <v>5</v>
      </c>
      <c r="V157" s="6">
        <v>109</v>
      </c>
    </row>
    <row r="158" spans="1:22" ht="20.25" x14ac:dyDescent="0.3">
      <c r="A158" s="14"/>
      <c r="B158" s="15">
        <v>154</v>
      </c>
      <c r="C158" s="22"/>
      <c r="D158" s="22"/>
      <c r="E158" s="16"/>
      <c r="F158" s="15"/>
      <c r="G158" s="15"/>
      <c r="H158" s="16"/>
      <c r="I158" s="15" t="str">
        <f t="shared" si="33"/>
        <v xml:space="preserve"> </v>
      </c>
      <c r="J158" s="15" t="str">
        <f t="shared" si="34"/>
        <v xml:space="preserve"> </v>
      </c>
      <c r="K158" s="15"/>
      <c r="L158" s="15">
        <f t="shared" si="40"/>
        <v>0</v>
      </c>
      <c r="M158" s="5" t="str">
        <f t="shared" si="35"/>
        <v/>
      </c>
      <c r="N158" s="25" t="str">
        <f>IF(ISBLANK($E158)," ", COUNTIF($M$4:$M158,$M158))</f>
        <v xml:space="preserve"> </v>
      </c>
      <c r="O158" s="25" t="str">
        <f t="shared" si="36"/>
        <v xml:space="preserve"> </v>
      </c>
      <c r="P158" s="5" t="str">
        <f t="shared" si="37"/>
        <v/>
      </c>
      <c r="Q158" s="5" t="str">
        <f t="shared" si="38"/>
        <v/>
      </c>
      <c r="R158" s="5" t="str">
        <f t="shared" si="39"/>
        <v/>
      </c>
      <c r="T158" s="38">
        <v>13</v>
      </c>
      <c r="U158" s="27" t="s">
        <v>115</v>
      </c>
      <c r="V158" s="6">
        <v>127</v>
      </c>
    </row>
    <row r="159" spans="1:22" ht="20.25" x14ac:dyDescent="0.3">
      <c r="A159" s="14"/>
      <c r="B159" s="15">
        <v>155</v>
      </c>
      <c r="C159" s="22"/>
      <c r="D159" s="22"/>
      <c r="E159" s="16"/>
      <c r="F159" s="15"/>
      <c r="G159" s="15"/>
      <c r="H159" s="16"/>
      <c r="I159" s="15" t="str">
        <f t="shared" si="33"/>
        <v xml:space="preserve"> </v>
      </c>
      <c r="J159" s="15" t="str">
        <f t="shared" si="34"/>
        <v xml:space="preserve"> </v>
      </c>
      <c r="K159" s="15"/>
      <c r="L159" s="15">
        <f t="shared" si="40"/>
        <v>0</v>
      </c>
      <c r="M159" s="5" t="str">
        <f t="shared" si="35"/>
        <v/>
      </c>
      <c r="N159" s="25" t="str">
        <f>IF(ISBLANK($E159)," ", COUNTIF($M$4:$M159,$M159))</f>
        <v xml:space="preserve"> </v>
      </c>
      <c r="O159" s="25" t="str">
        <f t="shared" si="36"/>
        <v xml:space="preserve"> </v>
      </c>
      <c r="P159" s="5" t="str">
        <f t="shared" si="37"/>
        <v/>
      </c>
      <c r="Q159" s="5" t="str">
        <f t="shared" si="38"/>
        <v/>
      </c>
      <c r="R159" s="5" t="str">
        <f t="shared" si="39"/>
        <v/>
      </c>
      <c r="T159" s="38">
        <v>14</v>
      </c>
      <c r="U159" s="27" t="s">
        <v>97</v>
      </c>
      <c r="V159" s="6">
        <v>103</v>
      </c>
    </row>
    <row r="160" spans="1:22" ht="20.25" x14ac:dyDescent="0.3">
      <c r="A160" s="14"/>
      <c r="B160" s="15">
        <v>156</v>
      </c>
      <c r="C160" s="22"/>
      <c r="D160" s="22"/>
      <c r="E160" s="16"/>
      <c r="F160" s="15"/>
      <c r="G160" s="15"/>
      <c r="H160" s="16"/>
      <c r="I160" s="15" t="str">
        <f t="shared" si="33"/>
        <v xml:space="preserve"> </v>
      </c>
      <c r="J160" s="15" t="str">
        <f t="shared" si="34"/>
        <v xml:space="preserve"> </v>
      </c>
      <c r="K160" s="15"/>
      <c r="L160" s="15">
        <f t="shared" si="40"/>
        <v>0</v>
      </c>
      <c r="M160" s="5" t="str">
        <f t="shared" si="35"/>
        <v/>
      </c>
      <c r="N160" s="25" t="str">
        <f>IF(ISBLANK($E160)," ", COUNTIF($M$4:$M160,$M160))</f>
        <v xml:space="preserve"> </v>
      </c>
      <c r="O160" s="25" t="str">
        <f t="shared" si="36"/>
        <v xml:space="preserve"> </v>
      </c>
      <c r="P160" s="5" t="str">
        <f t="shared" si="37"/>
        <v/>
      </c>
      <c r="Q160" s="5" t="str">
        <f t="shared" si="38"/>
        <v/>
      </c>
      <c r="R160" s="5" t="str">
        <f t="shared" si="39"/>
        <v/>
      </c>
      <c r="T160" s="38">
        <v>15</v>
      </c>
      <c r="U160" s="27" t="s">
        <v>95</v>
      </c>
      <c r="V160" s="6">
        <v>143</v>
      </c>
    </row>
    <row r="161" spans="1:22" ht="20.25" x14ac:dyDescent="0.3">
      <c r="A161" s="14"/>
      <c r="B161" s="15">
        <v>157</v>
      </c>
      <c r="C161" s="22"/>
      <c r="D161" s="22"/>
      <c r="E161" s="16"/>
      <c r="F161" s="15"/>
      <c r="G161" s="15"/>
      <c r="H161" s="16"/>
      <c r="I161" s="15" t="str">
        <f t="shared" si="33"/>
        <v xml:space="preserve"> </v>
      </c>
      <c r="J161" s="15" t="str">
        <f t="shared" si="34"/>
        <v xml:space="preserve"> </v>
      </c>
      <c r="K161" s="15"/>
      <c r="L161" s="15">
        <f t="shared" si="40"/>
        <v>0</v>
      </c>
      <c r="M161" s="5" t="str">
        <f t="shared" si="35"/>
        <v/>
      </c>
      <c r="N161" s="25" t="str">
        <f>IF(ISBLANK($E161)," ", COUNTIF($M$4:$M161,$M161))</f>
        <v xml:space="preserve"> </v>
      </c>
      <c r="O161" s="25" t="str">
        <f t="shared" si="36"/>
        <v xml:space="preserve"> </v>
      </c>
      <c r="P161" s="5" t="str">
        <f t="shared" si="37"/>
        <v/>
      </c>
      <c r="Q161" s="5" t="str">
        <f t="shared" si="38"/>
        <v/>
      </c>
      <c r="R161" s="5" t="str">
        <f t="shared" si="39"/>
        <v/>
      </c>
      <c r="T161" s="38">
        <v>16</v>
      </c>
      <c r="U161" s="27" t="s">
        <v>126</v>
      </c>
      <c r="V161" s="6">
        <v>171</v>
      </c>
    </row>
    <row r="162" spans="1:22" ht="20.25" x14ac:dyDescent="0.3">
      <c r="A162" s="14"/>
      <c r="B162" s="15">
        <v>158</v>
      </c>
      <c r="C162" s="22"/>
      <c r="D162" s="22"/>
      <c r="E162" s="16"/>
      <c r="F162" s="15"/>
      <c r="G162" s="15"/>
      <c r="H162" s="16"/>
      <c r="I162" s="15" t="str">
        <f t="shared" si="33"/>
        <v xml:space="preserve"> </v>
      </c>
      <c r="J162" s="15" t="str">
        <f t="shared" si="34"/>
        <v xml:space="preserve"> </v>
      </c>
      <c r="K162" s="15"/>
      <c r="L162" s="15">
        <f t="shared" si="40"/>
        <v>0</v>
      </c>
      <c r="M162" s="5" t="str">
        <f t="shared" si="35"/>
        <v/>
      </c>
      <c r="N162" s="25" t="str">
        <f>IF(ISBLANK($E162)," ", COUNTIF($M$4:$M162,$M162))</f>
        <v xml:space="preserve"> </v>
      </c>
      <c r="O162" s="25" t="str">
        <f t="shared" si="36"/>
        <v xml:space="preserve"> </v>
      </c>
      <c r="P162" s="5" t="str">
        <f t="shared" si="37"/>
        <v/>
      </c>
      <c r="Q162" s="5" t="str">
        <f t="shared" si="38"/>
        <v/>
      </c>
      <c r="R162" s="5" t="str">
        <f t="shared" si="39"/>
        <v/>
      </c>
      <c r="T162" s="38">
        <v>17</v>
      </c>
      <c r="U162" s="27" t="s">
        <v>127</v>
      </c>
      <c r="V162" s="6">
        <v>179</v>
      </c>
    </row>
    <row r="163" spans="1:22" ht="20.25" x14ac:dyDescent="0.3">
      <c r="A163" s="14"/>
      <c r="B163" s="15">
        <v>159</v>
      </c>
      <c r="C163" s="22"/>
      <c r="D163" s="22"/>
      <c r="E163" s="16"/>
      <c r="F163" s="15"/>
      <c r="G163" s="15"/>
      <c r="H163" s="16"/>
      <c r="I163" s="15" t="str">
        <f t="shared" si="33"/>
        <v xml:space="preserve"> </v>
      </c>
      <c r="J163" s="15" t="str">
        <f t="shared" si="34"/>
        <v xml:space="preserve"> </v>
      </c>
      <c r="K163" s="15"/>
      <c r="L163" s="15">
        <f t="shared" si="40"/>
        <v>0</v>
      </c>
      <c r="M163" s="5" t="str">
        <f t="shared" si="35"/>
        <v/>
      </c>
      <c r="N163" s="25" t="str">
        <f>IF(ISBLANK($E163)," ", COUNTIF($M$4:$M163,$M163))</f>
        <v xml:space="preserve"> </v>
      </c>
      <c r="O163" s="25" t="str">
        <f t="shared" si="36"/>
        <v xml:space="preserve"> </v>
      </c>
      <c r="P163" s="5" t="str">
        <f t="shared" si="37"/>
        <v/>
      </c>
      <c r="Q163" s="5" t="str">
        <f t="shared" si="38"/>
        <v/>
      </c>
      <c r="R163" s="5" t="str">
        <f t="shared" si="39"/>
        <v/>
      </c>
      <c r="T163" s="38">
        <v>18</v>
      </c>
      <c r="U163" s="27" t="s">
        <v>116</v>
      </c>
      <c r="V163" s="6">
        <v>163</v>
      </c>
    </row>
    <row r="164" spans="1:22" ht="20.25" x14ac:dyDescent="0.3">
      <c r="A164" s="14"/>
      <c r="B164" s="15">
        <v>160</v>
      </c>
      <c r="C164" s="22"/>
      <c r="D164" s="22"/>
      <c r="E164" s="16"/>
      <c r="F164" s="15"/>
      <c r="G164" s="15"/>
      <c r="H164" s="16"/>
      <c r="I164" s="15" t="str">
        <f t="shared" si="33"/>
        <v xml:space="preserve"> </v>
      </c>
      <c r="J164" s="15" t="str">
        <f t="shared" si="34"/>
        <v xml:space="preserve"> </v>
      </c>
      <c r="K164" s="15"/>
      <c r="L164" s="15">
        <f t="shared" si="40"/>
        <v>0</v>
      </c>
      <c r="M164" s="5" t="str">
        <f t="shared" si="35"/>
        <v/>
      </c>
      <c r="N164" s="25" t="str">
        <f>IF(ISBLANK($E164)," ", COUNTIF($M$4:$M164,$M164))</f>
        <v xml:space="preserve"> </v>
      </c>
      <c r="O164" s="25" t="str">
        <f t="shared" si="36"/>
        <v xml:space="preserve"> </v>
      </c>
      <c r="P164" s="5" t="str">
        <f t="shared" si="37"/>
        <v/>
      </c>
      <c r="Q164" s="5" t="str">
        <f t="shared" si="38"/>
        <v/>
      </c>
      <c r="R164" s="5" t="str">
        <f t="shared" si="39"/>
        <v/>
      </c>
      <c r="U164" s="7"/>
      <c r="V164" s="7"/>
    </row>
    <row r="165" spans="1:22" ht="20.25" x14ac:dyDescent="0.3">
      <c r="A165" s="14"/>
      <c r="B165" s="15">
        <v>161</v>
      </c>
      <c r="C165" s="22"/>
      <c r="D165" s="22"/>
      <c r="E165" s="16"/>
      <c r="F165" s="15"/>
      <c r="G165" s="15"/>
      <c r="H165" s="16"/>
      <c r="I165" s="15" t="str">
        <f t="shared" si="33"/>
        <v xml:space="preserve"> </v>
      </c>
      <c r="J165" s="15" t="str">
        <f t="shared" si="34"/>
        <v xml:space="preserve"> </v>
      </c>
      <c r="K165" s="15"/>
      <c r="L165" s="15">
        <f t="shared" si="40"/>
        <v>0</v>
      </c>
      <c r="M165" s="5" t="str">
        <f t="shared" si="35"/>
        <v/>
      </c>
      <c r="N165" s="25" t="str">
        <f>IF(ISBLANK($E165)," ", COUNTIF($M$4:$M165,$M165))</f>
        <v xml:space="preserve"> </v>
      </c>
      <c r="O165" s="25" t="str">
        <f t="shared" si="36"/>
        <v xml:space="preserve"> </v>
      </c>
      <c r="P165" s="5" t="str">
        <f t="shared" si="37"/>
        <v/>
      </c>
      <c r="Q165" s="5" t="str">
        <f t="shared" si="38"/>
        <v/>
      </c>
      <c r="R165" s="5" t="str">
        <f t="shared" si="39"/>
        <v/>
      </c>
    </row>
    <row r="166" spans="1:22" ht="20.25" x14ac:dyDescent="0.3">
      <c r="A166" s="14"/>
      <c r="B166" s="15">
        <v>162</v>
      </c>
      <c r="C166" s="22"/>
      <c r="D166" s="22"/>
      <c r="E166" s="16"/>
      <c r="F166" s="15"/>
      <c r="G166" s="15"/>
      <c r="H166" s="16"/>
      <c r="I166" s="15" t="str">
        <f t="shared" si="33"/>
        <v xml:space="preserve"> </v>
      </c>
      <c r="J166" s="15" t="str">
        <f t="shared" si="34"/>
        <v xml:space="preserve"> </v>
      </c>
      <c r="K166" s="15"/>
      <c r="L166" s="15">
        <f t="shared" si="40"/>
        <v>0</v>
      </c>
      <c r="M166" s="5" t="str">
        <f t="shared" si="35"/>
        <v/>
      </c>
      <c r="N166" s="25" t="str">
        <f>IF(ISBLANK($E166)," ", COUNTIF($M$4:$M166,$M166))</f>
        <v xml:space="preserve"> </v>
      </c>
      <c r="O166" s="25" t="str">
        <f t="shared" si="36"/>
        <v xml:space="preserve"> </v>
      </c>
      <c r="P166" s="5" t="str">
        <f t="shared" si="37"/>
        <v/>
      </c>
      <c r="Q166" s="5" t="str">
        <f t="shared" si="38"/>
        <v/>
      </c>
      <c r="R166" s="5" t="str">
        <f t="shared" si="39"/>
        <v/>
      </c>
      <c r="T166" s="5"/>
      <c r="U166" s="30" t="s">
        <v>9</v>
      </c>
      <c r="V166" s="8" t="s">
        <v>34</v>
      </c>
    </row>
    <row r="167" spans="1:22" ht="20.25" x14ac:dyDescent="0.3">
      <c r="A167" s="14"/>
      <c r="B167" s="15">
        <v>163</v>
      </c>
      <c r="C167" s="22"/>
      <c r="D167" s="22"/>
      <c r="E167" s="16"/>
      <c r="F167" s="15"/>
      <c r="G167" s="15"/>
      <c r="H167" s="16"/>
      <c r="I167" s="15" t="str">
        <f t="shared" si="33"/>
        <v xml:space="preserve"> </v>
      </c>
      <c r="J167" s="15" t="str">
        <f t="shared" si="34"/>
        <v xml:space="preserve"> </v>
      </c>
      <c r="K167" s="15"/>
      <c r="L167" s="15">
        <f t="shared" si="40"/>
        <v>0</v>
      </c>
      <c r="M167" s="5" t="str">
        <f t="shared" si="35"/>
        <v/>
      </c>
      <c r="N167" s="25" t="str">
        <f>IF(ISBLANK($E167)," ", COUNTIF($M$4:$M167,$M167))</f>
        <v xml:space="preserve"> </v>
      </c>
      <c r="O167" s="25" t="str">
        <f t="shared" si="36"/>
        <v xml:space="preserve"> </v>
      </c>
      <c r="P167" s="5" t="str">
        <f t="shared" si="37"/>
        <v/>
      </c>
      <c r="Q167" s="5" t="str">
        <f t="shared" si="38"/>
        <v/>
      </c>
      <c r="R167" s="5" t="str">
        <f t="shared" si="39"/>
        <v/>
      </c>
      <c r="T167" s="5">
        <v>18</v>
      </c>
      <c r="U167" s="31" t="s">
        <v>41</v>
      </c>
      <c r="V167" s="6">
        <v>41</v>
      </c>
    </row>
    <row r="168" spans="1:22" ht="20.25" x14ac:dyDescent="0.3">
      <c r="A168" s="14"/>
      <c r="B168" s="15">
        <v>164</v>
      </c>
      <c r="C168" s="22"/>
      <c r="D168" s="22"/>
      <c r="E168" s="16"/>
      <c r="F168" s="15"/>
      <c r="G168" s="15"/>
      <c r="H168" s="16"/>
      <c r="I168" s="15" t="str">
        <f t="shared" si="33"/>
        <v xml:space="preserve"> </v>
      </c>
      <c r="J168" s="15" t="str">
        <f t="shared" si="34"/>
        <v xml:space="preserve"> </v>
      </c>
      <c r="K168" s="15"/>
      <c r="L168" s="15">
        <f t="shared" si="40"/>
        <v>0</v>
      </c>
      <c r="M168" s="5" t="str">
        <f t="shared" si="35"/>
        <v/>
      </c>
      <c r="N168" s="25" t="str">
        <f>IF(ISBLANK($E168)," ", COUNTIF($M$4:$M168,$M168))</f>
        <v xml:space="preserve"> </v>
      </c>
      <c r="O168" s="25" t="str">
        <f t="shared" si="36"/>
        <v xml:space="preserve"> </v>
      </c>
      <c r="P168" s="5" t="str">
        <f t="shared" si="37"/>
        <v/>
      </c>
      <c r="Q168" s="5" t="str">
        <f t="shared" si="38"/>
        <v/>
      </c>
      <c r="R168" s="5" t="str">
        <f t="shared" si="39"/>
        <v/>
      </c>
      <c r="T168" s="5">
        <v>19</v>
      </c>
      <c r="U168" s="31" t="s">
        <v>2</v>
      </c>
      <c r="V168" s="6">
        <v>43</v>
      </c>
    </row>
    <row r="169" spans="1:22" ht="20.25" x14ac:dyDescent="0.3">
      <c r="A169" s="14"/>
      <c r="B169" s="15">
        <v>165</v>
      </c>
      <c r="C169" s="22"/>
      <c r="D169" s="22"/>
      <c r="E169" s="16"/>
      <c r="F169" s="15"/>
      <c r="G169" s="15"/>
      <c r="H169" s="16"/>
      <c r="I169" s="15" t="str">
        <f t="shared" si="33"/>
        <v xml:space="preserve"> </v>
      </c>
      <c r="J169" s="15" t="str">
        <f t="shared" si="34"/>
        <v xml:space="preserve"> </v>
      </c>
      <c r="K169" s="15"/>
      <c r="L169" s="15">
        <f t="shared" si="40"/>
        <v>0</v>
      </c>
      <c r="M169" s="5" t="str">
        <f t="shared" si="35"/>
        <v/>
      </c>
      <c r="N169" s="25" t="str">
        <f>IF(ISBLANK($E169)," ", COUNTIF($M$4:$M169,$M169))</f>
        <v xml:space="preserve"> </v>
      </c>
      <c r="O169" s="25" t="str">
        <f t="shared" si="36"/>
        <v xml:space="preserve"> </v>
      </c>
      <c r="P169" s="5" t="str">
        <f t="shared" si="37"/>
        <v/>
      </c>
      <c r="Q169" s="5" t="str">
        <f t="shared" si="38"/>
        <v/>
      </c>
      <c r="R169" s="5" t="str">
        <f t="shared" si="39"/>
        <v/>
      </c>
      <c r="T169" s="5">
        <v>20</v>
      </c>
      <c r="U169" s="31" t="s">
        <v>6</v>
      </c>
      <c r="V169" s="6">
        <v>47</v>
      </c>
    </row>
    <row r="170" spans="1:22" ht="20.25" x14ac:dyDescent="0.3">
      <c r="A170" s="14"/>
      <c r="B170" s="15">
        <v>166</v>
      </c>
      <c r="C170" s="22"/>
      <c r="D170" s="22"/>
      <c r="E170" s="16"/>
      <c r="F170" s="15"/>
      <c r="G170" s="15"/>
      <c r="H170" s="16"/>
      <c r="I170" s="15" t="str">
        <f t="shared" si="33"/>
        <v xml:space="preserve"> </v>
      </c>
      <c r="J170" s="15" t="str">
        <f t="shared" si="34"/>
        <v xml:space="preserve"> </v>
      </c>
      <c r="K170" s="15"/>
      <c r="L170" s="15">
        <f t="shared" si="40"/>
        <v>0</v>
      </c>
      <c r="M170" s="5" t="str">
        <f t="shared" si="35"/>
        <v/>
      </c>
      <c r="N170" s="25" t="str">
        <f>IF(ISBLANK($E170)," ", COUNTIF($M$4:$M170,$M170))</f>
        <v xml:space="preserve"> </v>
      </c>
      <c r="O170" s="25" t="str">
        <f t="shared" si="36"/>
        <v xml:space="preserve"> </v>
      </c>
      <c r="P170" s="5" t="str">
        <f t="shared" si="37"/>
        <v/>
      </c>
      <c r="Q170" s="5" t="str">
        <f t="shared" si="38"/>
        <v/>
      </c>
      <c r="R170" s="5" t="str">
        <f t="shared" si="39"/>
        <v/>
      </c>
      <c r="T170" s="5">
        <v>21</v>
      </c>
      <c r="U170" s="31" t="s">
        <v>4</v>
      </c>
      <c r="V170" s="6">
        <v>59</v>
      </c>
    </row>
    <row r="171" spans="1:22" ht="20.25" x14ac:dyDescent="0.3">
      <c r="A171" s="14"/>
      <c r="B171" s="15">
        <v>167</v>
      </c>
      <c r="C171" s="22"/>
      <c r="D171" s="22"/>
      <c r="E171" s="16"/>
      <c r="F171" s="15"/>
      <c r="G171" s="15"/>
      <c r="H171" s="16"/>
      <c r="I171" s="15" t="str">
        <f t="shared" si="33"/>
        <v xml:space="preserve"> </v>
      </c>
      <c r="J171" s="15" t="str">
        <f t="shared" si="34"/>
        <v xml:space="preserve"> </v>
      </c>
      <c r="K171" s="15"/>
      <c r="L171" s="15">
        <f t="shared" si="40"/>
        <v>0</v>
      </c>
      <c r="M171" s="5" t="str">
        <f t="shared" si="35"/>
        <v/>
      </c>
      <c r="N171" s="25" t="str">
        <f>IF(ISBLANK($E171)," ", COUNTIF($M$4:$M171,$M171))</f>
        <v xml:space="preserve"> </v>
      </c>
      <c r="O171" s="25" t="str">
        <f t="shared" si="36"/>
        <v xml:space="preserve"> </v>
      </c>
      <c r="P171" s="5" t="str">
        <f t="shared" si="37"/>
        <v/>
      </c>
      <c r="Q171" s="5" t="str">
        <f t="shared" si="38"/>
        <v/>
      </c>
      <c r="R171" s="5" t="str">
        <f t="shared" si="39"/>
        <v/>
      </c>
      <c r="T171" s="5">
        <v>22</v>
      </c>
      <c r="U171" s="31" t="s">
        <v>98</v>
      </c>
      <c r="V171" s="6">
        <v>53</v>
      </c>
    </row>
    <row r="172" spans="1:22" ht="20.25" x14ac:dyDescent="0.3">
      <c r="A172" s="14"/>
      <c r="B172" s="15">
        <v>168</v>
      </c>
      <c r="C172" s="22"/>
      <c r="D172" s="22"/>
      <c r="E172" s="16"/>
      <c r="F172" s="15"/>
      <c r="G172" s="15"/>
      <c r="H172" s="16"/>
      <c r="I172" s="15" t="str">
        <f t="shared" si="33"/>
        <v xml:space="preserve"> </v>
      </c>
      <c r="J172" s="15" t="str">
        <f t="shared" si="34"/>
        <v xml:space="preserve"> </v>
      </c>
      <c r="K172" s="15"/>
      <c r="L172" s="15">
        <f t="shared" si="40"/>
        <v>0</v>
      </c>
      <c r="M172" s="5" t="str">
        <f t="shared" si="35"/>
        <v/>
      </c>
      <c r="N172" s="25" t="str">
        <f>IF(ISBLANK($E172)," ", COUNTIF($M$4:$M172,$M172))</f>
        <v xml:space="preserve"> </v>
      </c>
      <c r="O172" s="25" t="str">
        <f t="shared" si="36"/>
        <v xml:space="preserve"> </v>
      </c>
      <c r="P172" s="5" t="str">
        <f t="shared" si="37"/>
        <v/>
      </c>
      <c r="Q172" s="5" t="str">
        <f t="shared" si="38"/>
        <v/>
      </c>
      <c r="R172" s="5" t="str">
        <f t="shared" si="39"/>
        <v/>
      </c>
      <c r="T172" s="5">
        <v>23</v>
      </c>
      <c r="U172" s="31" t="s">
        <v>72</v>
      </c>
      <c r="V172" s="6">
        <v>61</v>
      </c>
    </row>
    <row r="173" spans="1:22" ht="20.25" x14ac:dyDescent="0.3">
      <c r="A173" s="14"/>
      <c r="B173" s="15">
        <v>169</v>
      </c>
      <c r="C173" s="22"/>
      <c r="D173" s="22"/>
      <c r="E173" s="16"/>
      <c r="F173" s="15"/>
      <c r="G173" s="15"/>
      <c r="H173" s="16"/>
      <c r="I173" s="15" t="str">
        <f t="shared" si="33"/>
        <v xml:space="preserve"> </v>
      </c>
      <c r="J173" s="15" t="str">
        <f t="shared" si="34"/>
        <v xml:space="preserve"> </v>
      </c>
      <c r="K173" s="15"/>
      <c r="L173" s="15">
        <f t="shared" si="40"/>
        <v>0</v>
      </c>
      <c r="M173" s="5" t="str">
        <f t="shared" si="35"/>
        <v/>
      </c>
      <c r="N173" s="25" t="str">
        <f>IF(ISBLANK($E173)," ", COUNTIF($M$4:$M173,$M173))</f>
        <v xml:space="preserve"> </v>
      </c>
      <c r="O173" s="25" t="str">
        <f t="shared" si="36"/>
        <v xml:space="preserve"> </v>
      </c>
      <c r="P173" s="5" t="str">
        <f t="shared" si="37"/>
        <v/>
      </c>
      <c r="Q173" s="5" t="str">
        <f t="shared" si="38"/>
        <v/>
      </c>
      <c r="R173" s="5" t="str">
        <f t="shared" si="39"/>
        <v/>
      </c>
      <c r="T173" s="5">
        <v>24</v>
      </c>
      <c r="U173" s="31" t="s">
        <v>1</v>
      </c>
      <c r="V173" s="6">
        <v>67</v>
      </c>
    </row>
    <row r="174" spans="1:22" ht="20.25" x14ac:dyDescent="0.3">
      <c r="A174" s="14"/>
      <c r="B174" s="15">
        <v>170</v>
      </c>
      <c r="C174" s="22"/>
      <c r="D174" s="22"/>
      <c r="E174" s="16"/>
      <c r="F174" s="15"/>
      <c r="G174" s="15"/>
      <c r="H174" s="16"/>
      <c r="I174" s="15" t="str">
        <f t="shared" si="33"/>
        <v xml:space="preserve"> </v>
      </c>
      <c r="J174" s="15" t="str">
        <f t="shared" si="34"/>
        <v xml:space="preserve"> </v>
      </c>
      <c r="K174" s="15"/>
      <c r="L174" s="15">
        <f t="shared" si="40"/>
        <v>0</v>
      </c>
      <c r="M174" s="5" t="str">
        <f t="shared" si="35"/>
        <v/>
      </c>
      <c r="N174" s="25" t="str">
        <f>IF(ISBLANK($E174)," ", COUNTIF($M$4:$M174,$M174))</f>
        <v xml:space="preserve"> </v>
      </c>
      <c r="O174" s="25" t="str">
        <f t="shared" si="36"/>
        <v xml:space="preserve"> </v>
      </c>
      <c r="P174" s="5" t="str">
        <f t="shared" si="37"/>
        <v/>
      </c>
      <c r="Q174" s="5" t="str">
        <f t="shared" si="38"/>
        <v/>
      </c>
      <c r="R174" s="5" t="str">
        <f t="shared" si="39"/>
        <v/>
      </c>
      <c r="T174" s="5">
        <v>25</v>
      </c>
      <c r="U174" s="31" t="s">
        <v>96</v>
      </c>
      <c r="V174" s="6">
        <v>71</v>
      </c>
    </row>
    <row r="175" spans="1:22" ht="20.25" x14ac:dyDescent="0.3">
      <c r="A175" s="14"/>
      <c r="B175" s="15">
        <v>171</v>
      </c>
      <c r="C175" s="22"/>
      <c r="D175" s="22"/>
      <c r="E175" s="16"/>
      <c r="F175" s="15"/>
      <c r="G175" s="15"/>
      <c r="H175" s="16"/>
      <c r="I175" s="15" t="str">
        <f t="shared" si="33"/>
        <v xml:space="preserve"> </v>
      </c>
      <c r="J175" s="15" t="str">
        <f t="shared" si="34"/>
        <v xml:space="preserve"> </v>
      </c>
      <c r="K175" s="15"/>
      <c r="L175" s="15">
        <f t="shared" si="40"/>
        <v>0</v>
      </c>
      <c r="M175" s="5" t="str">
        <f t="shared" si="35"/>
        <v/>
      </c>
      <c r="N175" s="25" t="str">
        <f>IF(ISBLANK($E175)," ", COUNTIF($M$4:$M175,$M175))</f>
        <v xml:space="preserve"> </v>
      </c>
      <c r="O175" s="25" t="str">
        <f t="shared" si="36"/>
        <v xml:space="preserve"> </v>
      </c>
      <c r="P175" s="5" t="str">
        <f t="shared" si="37"/>
        <v/>
      </c>
      <c r="Q175" s="5" t="str">
        <f t="shared" si="38"/>
        <v/>
      </c>
      <c r="R175" s="5" t="str">
        <f t="shared" si="39"/>
        <v/>
      </c>
      <c r="T175" s="5">
        <v>26</v>
      </c>
      <c r="U175" s="31" t="s">
        <v>7</v>
      </c>
      <c r="V175" s="6">
        <v>73</v>
      </c>
    </row>
    <row r="176" spans="1:22" ht="20.25" x14ac:dyDescent="0.3">
      <c r="A176" s="14"/>
      <c r="B176" s="15">
        <v>172</v>
      </c>
      <c r="C176" s="22"/>
      <c r="D176" s="22"/>
      <c r="E176" s="16"/>
      <c r="F176" s="15"/>
      <c r="G176" s="15"/>
      <c r="H176" s="16"/>
      <c r="I176" s="15" t="str">
        <f t="shared" si="33"/>
        <v xml:space="preserve"> </v>
      </c>
      <c r="J176" s="15" t="str">
        <f t="shared" si="34"/>
        <v xml:space="preserve"> </v>
      </c>
      <c r="K176" s="15"/>
      <c r="L176" s="15">
        <f t="shared" si="40"/>
        <v>0</v>
      </c>
      <c r="M176" s="5" t="str">
        <f t="shared" si="35"/>
        <v/>
      </c>
      <c r="N176" s="25" t="str">
        <f>IF(ISBLANK($E176)," ", COUNTIF($M$4:$M176,$M176))</f>
        <v xml:space="preserve"> </v>
      </c>
      <c r="O176" s="25" t="str">
        <f t="shared" si="36"/>
        <v xml:space="preserve"> </v>
      </c>
      <c r="P176" s="5" t="str">
        <f t="shared" si="37"/>
        <v/>
      </c>
      <c r="Q176" s="5" t="str">
        <f t="shared" si="38"/>
        <v/>
      </c>
      <c r="R176" s="5" t="str">
        <f t="shared" si="39"/>
        <v/>
      </c>
      <c r="T176" s="5">
        <v>27</v>
      </c>
      <c r="U176" s="31" t="s">
        <v>71</v>
      </c>
      <c r="V176" s="6">
        <v>113</v>
      </c>
    </row>
    <row r="177" spans="1:22" ht="20.25" x14ac:dyDescent="0.3">
      <c r="A177" s="14"/>
      <c r="B177" s="15">
        <v>173</v>
      </c>
      <c r="C177" s="22"/>
      <c r="D177" s="22"/>
      <c r="E177" s="16"/>
      <c r="F177" s="15"/>
      <c r="G177" s="15"/>
      <c r="H177" s="16"/>
      <c r="I177" s="15" t="str">
        <f t="shared" si="33"/>
        <v xml:space="preserve"> </v>
      </c>
      <c r="J177" s="15" t="str">
        <f t="shared" si="34"/>
        <v xml:space="preserve"> </v>
      </c>
      <c r="K177" s="15"/>
      <c r="L177" s="15">
        <f t="shared" si="40"/>
        <v>0</v>
      </c>
      <c r="M177" s="5" t="str">
        <f t="shared" si="35"/>
        <v/>
      </c>
      <c r="N177" s="25" t="str">
        <f>IF(ISBLANK($E177)," ", COUNTIF($M$4:$M177,$M177))</f>
        <v xml:space="preserve"> </v>
      </c>
      <c r="O177" s="25" t="str">
        <f t="shared" si="36"/>
        <v xml:space="preserve"> </v>
      </c>
      <c r="P177" s="5" t="str">
        <f t="shared" si="37"/>
        <v/>
      </c>
      <c r="Q177" s="5" t="str">
        <f t="shared" si="38"/>
        <v/>
      </c>
      <c r="R177" s="5" t="str">
        <f t="shared" si="39"/>
        <v/>
      </c>
      <c r="T177" s="5">
        <v>28</v>
      </c>
      <c r="U177" s="31" t="s">
        <v>42</v>
      </c>
      <c r="V177" s="6">
        <v>79</v>
      </c>
    </row>
    <row r="178" spans="1:22" ht="20.25" x14ac:dyDescent="0.3">
      <c r="A178" s="14"/>
      <c r="B178" s="15">
        <v>174</v>
      </c>
      <c r="C178" s="22"/>
      <c r="D178" s="22"/>
      <c r="E178" s="16"/>
      <c r="F178" s="15"/>
      <c r="G178" s="15"/>
      <c r="H178" s="16"/>
      <c r="I178" s="15" t="str">
        <f t="shared" si="33"/>
        <v xml:space="preserve"> </v>
      </c>
      <c r="J178" s="15" t="str">
        <f t="shared" si="34"/>
        <v xml:space="preserve"> </v>
      </c>
      <c r="K178" s="15"/>
      <c r="L178" s="15">
        <f t="shared" si="40"/>
        <v>0</v>
      </c>
      <c r="M178" s="5" t="str">
        <f t="shared" si="35"/>
        <v/>
      </c>
      <c r="N178" s="25" t="str">
        <f>IF(ISBLANK($E178)," ", COUNTIF($M$4:$M178,$M178))</f>
        <v xml:space="preserve"> </v>
      </c>
      <c r="O178" s="25" t="str">
        <f t="shared" si="36"/>
        <v xml:space="preserve"> </v>
      </c>
      <c r="P178" s="5" t="str">
        <f t="shared" si="37"/>
        <v/>
      </c>
      <c r="Q178" s="5" t="str">
        <f t="shared" si="38"/>
        <v/>
      </c>
      <c r="R178" s="5" t="str">
        <f t="shared" si="39"/>
        <v/>
      </c>
      <c r="T178" s="5">
        <v>29</v>
      </c>
      <c r="U178" s="31" t="s">
        <v>93</v>
      </c>
      <c r="V178" s="6">
        <v>101</v>
      </c>
    </row>
    <row r="179" spans="1:22" ht="20.25" x14ac:dyDescent="0.3">
      <c r="A179" s="14"/>
      <c r="B179" s="15">
        <v>175</v>
      </c>
      <c r="C179" s="22"/>
      <c r="D179" s="22"/>
      <c r="E179" s="16"/>
      <c r="F179" s="15"/>
      <c r="G179" s="15"/>
      <c r="H179" s="16"/>
      <c r="I179" s="15" t="str">
        <f t="shared" si="33"/>
        <v xml:space="preserve"> </v>
      </c>
      <c r="J179" s="15" t="str">
        <f t="shared" si="34"/>
        <v xml:space="preserve"> </v>
      </c>
      <c r="K179" s="15"/>
      <c r="L179" s="15">
        <f t="shared" si="40"/>
        <v>0</v>
      </c>
      <c r="M179" s="5" t="str">
        <f t="shared" si="35"/>
        <v/>
      </c>
      <c r="N179" s="25" t="str">
        <f>IF(ISBLANK($E179)," ", COUNTIF($M$4:$M179,$M179))</f>
        <v xml:space="preserve"> </v>
      </c>
      <c r="O179" s="25" t="str">
        <f t="shared" si="36"/>
        <v xml:space="preserve"> </v>
      </c>
      <c r="P179" s="5" t="str">
        <f t="shared" si="37"/>
        <v/>
      </c>
      <c r="Q179" s="5" t="str">
        <f t="shared" si="38"/>
        <v/>
      </c>
      <c r="R179" s="5" t="str">
        <f t="shared" si="39"/>
        <v/>
      </c>
      <c r="T179" s="5">
        <v>30</v>
      </c>
      <c r="U179" s="31" t="s">
        <v>108</v>
      </c>
      <c r="V179" s="6">
        <v>131</v>
      </c>
    </row>
    <row r="180" spans="1:22" ht="20.25" x14ac:dyDescent="0.3">
      <c r="A180" s="14"/>
      <c r="B180" s="15">
        <v>176</v>
      </c>
      <c r="C180" s="22"/>
      <c r="D180" s="22"/>
      <c r="E180" s="16"/>
      <c r="F180" s="15"/>
      <c r="G180" s="15"/>
      <c r="H180" s="16"/>
      <c r="I180" s="15" t="str">
        <f t="shared" si="33"/>
        <v xml:space="preserve"> </v>
      </c>
      <c r="J180" s="15" t="str">
        <f t="shared" si="34"/>
        <v xml:space="preserve"> </v>
      </c>
      <c r="K180" s="15"/>
      <c r="L180" s="15">
        <f t="shared" si="40"/>
        <v>0</v>
      </c>
      <c r="M180" s="5" t="str">
        <f t="shared" si="35"/>
        <v/>
      </c>
      <c r="N180" s="25" t="str">
        <f>IF(ISBLANK($E180)," ", COUNTIF($M$4:$M180,$M180))</f>
        <v xml:space="preserve"> </v>
      </c>
      <c r="O180" s="25" t="str">
        <f t="shared" si="36"/>
        <v xml:space="preserve"> </v>
      </c>
      <c r="P180" s="5" t="str">
        <f t="shared" si="37"/>
        <v/>
      </c>
      <c r="Q180" s="5" t="str">
        <f t="shared" si="38"/>
        <v/>
      </c>
      <c r="R180" s="5" t="str">
        <f t="shared" si="39"/>
        <v/>
      </c>
      <c r="T180" s="5">
        <v>31</v>
      </c>
      <c r="U180" s="31" t="s">
        <v>94</v>
      </c>
      <c r="V180" s="6">
        <v>107</v>
      </c>
    </row>
    <row r="181" spans="1:22" ht="20.25" x14ac:dyDescent="0.3">
      <c r="A181" s="14"/>
      <c r="B181" s="15">
        <v>177</v>
      </c>
      <c r="C181" s="22"/>
      <c r="D181" s="22"/>
      <c r="E181" s="16"/>
      <c r="F181" s="15"/>
      <c r="G181" s="15"/>
      <c r="H181" s="16"/>
      <c r="I181" s="15" t="str">
        <f t="shared" si="33"/>
        <v xml:space="preserve"> </v>
      </c>
      <c r="J181" s="15" t="str">
        <f t="shared" si="34"/>
        <v xml:space="preserve"> </v>
      </c>
      <c r="K181" s="15"/>
      <c r="L181" s="15">
        <f t="shared" si="40"/>
        <v>0</v>
      </c>
      <c r="M181" s="5" t="str">
        <f t="shared" si="35"/>
        <v/>
      </c>
      <c r="N181" s="25" t="str">
        <f>IF(ISBLANK($E181)," ", COUNTIF($M$4:$M181,$M181))</f>
        <v xml:space="preserve"> </v>
      </c>
      <c r="O181" s="25" t="str">
        <f t="shared" si="36"/>
        <v xml:space="preserve"> </v>
      </c>
      <c r="P181" s="5" t="str">
        <f t="shared" si="37"/>
        <v/>
      </c>
      <c r="Q181" s="5" t="str">
        <f t="shared" si="38"/>
        <v/>
      </c>
      <c r="R181" s="5" t="str">
        <f t="shared" si="39"/>
        <v/>
      </c>
      <c r="T181" s="5">
        <v>32</v>
      </c>
      <c r="U181" s="31" t="s">
        <v>109</v>
      </c>
      <c r="V181" s="6">
        <v>161</v>
      </c>
    </row>
    <row r="182" spans="1:22" ht="20.25" x14ac:dyDescent="0.3">
      <c r="A182" s="14"/>
      <c r="B182" s="15">
        <v>178</v>
      </c>
      <c r="C182" s="22"/>
      <c r="D182" s="22"/>
      <c r="E182" s="16"/>
      <c r="F182" s="15"/>
      <c r="G182" s="15"/>
      <c r="H182" s="16"/>
      <c r="I182" s="15" t="str">
        <f t="shared" si="33"/>
        <v xml:space="preserve"> </v>
      </c>
      <c r="J182" s="15" t="str">
        <f t="shared" si="34"/>
        <v xml:space="preserve"> </v>
      </c>
      <c r="K182" s="15"/>
      <c r="L182" s="15">
        <f t="shared" si="40"/>
        <v>0</v>
      </c>
      <c r="M182" s="5" t="str">
        <f t="shared" si="35"/>
        <v/>
      </c>
      <c r="N182" s="25" t="str">
        <f>IF(ISBLANK($E182)," ", COUNTIF($M$4:$M182,$M182))</f>
        <v xml:space="preserve"> </v>
      </c>
      <c r="O182" s="25" t="str">
        <f t="shared" si="36"/>
        <v xml:space="preserve"> </v>
      </c>
      <c r="P182" s="5" t="str">
        <f t="shared" si="37"/>
        <v/>
      </c>
      <c r="Q182" s="5" t="str">
        <f t="shared" si="38"/>
        <v/>
      </c>
      <c r="R182" s="5" t="str">
        <f t="shared" si="39"/>
        <v/>
      </c>
      <c r="T182" s="5">
        <v>33</v>
      </c>
      <c r="U182" s="31" t="s">
        <v>117</v>
      </c>
      <c r="V182" s="6">
        <v>167</v>
      </c>
    </row>
    <row r="183" spans="1:22" ht="20.25" x14ac:dyDescent="0.3">
      <c r="A183" s="14"/>
      <c r="B183" s="15">
        <v>179</v>
      </c>
      <c r="C183" s="22"/>
      <c r="D183" s="22"/>
      <c r="E183" s="16"/>
      <c r="F183" s="15"/>
      <c r="G183" s="15"/>
      <c r="H183" s="16"/>
      <c r="I183" s="15" t="str">
        <f t="shared" si="33"/>
        <v xml:space="preserve"> </v>
      </c>
      <c r="J183" s="15" t="str">
        <f t="shared" si="34"/>
        <v xml:space="preserve"> </v>
      </c>
      <c r="K183" s="15"/>
      <c r="L183" s="15">
        <f t="shared" si="40"/>
        <v>0</v>
      </c>
      <c r="M183" s="5" t="str">
        <f t="shared" si="35"/>
        <v/>
      </c>
      <c r="N183" s="25" t="str">
        <f>IF(ISBLANK($E183)," ", COUNTIF($M$4:$M183,$M183))</f>
        <v xml:space="preserve"> </v>
      </c>
      <c r="O183" s="25" t="str">
        <f t="shared" si="36"/>
        <v xml:space="preserve"> </v>
      </c>
      <c r="P183" s="5" t="str">
        <f t="shared" si="37"/>
        <v/>
      </c>
      <c r="Q183" s="5" t="str">
        <f t="shared" si="38"/>
        <v/>
      </c>
      <c r="R183" s="5" t="str">
        <f t="shared" si="39"/>
        <v/>
      </c>
      <c r="T183" s="5">
        <v>34</v>
      </c>
      <c r="U183" s="31" t="s">
        <v>128</v>
      </c>
      <c r="V183" s="6">
        <v>183</v>
      </c>
    </row>
    <row r="184" spans="1:22" ht="20.25" x14ac:dyDescent="0.3">
      <c r="A184" s="14"/>
      <c r="B184" s="15">
        <v>180</v>
      </c>
      <c r="C184" s="22"/>
      <c r="D184" s="22"/>
      <c r="E184" s="16"/>
      <c r="F184" s="15"/>
      <c r="G184" s="15"/>
      <c r="H184" s="16"/>
      <c r="I184" s="15" t="str">
        <f t="shared" si="33"/>
        <v xml:space="preserve"> </v>
      </c>
      <c r="J184" s="15" t="str">
        <f t="shared" si="34"/>
        <v xml:space="preserve"> </v>
      </c>
      <c r="K184" s="15"/>
      <c r="L184" s="15">
        <f t="shared" si="40"/>
        <v>0</v>
      </c>
      <c r="M184" s="5" t="str">
        <f t="shared" si="35"/>
        <v/>
      </c>
      <c r="N184" s="25" t="str">
        <f>IF(ISBLANK($E184)," ", COUNTIF($M$4:$M184,$M184))</f>
        <v xml:space="preserve"> </v>
      </c>
      <c r="O184" s="25" t="str">
        <f t="shared" si="36"/>
        <v xml:space="preserve"> </v>
      </c>
      <c r="P184" s="5" t="str">
        <f t="shared" si="37"/>
        <v/>
      </c>
      <c r="Q184" s="5" t="str">
        <f t="shared" si="38"/>
        <v/>
      </c>
      <c r="R184" s="5" t="str">
        <f t="shared" si="39"/>
        <v/>
      </c>
      <c r="T184" s="5">
        <v>35</v>
      </c>
      <c r="U184" s="31" t="s">
        <v>110</v>
      </c>
      <c r="V184" s="6">
        <v>157</v>
      </c>
    </row>
    <row r="185" spans="1:22" ht="20.25" x14ac:dyDescent="0.3">
      <c r="A185" s="14"/>
      <c r="B185" s="15">
        <v>181</v>
      </c>
      <c r="C185" s="22"/>
      <c r="D185" s="22"/>
      <c r="E185" s="16"/>
      <c r="F185" s="15"/>
      <c r="G185" s="15"/>
      <c r="H185" s="16"/>
      <c r="I185" s="15" t="str">
        <f t="shared" si="33"/>
        <v xml:space="preserve"> </v>
      </c>
      <c r="J185" s="15" t="str">
        <f t="shared" si="34"/>
        <v xml:space="preserve"> </v>
      </c>
      <c r="K185" s="15"/>
      <c r="L185" s="15">
        <f t="shared" si="40"/>
        <v>0</v>
      </c>
      <c r="M185" s="5" t="str">
        <f t="shared" si="35"/>
        <v/>
      </c>
      <c r="N185" s="25" t="str">
        <f>IF(ISBLANK($E185)," ", COUNTIF($M$4:$M185,$M185))</f>
        <v xml:space="preserve"> </v>
      </c>
      <c r="O185" s="25" t="str">
        <f t="shared" si="36"/>
        <v xml:space="preserve"> </v>
      </c>
      <c r="P185" s="5" t="str">
        <f t="shared" si="37"/>
        <v/>
      </c>
      <c r="Q185" s="5" t="str">
        <f t="shared" si="38"/>
        <v/>
      </c>
      <c r="R185" s="5" t="str">
        <f t="shared" si="39"/>
        <v/>
      </c>
    </row>
    <row r="186" spans="1:22" ht="20.25" x14ac:dyDescent="0.3">
      <c r="A186" s="14"/>
      <c r="B186" s="15">
        <v>182</v>
      </c>
      <c r="C186" s="22"/>
      <c r="D186" s="22"/>
      <c r="E186" s="16"/>
      <c r="F186" s="15"/>
      <c r="G186" s="15"/>
      <c r="H186" s="16"/>
      <c r="I186" s="15" t="str">
        <f t="shared" si="33"/>
        <v xml:space="preserve"> </v>
      </c>
      <c r="J186" s="15" t="str">
        <f t="shared" si="34"/>
        <v xml:space="preserve"> </v>
      </c>
      <c r="K186" s="15"/>
      <c r="L186" s="15">
        <f t="shared" si="40"/>
        <v>0</v>
      </c>
      <c r="M186" s="5" t="str">
        <f t="shared" si="35"/>
        <v/>
      </c>
      <c r="N186" s="25" t="str">
        <f>IF(ISBLANK($E186)," ", COUNTIF($M$4:$M186,$M186))</f>
        <v xml:space="preserve"> </v>
      </c>
      <c r="O186" s="25" t="str">
        <f t="shared" si="36"/>
        <v xml:space="preserve"> </v>
      </c>
      <c r="P186" s="5" t="str">
        <f t="shared" si="37"/>
        <v/>
      </c>
      <c r="Q186" s="5" t="str">
        <f t="shared" si="38"/>
        <v/>
      </c>
      <c r="R186" s="5" t="str">
        <f t="shared" si="39"/>
        <v/>
      </c>
    </row>
    <row r="187" spans="1:22" ht="20.25" x14ac:dyDescent="0.3">
      <c r="A187" s="14"/>
      <c r="B187" s="15">
        <v>183</v>
      </c>
      <c r="C187" s="22"/>
      <c r="D187" s="22"/>
      <c r="E187" s="16"/>
      <c r="F187" s="15"/>
      <c r="G187" s="15"/>
      <c r="H187" s="16"/>
      <c r="I187" s="15" t="str">
        <f t="shared" si="33"/>
        <v xml:space="preserve"> </v>
      </c>
      <c r="J187" s="15" t="str">
        <f t="shared" si="34"/>
        <v xml:space="preserve"> </v>
      </c>
      <c r="K187" s="15"/>
      <c r="L187" s="15">
        <f t="shared" si="40"/>
        <v>0</v>
      </c>
      <c r="M187" s="5" t="str">
        <f t="shared" si="35"/>
        <v/>
      </c>
      <c r="N187" s="25" t="str">
        <f>IF(ISBLANK($E187)," ", COUNTIF($M$4:$M187,$M187))</f>
        <v xml:space="preserve"> </v>
      </c>
      <c r="O187" s="25" t="str">
        <f t="shared" si="36"/>
        <v xml:space="preserve"> </v>
      </c>
      <c r="P187" s="5" t="str">
        <f t="shared" si="37"/>
        <v/>
      </c>
      <c r="Q187" s="5" t="str">
        <f t="shared" si="38"/>
        <v/>
      </c>
      <c r="R187" s="5" t="str">
        <f t="shared" si="39"/>
        <v/>
      </c>
    </row>
    <row r="188" spans="1:22" ht="20.25" x14ac:dyDescent="0.3">
      <c r="A188" s="14"/>
      <c r="B188" s="15">
        <v>184</v>
      </c>
      <c r="C188" s="22"/>
      <c r="D188" s="22"/>
      <c r="E188" s="16"/>
      <c r="F188" s="15"/>
      <c r="G188" s="15"/>
      <c r="H188" s="16"/>
      <c r="I188" s="15" t="str">
        <f t="shared" si="33"/>
        <v xml:space="preserve"> </v>
      </c>
      <c r="J188" s="15" t="str">
        <f t="shared" si="34"/>
        <v xml:space="preserve"> </v>
      </c>
      <c r="K188" s="15"/>
      <c r="L188" s="15">
        <f t="shared" si="40"/>
        <v>0</v>
      </c>
      <c r="M188" s="5" t="str">
        <f t="shared" si="35"/>
        <v/>
      </c>
      <c r="N188" s="25" t="str">
        <f>IF(ISBLANK($E188)," ", COUNTIF($M$4:$M188,$M188))</f>
        <v xml:space="preserve"> </v>
      </c>
      <c r="O188" s="25" t="str">
        <f t="shared" si="36"/>
        <v xml:space="preserve"> </v>
      </c>
      <c r="P188" s="5" t="str">
        <f t="shared" si="37"/>
        <v/>
      </c>
      <c r="Q188" s="5" t="str">
        <f t="shared" si="38"/>
        <v/>
      </c>
      <c r="R188" s="5" t="str">
        <f t="shared" si="39"/>
        <v/>
      </c>
    </row>
    <row r="189" spans="1:22" ht="20.25" x14ac:dyDescent="0.3">
      <c r="A189" s="14"/>
      <c r="B189" s="15">
        <v>185</v>
      </c>
      <c r="C189" s="22"/>
      <c r="D189" s="22"/>
      <c r="E189" s="16"/>
      <c r="F189" s="15"/>
      <c r="G189" s="15"/>
      <c r="H189" s="16"/>
      <c r="I189" s="15" t="str">
        <f t="shared" si="33"/>
        <v xml:space="preserve"> </v>
      </c>
      <c r="J189" s="15" t="str">
        <f t="shared" si="34"/>
        <v xml:space="preserve"> </v>
      </c>
      <c r="K189" s="15"/>
      <c r="L189" s="15">
        <f t="shared" si="40"/>
        <v>0</v>
      </c>
      <c r="M189" s="5" t="str">
        <f t="shared" si="35"/>
        <v/>
      </c>
      <c r="N189" s="25" t="str">
        <f>IF(ISBLANK($E189)," ", COUNTIF($M$4:$M189,$M189))</f>
        <v xml:space="preserve"> </v>
      </c>
      <c r="O189" s="25" t="str">
        <f t="shared" si="36"/>
        <v xml:space="preserve"> </v>
      </c>
      <c r="P189" s="5" t="str">
        <f t="shared" si="37"/>
        <v/>
      </c>
      <c r="Q189" s="5" t="str">
        <f t="shared" si="38"/>
        <v/>
      </c>
      <c r="R189" s="5" t="str">
        <f t="shared" si="39"/>
        <v/>
      </c>
    </row>
    <row r="190" spans="1:22" ht="20.25" x14ac:dyDescent="0.3">
      <c r="A190" s="14"/>
      <c r="B190" s="15">
        <v>186</v>
      </c>
      <c r="C190" s="22"/>
      <c r="D190" s="22"/>
      <c r="E190" s="16"/>
      <c r="F190" s="15"/>
      <c r="G190" s="15"/>
      <c r="H190" s="16"/>
      <c r="I190" s="15" t="str">
        <f t="shared" si="33"/>
        <v xml:space="preserve"> </v>
      </c>
      <c r="J190" s="15" t="str">
        <f t="shared" si="34"/>
        <v xml:space="preserve"> </v>
      </c>
      <c r="K190" s="15"/>
      <c r="L190" s="15">
        <f t="shared" si="40"/>
        <v>0</v>
      </c>
      <c r="M190" s="5" t="str">
        <f t="shared" si="35"/>
        <v/>
      </c>
      <c r="N190" s="25" t="str">
        <f>IF(ISBLANK($E190)," ", COUNTIF($M$4:$M190,$M190))</f>
        <v xml:space="preserve"> </v>
      </c>
      <c r="O190" s="25" t="str">
        <f t="shared" si="36"/>
        <v xml:space="preserve"> </v>
      </c>
      <c r="P190" s="5" t="str">
        <f t="shared" si="37"/>
        <v/>
      </c>
      <c r="Q190" s="5" t="str">
        <f t="shared" si="38"/>
        <v/>
      </c>
      <c r="R190" s="5" t="str">
        <f t="shared" si="39"/>
        <v/>
      </c>
    </row>
    <row r="191" spans="1:22" ht="20.25" x14ac:dyDescent="0.3">
      <c r="A191" s="14"/>
      <c r="B191" s="15">
        <v>187</v>
      </c>
      <c r="C191" s="22"/>
      <c r="D191" s="22"/>
      <c r="E191" s="16"/>
      <c r="F191" s="15"/>
      <c r="G191" s="15"/>
      <c r="H191" s="16"/>
      <c r="I191" s="15" t="str">
        <f t="shared" si="33"/>
        <v xml:space="preserve"> </v>
      </c>
      <c r="J191" s="15" t="str">
        <f t="shared" si="34"/>
        <v xml:space="preserve"> </v>
      </c>
      <c r="K191" s="15"/>
      <c r="L191" s="15">
        <f t="shared" si="40"/>
        <v>0</v>
      </c>
      <c r="M191" s="5" t="str">
        <f t="shared" si="35"/>
        <v/>
      </c>
      <c r="N191" s="25" t="str">
        <f>IF(ISBLANK($E191)," ", COUNTIF($M$4:$M191,$M191))</f>
        <v xml:space="preserve"> </v>
      </c>
      <c r="O191" s="25" t="str">
        <f t="shared" si="36"/>
        <v xml:space="preserve"> </v>
      </c>
      <c r="P191" s="5" t="str">
        <f t="shared" si="37"/>
        <v/>
      </c>
      <c r="Q191" s="5" t="str">
        <f t="shared" si="38"/>
        <v/>
      </c>
      <c r="R191" s="5" t="str">
        <f t="shared" si="39"/>
        <v/>
      </c>
    </row>
    <row r="192" spans="1:22" ht="20.25" x14ac:dyDescent="0.3">
      <c r="A192" s="14"/>
      <c r="B192" s="15">
        <v>188</v>
      </c>
      <c r="C192" s="22"/>
      <c r="D192" s="22"/>
      <c r="E192" s="16"/>
      <c r="F192" s="15"/>
      <c r="G192" s="15"/>
      <c r="H192" s="16"/>
      <c r="I192" s="15" t="str">
        <f t="shared" si="33"/>
        <v xml:space="preserve"> </v>
      </c>
      <c r="J192" s="15" t="str">
        <f t="shared" si="34"/>
        <v xml:space="preserve"> </v>
      </c>
      <c r="K192" s="15"/>
      <c r="L192" s="15">
        <f t="shared" si="40"/>
        <v>0</v>
      </c>
      <c r="M192" s="5" t="str">
        <f t="shared" si="35"/>
        <v/>
      </c>
      <c r="N192" s="25" t="str">
        <f>IF(ISBLANK($E192)," ", COUNTIF($M$4:$M192,$M192))</f>
        <v xml:space="preserve"> </v>
      </c>
      <c r="O192" s="25" t="str">
        <f t="shared" si="36"/>
        <v xml:space="preserve"> </v>
      </c>
      <c r="P192" s="5" t="str">
        <f t="shared" si="37"/>
        <v/>
      </c>
      <c r="Q192" s="5" t="str">
        <f t="shared" si="38"/>
        <v/>
      </c>
      <c r="R192" s="5" t="str">
        <f t="shared" si="39"/>
        <v/>
      </c>
    </row>
    <row r="193" spans="1:18" ht="20.25" x14ac:dyDescent="0.3">
      <c r="A193" s="14"/>
      <c r="B193" s="15">
        <v>189</v>
      </c>
      <c r="C193" s="22"/>
      <c r="D193" s="22"/>
      <c r="E193" s="16"/>
      <c r="F193" s="15"/>
      <c r="G193" s="15"/>
      <c r="H193" s="16"/>
      <c r="I193" s="15" t="str">
        <f t="shared" si="33"/>
        <v xml:space="preserve"> </v>
      </c>
      <c r="J193" s="15" t="str">
        <f t="shared" si="34"/>
        <v xml:space="preserve"> </v>
      </c>
      <c r="K193" s="15"/>
      <c r="L193" s="15">
        <f t="shared" si="40"/>
        <v>0</v>
      </c>
      <c r="M193" s="5" t="str">
        <f t="shared" si="35"/>
        <v/>
      </c>
      <c r="N193" s="25" t="str">
        <f>IF(ISBLANK($E193)," ", COUNTIF($M$4:$M193,$M193))</f>
        <v xml:space="preserve"> </v>
      </c>
      <c r="O193" s="25" t="str">
        <f t="shared" si="36"/>
        <v xml:space="preserve"> </v>
      </c>
      <c r="P193" s="5" t="str">
        <f t="shared" si="37"/>
        <v/>
      </c>
      <c r="Q193" s="5" t="str">
        <f t="shared" si="38"/>
        <v/>
      </c>
      <c r="R193" s="5" t="str">
        <f t="shared" si="39"/>
        <v/>
      </c>
    </row>
    <row r="194" spans="1:18" ht="20.25" x14ac:dyDescent="0.3">
      <c r="A194" s="14"/>
      <c r="B194" s="15">
        <v>190</v>
      </c>
      <c r="C194" s="22"/>
      <c r="D194" s="22"/>
      <c r="E194" s="16"/>
      <c r="F194" s="15"/>
      <c r="G194" s="15"/>
      <c r="H194" s="16"/>
      <c r="I194" s="15" t="str">
        <f t="shared" ref="I194:I256" si="41">IF(ISBLANK($E194)," ",IF($E194&gt;$H194,$C194,$F194))</f>
        <v xml:space="preserve"> </v>
      </c>
      <c r="J194" s="15" t="str">
        <f t="shared" ref="J194:J256" si="42">IF(ISBLANK($E194)," ",IF($E194&gt;$H194,$D194,$G194))</f>
        <v xml:space="preserve"> </v>
      </c>
      <c r="K194" s="15"/>
      <c r="L194" s="15">
        <f t="shared" si="40"/>
        <v>0</v>
      </c>
      <c r="M194" s="5" t="str">
        <f t="shared" ref="M194:M256" si="43">IF(ISBLANK($E194),"",VLOOKUP($I194,PLAYERS_IDS,2,FALSE)*VLOOKUP($J194,PLAYERS_IDS,2,FALSE))</f>
        <v/>
      </c>
      <c r="N194" s="25" t="str">
        <f>IF(ISBLANK($E194)," ", COUNTIF($M$4:$M194,$M194))</f>
        <v xml:space="preserve"> </v>
      </c>
      <c r="O194" s="25" t="str">
        <f t="shared" ref="O194:O256" si="44">IF(N194 =" ", " ", IF(N194=1,15,(IF(N194=2,15,(IF(N194=3,15,15))))))</f>
        <v xml:space="preserve"> </v>
      </c>
      <c r="P194" s="5" t="str">
        <f t="shared" ref="P194:P256" si="45">IF(ISBLANK($F194),"",VLOOKUP($C194,PLAYERS_IDS,2,FALSE)*VLOOKUP($D194,PLAYERS_IDS,2,FALSE))</f>
        <v/>
      </c>
      <c r="Q194" s="5" t="str">
        <f t="shared" ref="Q194:Q256" si="46">IF(ISBLANK($F194), "",VLOOKUP($F194,PLAYERS_IDS,2,FALSE)*VLOOKUP($G194,PLAYERS_IDS,2,FALSE))</f>
        <v/>
      </c>
      <c r="R194" s="5" t="str">
        <f t="shared" ref="R194:R256" si="47">IFERROR((P194*100000)+Q194,"")</f>
        <v/>
      </c>
    </row>
    <row r="195" spans="1:18" ht="20.25" x14ac:dyDescent="0.3">
      <c r="A195" s="14"/>
      <c r="B195" s="15">
        <v>191</v>
      </c>
      <c r="C195" s="22"/>
      <c r="D195" s="22"/>
      <c r="E195" s="16"/>
      <c r="F195" s="15"/>
      <c r="G195" s="15"/>
      <c r="H195" s="16"/>
      <c r="I195" s="15" t="str">
        <f t="shared" si="41"/>
        <v xml:space="preserve"> </v>
      </c>
      <c r="J195" s="15" t="str">
        <f t="shared" si="42"/>
        <v xml:space="preserve"> </v>
      </c>
      <c r="K195" s="15"/>
      <c r="L195" s="15">
        <f t="shared" ref="L195:L257" si="48">E195-H195</f>
        <v>0</v>
      </c>
      <c r="M195" s="5" t="str">
        <f t="shared" si="43"/>
        <v/>
      </c>
      <c r="N195" s="25" t="str">
        <f>IF(ISBLANK($E195)," ", COUNTIF($M$4:$M195,$M195))</f>
        <v xml:space="preserve"> </v>
      </c>
      <c r="O195" s="25" t="str">
        <f t="shared" si="44"/>
        <v xml:space="preserve"> </v>
      </c>
      <c r="P195" s="5" t="str">
        <f t="shared" si="45"/>
        <v/>
      </c>
      <c r="Q195" s="5" t="str">
        <f t="shared" si="46"/>
        <v/>
      </c>
      <c r="R195" s="5" t="str">
        <f t="shared" si="47"/>
        <v/>
      </c>
    </row>
    <row r="196" spans="1:18" ht="20.25" x14ac:dyDescent="0.3">
      <c r="A196" s="14"/>
      <c r="B196" s="15">
        <v>192</v>
      </c>
      <c r="C196" s="22"/>
      <c r="D196" s="22"/>
      <c r="E196" s="16"/>
      <c r="F196" s="15"/>
      <c r="G196" s="15"/>
      <c r="H196" s="16"/>
      <c r="I196" s="15" t="str">
        <f t="shared" si="41"/>
        <v xml:space="preserve"> </v>
      </c>
      <c r="J196" s="15" t="str">
        <f t="shared" si="42"/>
        <v xml:space="preserve"> </v>
      </c>
      <c r="K196" s="15"/>
      <c r="L196" s="15">
        <f t="shared" si="48"/>
        <v>0</v>
      </c>
      <c r="M196" s="5" t="str">
        <f t="shared" si="43"/>
        <v/>
      </c>
      <c r="N196" s="25" t="str">
        <f>IF(ISBLANK($E196)," ", COUNTIF($M$4:$M196,$M196))</f>
        <v xml:space="preserve"> </v>
      </c>
      <c r="O196" s="25" t="str">
        <f t="shared" si="44"/>
        <v xml:space="preserve"> </v>
      </c>
      <c r="P196" s="5" t="str">
        <f t="shared" si="45"/>
        <v/>
      </c>
      <c r="Q196" s="5" t="str">
        <f t="shared" si="46"/>
        <v/>
      </c>
      <c r="R196" s="5" t="str">
        <f t="shared" si="47"/>
        <v/>
      </c>
    </row>
    <row r="197" spans="1:18" ht="20.25" x14ac:dyDescent="0.3">
      <c r="A197" s="14"/>
      <c r="B197" s="15">
        <v>193</v>
      </c>
      <c r="C197" s="22"/>
      <c r="D197" s="22"/>
      <c r="E197" s="16"/>
      <c r="F197" s="15"/>
      <c r="G197" s="15"/>
      <c r="H197" s="16"/>
      <c r="I197" s="15" t="str">
        <f t="shared" si="41"/>
        <v xml:space="preserve"> </v>
      </c>
      <c r="J197" s="15" t="str">
        <f t="shared" si="42"/>
        <v xml:space="preserve"> </v>
      </c>
      <c r="K197" s="15"/>
      <c r="L197" s="15">
        <f t="shared" si="48"/>
        <v>0</v>
      </c>
      <c r="M197" s="5" t="str">
        <f t="shared" si="43"/>
        <v/>
      </c>
      <c r="N197" s="25" t="str">
        <f>IF(ISBLANK($E197)," ", COUNTIF($M$4:$M197,$M197))</f>
        <v xml:space="preserve"> </v>
      </c>
      <c r="O197" s="25" t="str">
        <f t="shared" si="44"/>
        <v xml:space="preserve"> </v>
      </c>
      <c r="P197" s="5" t="str">
        <f t="shared" si="45"/>
        <v/>
      </c>
      <c r="Q197" s="5" t="str">
        <f t="shared" si="46"/>
        <v/>
      </c>
      <c r="R197" s="5" t="str">
        <f t="shared" si="47"/>
        <v/>
      </c>
    </row>
    <row r="198" spans="1:18" ht="20.25" x14ac:dyDescent="0.3">
      <c r="A198" s="14"/>
      <c r="B198" s="15">
        <v>194</v>
      </c>
      <c r="C198" s="22"/>
      <c r="D198" s="22"/>
      <c r="E198" s="16"/>
      <c r="F198" s="15"/>
      <c r="G198" s="15"/>
      <c r="H198" s="16"/>
      <c r="I198" s="15" t="str">
        <f t="shared" si="41"/>
        <v xml:space="preserve"> </v>
      </c>
      <c r="J198" s="15" t="str">
        <f t="shared" si="42"/>
        <v xml:space="preserve"> </v>
      </c>
      <c r="K198" s="15"/>
      <c r="L198" s="15">
        <f t="shared" si="48"/>
        <v>0</v>
      </c>
      <c r="M198" s="5" t="str">
        <f t="shared" si="43"/>
        <v/>
      </c>
      <c r="N198" s="25" t="str">
        <f>IF(ISBLANK($E198)," ", COUNTIF($M$4:$M198,$M198))</f>
        <v xml:space="preserve"> </v>
      </c>
      <c r="O198" s="25" t="str">
        <f t="shared" si="44"/>
        <v xml:space="preserve"> </v>
      </c>
      <c r="P198" s="5" t="str">
        <f t="shared" si="45"/>
        <v/>
      </c>
      <c r="Q198" s="5" t="str">
        <f t="shared" si="46"/>
        <v/>
      </c>
      <c r="R198" s="5" t="str">
        <f t="shared" si="47"/>
        <v/>
      </c>
    </row>
    <row r="199" spans="1:18" ht="20.25" x14ac:dyDescent="0.3">
      <c r="A199" s="14"/>
      <c r="B199" s="15">
        <v>195</v>
      </c>
      <c r="C199" s="22"/>
      <c r="D199" s="22"/>
      <c r="E199" s="16"/>
      <c r="F199" s="15"/>
      <c r="G199" s="15"/>
      <c r="H199" s="16"/>
      <c r="I199" s="15" t="str">
        <f t="shared" si="41"/>
        <v xml:space="preserve"> </v>
      </c>
      <c r="J199" s="15" t="str">
        <f t="shared" si="42"/>
        <v xml:space="preserve"> </v>
      </c>
      <c r="K199" s="15"/>
      <c r="L199" s="15">
        <f t="shared" si="48"/>
        <v>0</v>
      </c>
      <c r="M199" s="5" t="str">
        <f t="shared" si="43"/>
        <v/>
      </c>
      <c r="N199" s="25" t="str">
        <f>IF(ISBLANK($E199)," ", COUNTIF($M$4:$M199,$M199))</f>
        <v xml:space="preserve"> </v>
      </c>
      <c r="O199" s="25" t="str">
        <f t="shared" si="44"/>
        <v xml:space="preserve"> </v>
      </c>
      <c r="P199" s="5" t="str">
        <f t="shared" si="45"/>
        <v/>
      </c>
      <c r="Q199" s="5" t="str">
        <f t="shared" si="46"/>
        <v/>
      </c>
      <c r="R199" s="5" t="str">
        <f t="shared" si="47"/>
        <v/>
      </c>
    </row>
    <row r="200" spans="1:18" ht="20.25" x14ac:dyDescent="0.3">
      <c r="A200" s="14"/>
      <c r="B200" s="15">
        <v>196</v>
      </c>
      <c r="C200" s="22"/>
      <c r="D200" s="22"/>
      <c r="E200" s="16"/>
      <c r="F200" s="15"/>
      <c r="G200" s="15"/>
      <c r="H200" s="16"/>
      <c r="I200" s="15" t="str">
        <f t="shared" si="41"/>
        <v xml:space="preserve"> </v>
      </c>
      <c r="J200" s="15" t="str">
        <f t="shared" si="42"/>
        <v xml:space="preserve"> </v>
      </c>
      <c r="K200" s="15"/>
      <c r="L200" s="15">
        <f t="shared" si="48"/>
        <v>0</v>
      </c>
      <c r="M200" s="5" t="str">
        <f t="shared" si="43"/>
        <v/>
      </c>
      <c r="N200" s="25" t="str">
        <f>IF(ISBLANK($E200)," ", COUNTIF($M$4:$M200,$M200))</f>
        <v xml:space="preserve"> </v>
      </c>
      <c r="O200" s="25" t="str">
        <f t="shared" si="44"/>
        <v xml:space="preserve"> </v>
      </c>
      <c r="P200" s="5" t="str">
        <f t="shared" si="45"/>
        <v/>
      </c>
      <c r="Q200" s="5" t="str">
        <f t="shared" si="46"/>
        <v/>
      </c>
      <c r="R200" s="5" t="str">
        <f t="shared" si="47"/>
        <v/>
      </c>
    </row>
    <row r="201" spans="1:18" ht="20.25" x14ac:dyDescent="0.3">
      <c r="A201" s="14"/>
      <c r="B201" s="15">
        <v>197</v>
      </c>
      <c r="C201" s="22"/>
      <c r="D201" s="22"/>
      <c r="E201" s="16"/>
      <c r="F201" s="15"/>
      <c r="G201" s="15"/>
      <c r="H201" s="16"/>
      <c r="I201" s="15" t="str">
        <f t="shared" si="41"/>
        <v xml:space="preserve"> </v>
      </c>
      <c r="J201" s="15" t="str">
        <f t="shared" si="42"/>
        <v xml:space="preserve"> </v>
      </c>
      <c r="K201" s="15"/>
      <c r="L201" s="15">
        <f t="shared" si="48"/>
        <v>0</v>
      </c>
      <c r="M201" s="5" t="str">
        <f t="shared" si="43"/>
        <v/>
      </c>
      <c r="N201" s="25" t="str">
        <f>IF(ISBLANK($E201)," ", COUNTIF($M$4:$M201,$M201))</f>
        <v xml:space="preserve"> </v>
      </c>
      <c r="O201" s="25" t="str">
        <f t="shared" si="44"/>
        <v xml:space="preserve"> </v>
      </c>
      <c r="P201" s="5" t="str">
        <f t="shared" si="45"/>
        <v/>
      </c>
      <c r="Q201" s="5" t="str">
        <f t="shared" si="46"/>
        <v/>
      </c>
      <c r="R201" s="5" t="str">
        <f t="shared" si="47"/>
        <v/>
      </c>
    </row>
    <row r="202" spans="1:18" ht="20.25" x14ac:dyDescent="0.3">
      <c r="A202" s="14"/>
      <c r="B202" s="15">
        <v>198</v>
      </c>
      <c r="C202" s="22"/>
      <c r="D202" s="22"/>
      <c r="E202" s="16"/>
      <c r="F202" s="15"/>
      <c r="G202" s="15"/>
      <c r="H202" s="16"/>
      <c r="I202" s="15" t="str">
        <f t="shared" si="41"/>
        <v xml:space="preserve"> </v>
      </c>
      <c r="J202" s="15" t="str">
        <f t="shared" si="42"/>
        <v xml:space="preserve"> </v>
      </c>
      <c r="K202" s="15"/>
      <c r="L202" s="15">
        <f t="shared" si="48"/>
        <v>0</v>
      </c>
      <c r="M202" s="5" t="str">
        <f t="shared" si="43"/>
        <v/>
      </c>
      <c r="N202" s="25" t="str">
        <f>IF(ISBLANK($E202)," ", COUNTIF($M$4:$M202,$M202))</f>
        <v xml:space="preserve"> </v>
      </c>
      <c r="O202" s="25" t="str">
        <f t="shared" si="44"/>
        <v xml:space="preserve"> </v>
      </c>
      <c r="P202" s="5" t="str">
        <f t="shared" si="45"/>
        <v/>
      </c>
      <c r="Q202" s="5" t="str">
        <f t="shared" si="46"/>
        <v/>
      </c>
      <c r="R202" s="5" t="str">
        <f t="shared" si="47"/>
        <v/>
      </c>
    </row>
    <row r="203" spans="1:18" ht="20.25" x14ac:dyDescent="0.3">
      <c r="A203" s="14"/>
      <c r="B203" s="15">
        <v>199</v>
      </c>
      <c r="C203" s="22"/>
      <c r="D203" s="22"/>
      <c r="E203" s="16"/>
      <c r="F203" s="15"/>
      <c r="G203" s="15"/>
      <c r="H203" s="16"/>
      <c r="I203" s="15" t="str">
        <f t="shared" si="41"/>
        <v xml:space="preserve"> </v>
      </c>
      <c r="J203" s="15" t="str">
        <f t="shared" si="42"/>
        <v xml:space="preserve"> </v>
      </c>
      <c r="K203" s="15"/>
      <c r="L203" s="15">
        <f t="shared" si="48"/>
        <v>0</v>
      </c>
      <c r="M203" s="5" t="str">
        <f t="shared" si="43"/>
        <v/>
      </c>
      <c r="N203" s="25" t="str">
        <f>IF(ISBLANK($E203)," ", COUNTIF($M$4:$M203,$M203))</f>
        <v xml:space="preserve"> </v>
      </c>
      <c r="O203" s="25" t="str">
        <f t="shared" si="44"/>
        <v xml:space="preserve"> </v>
      </c>
      <c r="P203" s="5" t="str">
        <f t="shared" si="45"/>
        <v/>
      </c>
      <c r="Q203" s="5" t="str">
        <f t="shared" si="46"/>
        <v/>
      </c>
      <c r="R203" s="5" t="str">
        <f t="shared" si="47"/>
        <v/>
      </c>
    </row>
    <row r="204" spans="1:18" ht="20.25" x14ac:dyDescent="0.3">
      <c r="A204" s="14"/>
      <c r="B204" s="15">
        <v>200</v>
      </c>
      <c r="C204" s="22"/>
      <c r="D204" s="22"/>
      <c r="E204" s="16"/>
      <c r="F204" s="15"/>
      <c r="G204" s="15"/>
      <c r="H204" s="16"/>
      <c r="I204" s="15" t="str">
        <f t="shared" si="41"/>
        <v xml:space="preserve"> </v>
      </c>
      <c r="J204" s="15" t="str">
        <f t="shared" si="42"/>
        <v xml:space="preserve"> </v>
      </c>
      <c r="K204" s="15"/>
      <c r="L204" s="15">
        <f t="shared" si="48"/>
        <v>0</v>
      </c>
      <c r="M204" s="5" t="str">
        <f t="shared" si="43"/>
        <v/>
      </c>
      <c r="N204" s="25" t="str">
        <f>IF(ISBLANK($E204)," ", COUNTIF($M$4:$M204,$M204))</f>
        <v xml:space="preserve"> </v>
      </c>
      <c r="O204" s="25" t="str">
        <f t="shared" si="44"/>
        <v xml:space="preserve"> </v>
      </c>
      <c r="P204" s="5" t="str">
        <f t="shared" si="45"/>
        <v/>
      </c>
      <c r="Q204" s="5" t="str">
        <f t="shared" si="46"/>
        <v/>
      </c>
      <c r="R204" s="5" t="str">
        <f t="shared" si="47"/>
        <v/>
      </c>
    </row>
    <row r="205" spans="1:18" ht="20.25" x14ac:dyDescent="0.3">
      <c r="A205" s="14"/>
      <c r="B205" s="15">
        <v>201</v>
      </c>
      <c r="C205" s="22"/>
      <c r="D205" s="22"/>
      <c r="E205" s="16"/>
      <c r="F205" s="15"/>
      <c r="G205" s="15"/>
      <c r="H205" s="16"/>
      <c r="I205" s="15" t="str">
        <f t="shared" si="41"/>
        <v xml:space="preserve"> </v>
      </c>
      <c r="J205" s="15" t="str">
        <f t="shared" si="42"/>
        <v xml:space="preserve"> </v>
      </c>
      <c r="K205" s="15"/>
      <c r="L205" s="15">
        <f t="shared" si="48"/>
        <v>0</v>
      </c>
      <c r="M205" s="5" t="str">
        <f t="shared" si="43"/>
        <v/>
      </c>
      <c r="N205" s="25" t="str">
        <f>IF(ISBLANK($E205)," ", COUNTIF($M$4:$M205,$M205))</f>
        <v xml:space="preserve"> </v>
      </c>
      <c r="O205" s="25" t="str">
        <f t="shared" si="44"/>
        <v xml:space="preserve"> </v>
      </c>
      <c r="P205" s="5" t="str">
        <f t="shared" si="45"/>
        <v/>
      </c>
      <c r="Q205" s="5" t="str">
        <f t="shared" si="46"/>
        <v/>
      </c>
      <c r="R205" s="5" t="str">
        <f t="shared" si="47"/>
        <v/>
      </c>
    </row>
    <row r="206" spans="1:18" ht="20.25" x14ac:dyDescent="0.3">
      <c r="A206" s="14"/>
      <c r="B206" s="15">
        <v>202</v>
      </c>
      <c r="C206" s="22"/>
      <c r="D206" s="22"/>
      <c r="E206" s="16"/>
      <c r="F206" s="15"/>
      <c r="G206" s="15"/>
      <c r="H206" s="16"/>
      <c r="I206" s="15" t="str">
        <f t="shared" si="41"/>
        <v xml:space="preserve"> </v>
      </c>
      <c r="J206" s="15" t="str">
        <f t="shared" si="42"/>
        <v xml:space="preserve"> </v>
      </c>
      <c r="K206" s="15"/>
      <c r="L206" s="15">
        <f t="shared" si="48"/>
        <v>0</v>
      </c>
      <c r="M206" s="5" t="str">
        <f t="shared" si="43"/>
        <v/>
      </c>
      <c r="N206" s="25" t="str">
        <f>IF(ISBLANK($E206)," ", COUNTIF($M$4:$M206,$M206))</f>
        <v xml:space="preserve"> </v>
      </c>
      <c r="O206" s="25" t="str">
        <f t="shared" si="44"/>
        <v xml:space="preserve"> </v>
      </c>
      <c r="P206" s="5" t="str">
        <f t="shared" si="45"/>
        <v/>
      </c>
      <c r="Q206" s="5" t="str">
        <f t="shared" si="46"/>
        <v/>
      </c>
      <c r="R206" s="5" t="str">
        <f t="shared" si="47"/>
        <v/>
      </c>
    </row>
    <row r="207" spans="1:18" ht="20.25" x14ac:dyDescent="0.3">
      <c r="A207" s="14"/>
      <c r="B207" s="15">
        <v>203</v>
      </c>
      <c r="C207" s="22"/>
      <c r="D207" s="22"/>
      <c r="E207" s="16"/>
      <c r="F207" s="15"/>
      <c r="G207" s="15"/>
      <c r="H207" s="16"/>
      <c r="I207" s="15" t="str">
        <f t="shared" si="41"/>
        <v xml:space="preserve"> </v>
      </c>
      <c r="J207" s="15" t="str">
        <f t="shared" si="42"/>
        <v xml:space="preserve"> </v>
      </c>
      <c r="K207" s="15"/>
      <c r="L207" s="15">
        <f t="shared" si="48"/>
        <v>0</v>
      </c>
      <c r="M207" s="5" t="str">
        <f t="shared" si="43"/>
        <v/>
      </c>
      <c r="N207" s="25" t="str">
        <f>IF(ISBLANK($E207)," ", COUNTIF($M$4:$M207,$M207))</f>
        <v xml:space="preserve"> </v>
      </c>
      <c r="O207" s="25" t="str">
        <f t="shared" si="44"/>
        <v xml:space="preserve"> </v>
      </c>
      <c r="P207" s="5" t="str">
        <f t="shared" si="45"/>
        <v/>
      </c>
      <c r="Q207" s="5" t="str">
        <f t="shared" si="46"/>
        <v/>
      </c>
      <c r="R207" s="5" t="str">
        <f t="shared" si="47"/>
        <v/>
      </c>
    </row>
    <row r="208" spans="1:18" ht="20.25" x14ac:dyDescent="0.3">
      <c r="A208" s="14"/>
      <c r="B208" s="15">
        <v>204</v>
      </c>
      <c r="C208" s="22"/>
      <c r="D208" s="22"/>
      <c r="E208" s="16"/>
      <c r="F208" s="15"/>
      <c r="G208" s="15"/>
      <c r="H208" s="16"/>
      <c r="I208" s="15" t="str">
        <f t="shared" si="41"/>
        <v xml:space="preserve"> </v>
      </c>
      <c r="J208" s="15" t="str">
        <f t="shared" si="42"/>
        <v xml:space="preserve"> </v>
      </c>
      <c r="K208" s="15"/>
      <c r="L208" s="15">
        <f t="shared" si="48"/>
        <v>0</v>
      </c>
      <c r="M208" s="5" t="str">
        <f t="shared" si="43"/>
        <v/>
      </c>
      <c r="N208" s="25" t="str">
        <f>IF(ISBLANK($E208)," ", COUNTIF($M$4:$M208,$M208))</f>
        <v xml:space="preserve"> </v>
      </c>
      <c r="O208" s="25" t="str">
        <f t="shared" si="44"/>
        <v xml:space="preserve"> </v>
      </c>
      <c r="P208" s="5" t="str">
        <f t="shared" si="45"/>
        <v/>
      </c>
      <c r="Q208" s="5" t="str">
        <f t="shared" si="46"/>
        <v/>
      </c>
      <c r="R208" s="5" t="str">
        <f t="shared" si="47"/>
        <v/>
      </c>
    </row>
    <row r="209" spans="1:18" ht="20.25" x14ac:dyDescent="0.3">
      <c r="A209" s="14"/>
      <c r="B209" s="15">
        <v>205</v>
      </c>
      <c r="C209" s="22"/>
      <c r="D209" s="22"/>
      <c r="E209" s="16"/>
      <c r="F209" s="15"/>
      <c r="G209" s="15"/>
      <c r="H209" s="16"/>
      <c r="I209" s="15" t="str">
        <f t="shared" si="41"/>
        <v xml:space="preserve"> </v>
      </c>
      <c r="J209" s="15" t="str">
        <f t="shared" si="42"/>
        <v xml:space="preserve"> </v>
      </c>
      <c r="K209" s="15"/>
      <c r="L209" s="15">
        <f t="shared" si="48"/>
        <v>0</v>
      </c>
      <c r="M209" s="5" t="str">
        <f t="shared" si="43"/>
        <v/>
      </c>
      <c r="N209" s="25" t="str">
        <f>IF(ISBLANK($E209)," ", COUNTIF($M$4:$M209,$M209))</f>
        <v xml:space="preserve"> </v>
      </c>
      <c r="O209" s="25" t="str">
        <f t="shared" si="44"/>
        <v xml:space="preserve"> </v>
      </c>
      <c r="P209" s="5" t="str">
        <f t="shared" si="45"/>
        <v/>
      </c>
      <c r="Q209" s="5" t="str">
        <f t="shared" si="46"/>
        <v/>
      </c>
      <c r="R209" s="5" t="str">
        <f t="shared" si="47"/>
        <v/>
      </c>
    </row>
    <row r="210" spans="1:18" ht="20.25" x14ac:dyDescent="0.3">
      <c r="A210" s="14"/>
      <c r="B210" s="15">
        <v>206</v>
      </c>
      <c r="C210" s="22"/>
      <c r="D210" s="22"/>
      <c r="E210" s="16"/>
      <c r="F210" s="15"/>
      <c r="G210" s="15"/>
      <c r="H210" s="16"/>
      <c r="I210" s="15" t="str">
        <f t="shared" si="41"/>
        <v xml:space="preserve"> </v>
      </c>
      <c r="J210" s="15" t="str">
        <f t="shared" si="42"/>
        <v xml:space="preserve"> </v>
      </c>
      <c r="K210" s="15"/>
      <c r="L210" s="15">
        <f t="shared" si="48"/>
        <v>0</v>
      </c>
      <c r="M210" s="5" t="str">
        <f t="shared" si="43"/>
        <v/>
      </c>
      <c r="N210" s="25" t="str">
        <f>IF(ISBLANK($E210)," ", COUNTIF($M$4:$M210,$M210))</f>
        <v xml:space="preserve"> </v>
      </c>
      <c r="O210" s="25" t="str">
        <f t="shared" si="44"/>
        <v xml:space="preserve"> </v>
      </c>
      <c r="P210" s="5" t="str">
        <f t="shared" si="45"/>
        <v/>
      </c>
      <c r="Q210" s="5" t="str">
        <f t="shared" si="46"/>
        <v/>
      </c>
      <c r="R210" s="5" t="str">
        <f t="shared" si="47"/>
        <v/>
      </c>
    </row>
    <row r="211" spans="1:18" ht="20.25" x14ac:dyDescent="0.3">
      <c r="A211" s="14"/>
      <c r="B211" s="15">
        <v>207</v>
      </c>
      <c r="C211" s="22"/>
      <c r="D211" s="22"/>
      <c r="E211" s="16"/>
      <c r="F211" s="15"/>
      <c r="G211" s="15"/>
      <c r="H211" s="16"/>
      <c r="I211" s="15" t="str">
        <f t="shared" si="41"/>
        <v xml:space="preserve"> </v>
      </c>
      <c r="J211" s="15" t="str">
        <f t="shared" si="42"/>
        <v xml:space="preserve"> </v>
      </c>
      <c r="K211" s="15"/>
      <c r="L211" s="15">
        <f t="shared" si="48"/>
        <v>0</v>
      </c>
      <c r="M211" s="5" t="str">
        <f t="shared" si="43"/>
        <v/>
      </c>
      <c r="N211" s="25" t="str">
        <f>IF(ISBLANK($E211)," ", COUNTIF($M$4:$M211,$M211))</f>
        <v xml:space="preserve"> </v>
      </c>
      <c r="O211" s="25" t="str">
        <f t="shared" si="44"/>
        <v xml:space="preserve"> </v>
      </c>
      <c r="P211" s="5" t="str">
        <f t="shared" si="45"/>
        <v/>
      </c>
      <c r="Q211" s="5" t="str">
        <f t="shared" si="46"/>
        <v/>
      </c>
      <c r="R211" s="5" t="str">
        <f t="shared" si="47"/>
        <v/>
      </c>
    </row>
    <row r="212" spans="1:18" ht="20.25" x14ac:dyDescent="0.3">
      <c r="A212" s="14"/>
      <c r="B212" s="15">
        <v>208</v>
      </c>
      <c r="C212" s="22"/>
      <c r="D212" s="22"/>
      <c r="E212" s="16"/>
      <c r="F212" s="15"/>
      <c r="G212" s="15"/>
      <c r="H212" s="16"/>
      <c r="I212" s="15" t="str">
        <f t="shared" si="41"/>
        <v xml:space="preserve"> </v>
      </c>
      <c r="J212" s="15" t="str">
        <f t="shared" si="42"/>
        <v xml:space="preserve"> </v>
      </c>
      <c r="K212" s="15"/>
      <c r="L212" s="15">
        <f t="shared" si="48"/>
        <v>0</v>
      </c>
      <c r="M212" s="5" t="str">
        <f t="shared" si="43"/>
        <v/>
      </c>
      <c r="N212" s="25" t="str">
        <f>IF(ISBLANK($E212)," ", COUNTIF($M$4:$M212,$M212))</f>
        <v xml:space="preserve"> </v>
      </c>
      <c r="O212" s="25" t="str">
        <f t="shared" si="44"/>
        <v xml:space="preserve"> </v>
      </c>
      <c r="P212" s="5" t="str">
        <f t="shared" si="45"/>
        <v/>
      </c>
      <c r="Q212" s="5" t="str">
        <f t="shared" si="46"/>
        <v/>
      </c>
      <c r="R212" s="5" t="str">
        <f t="shared" si="47"/>
        <v/>
      </c>
    </row>
    <row r="213" spans="1:18" ht="20.25" x14ac:dyDescent="0.3">
      <c r="A213" s="14"/>
      <c r="B213" s="15">
        <v>209</v>
      </c>
      <c r="C213" s="22"/>
      <c r="D213" s="22"/>
      <c r="E213" s="16"/>
      <c r="F213" s="15"/>
      <c r="G213" s="15"/>
      <c r="H213" s="16"/>
      <c r="I213" s="15" t="str">
        <f t="shared" si="41"/>
        <v xml:space="preserve"> </v>
      </c>
      <c r="J213" s="15" t="str">
        <f t="shared" si="42"/>
        <v xml:space="preserve"> </v>
      </c>
      <c r="K213" s="15"/>
      <c r="L213" s="15">
        <f t="shared" si="48"/>
        <v>0</v>
      </c>
      <c r="M213" s="5" t="str">
        <f t="shared" si="43"/>
        <v/>
      </c>
      <c r="N213" s="25" t="str">
        <f>IF(ISBLANK($E213)," ", COUNTIF($M$4:$M213,$M213))</f>
        <v xml:space="preserve"> </v>
      </c>
      <c r="O213" s="25" t="str">
        <f t="shared" si="44"/>
        <v xml:space="preserve"> </v>
      </c>
      <c r="P213" s="5" t="str">
        <f t="shared" si="45"/>
        <v/>
      </c>
      <c r="Q213" s="5" t="str">
        <f t="shared" si="46"/>
        <v/>
      </c>
      <c r="R213" s="5" t="str">
        <f t="shared" si="47"/>
        <v/>
      </c>
    </row>
    <row r="214" spans="1:18" ht="20.25" x14ac:dyDescent="0.3">
      <c r="A214" s="14"/>
      <c r="B214" s="15">
        <v>210</v>
      </c>
      <c r="C214" s="22"/>
      <c r="D214" s="22"/>
      <c r="E214" s="16"/>
      <c r="F214" s="15"/>
      <c r="G214" s="15"/>
      <c r="H214" s="16"/>
      <c r="I214" s="15" t="str">
        <f t="shared" si="41"/>
        <v xml:space="preserve"> </v>
      </c>
      <c r="J214" s="15" t="str">
        <f t="shared" si="42"/>
        <v xml:space="preserve"> </v>
      </c>
      <c r="K214" s="15"/>
      <c r="L214" s="15">
        <f t="shared" si="48"/>
        <v>0</v>
      </c>
      <c r="M214" s="5" t="str">
        <f t="shared" si="43"/>
        <v/>
      </c>
      <c r="N214" s="25" t="str">
        <f>IF(ISBLANK($E214)," ", COUNTIF($M$4:$M214,$M214))</f>
        <v xml:space="preserve"> </v>
      </c>
      <c r="O214" s="25" t="str">
        <f t="shared" si="44"/>
        <v xml:space="preserve"> </v>
      </c>
      <c r="P214" s="5" t="str">
        <f t="shared" si="45"/>
        <v/>
      </c>
      <c r="Q214" s="5" t="str">
        <f t="shared" si="46"/>
        <v/>
      </c>
      <c r="R214" s="5" t="str">
        <f t="shared" si="47"/>
        <v/>
      </c>
    </row>
    <row r="215" spans="1:18" ht="20.25" x14ac:dyDescent="0.3">
      <c r="A215" s="14"/>
      <c r="B215" s="15">
        <v>211</v>
      </c>
      <c r="C215" s="22"/>
      <c r="D215" s="22"/>
      <c r="E215" s="16"/>
      <c r="F215" s="15"/>
      <c r="G215" s="15"/>
      <c r="H215" s="16"/>
      <c r="I215" s="15" t="str">
        <f t="shared" si="41"/>
        <v xml:space="preserve"> </v>
      </c>
      <c r="J215" s="15" t="str">
        <f t="shared" si="42"/>
        <v xml:space="preserve"> </v>
      </c>
      <c r="K215" s="15"/>
      <c r="L215" s="15">
        <f t="shared" si="48"/>
        <v>0</v>
      </c>
      <c r="M215" s="5" t="str">
        <f t="shared" si="43"/>
        <v/>
      </c>
      <c r="N215" s="25" t="str">
        <f>IF(ISBLANK($E215)," ", COUNTIF($M$4:$M215,$M215))</f>
        <v xml:space="preserve"> </v>
      </c>
      <c r="O215" s="25" t="str">
        <f t="shared" si="44"/>
        <v xml:space="preserve"> </v>
      </c>
      <c r="P215" s="5" t="str">
        <f t="shared" si="45"/>
        <v/>
      </c>
      <c r="Q215" s="5" t="str">
        <f t="shared" si="46"/>
        <v/>
      </c>
      <c r="R215" s="5" t="str">
        <f t="shared" si="47"/>
        <v/>
      </c>
    </row>
    <row r="216" spans="1:18" ht="20.25" x14ac:dyDescent="0.3">
      <c r="A216" s="14"/>
      <c r="B216" s="15">
        <v>212</v>
      </c>
      <c r="C216" s="22"/>
      <c r="D216" s="22"/>
      <c r="E216" s="16"/>
      <c r="F216" s="15"/>
      <c r="G216" s="15"/>
      <c r="H216" s="16"/>
      <c r="I216" s="15" t="str">
        <f t="shared" si="41"/>
        <v xml:space="preserve"> </v>
      </c>
      <c r="J216" s="15" t="str">
        <f t="shared" si="42"/>
        <v xml:space="preserve"> </v>
      </c>
      <c r="K216" s="15"/>
      <c r="L216" s="15">
        <f t="shared" si="48"/>
        <v>0</v>
      </c>
      <c r="M216" s="5" t="str">
        <f t="shared" si="43"/>
        <v/>
      </c>
      <c r="N216" s="25" t="str">
        <f>IF(ISBLANK($E216)," ", COUNTIF($M$4:$M216,$M216))</f>
        <v xml:space="preserve"> </v>
      </c>
      <c r="O216" s="25" t="str">
        <f t="shared" si="44"/>
        <v xml:space="preserve"> </v>
      </c>
      <c r="P216" s="5" t="str">
        <f t="shared" si="45"/>
        <v/>
      </c>
      <c r="Q216" s="5" t="str">
        <f t="shared" si="46"/>
        <v/>
      </c>
      <c r="R216" s="5" t="str">
        <f t="shared" si="47"/>
        <v/>
      </c>
    </row>
    <row r="217" spans="1:18" ht="20.25" x14ac:dyDescent="0.3">
      <c r="A217" s="14"/>
      <c r="B217" s="15">
        <v>213</v>
      </c>
      <c r="C217" s="22"/>
      <c r="D217" s="22"/>
      <c r="E217" s="16"/>
      <c r="F217" s="15"/>
      <c r="G217" s="15"/>
      <c r="H217" s="16"/>
      <c r="I217" s="15" t="str">
        <f t="shared" si="41"/>
        <v xml:space="preserve"> </v>
      </c>
      <c r="J217" s="15" t="str">
        <f t="shared" si="42"/>
        <v xml:space="preserve"> </v>
      </c>
      <c r="K217" s="15"/>
      <c r="L217" s="15">
        <f t="shared" si="48"/>
        <v>0</v>
      </c>
      <c r="M217" s="5" t="str">
        <f t="shared" si="43"/>
        <v/>
      </c>
      <c r="N217" s="25" t="str">
        <f>IF(ISBLANK($E217)," ", COUNTIF($M$4:$M217,$M217))</f>
        <v xml:space="preserve"> </v>
      </c>
      <c r="O217" s="25" t="str">
        <f t="shared" si="44"/>
        <v xml:space="preserve"> </v>
      </c>
      <c r="P217" s="5" t="str">
        <f t="shared" si="45"/>
        <v/>
      </c>
      <c r="Q217" s="5" t="str">
        <f t="shared" si="46"/>
        <v/>
      </c>
      <c r="R217" s="5" t="str">
        <f t="shared" si="47"/>
        <v/>
      </c>
    </row>
    <row r="218" spans="1:18" ht="20.25" x14ac:dyDescent="0.3">
      <c r="A218" s="14"/>
      <c r="B218" s="15">
        <v>214</v>
      </c>
      <c r="C218" s="22"/>
      <c r="D218" s="22"/>
      <c r="E218" s="16"/>
      <c r="F218" s="15"/>
      <c r="G218" s="15"/>
      <c r="H218" s="16"/>
      <c r="I218" s="15" t="str">
        <f t="shared" si="41"/>
        <v xml:space="preserve"> </v>
      </c>
      <c r="J218" s="15" t="str">
        <f t="shared" si="42"/>
        <v xml:space="preserve"> </v>
      </c>
      <c r="K218" s="15"/>
      <c r="L218" s="15">
        <f t="shared" si="48"/>
        <v>0</v>
      </c>
      <c r="M218" s="5" t="str">
        <f t="shared" si="43"/>
        <v/>
      </c>
      <c r="N218" s="25" t="str">
        <f>IF(ISBLANK($E218)," ", COUNTIF($M$4:$M218,$M218))</f>
        <v xml:space="preserve"> </v>
      </c>
      <c r="O218" s="25" t="str">
        <f t="shared" si="44"/>
        <v xml:space="preserve"> </v>
      </c>
      <c r="P218" s="5" t="str">
        <f t="shared" si="45"/>
        <v/>
      </c>
      <c r="Q218" s="5" t="str">
        <f t="shared" si="46"/>
        <v/>
      </c>
      <c r="R218" s="5" t="str">
        <f t="shared" si="47"/>
        <v/>
      </c>
    </row>
    <row r="219" spans="1:18" ht="20.25" x14ac:dyDescent="0.3">
      <c r="A219" s="14"/>
      <c r="B219" s="15">
        <v>215</v>
      </c>
      <c r="C219" s="22"/>
      <c r="D219" s="22"/>
      <c r="E219" s="16"/>
      <c r="F219" s="15"/>
      <c r="G219" s="15"/>
      <c r="H219" s="16"/>
      <c r="I219" s="15" t="str">
        <f t="shared" si="41"/>
        <v xml:space="preserve"> </v>
      </c>
      <c r="J219" s="15" t="str">
        <f t="shared" si="42"/>
        <v xml:space="preserve"> </v>
      </c>
      <c r="K219" s="15"/>
      <c r="L219" s="15">
        <f t="shared" si="48"/>
        <v>0</v>
      </c>
      <c r="M219" s="5" t="str">
        <f t="shared" si="43"/>
        <v/>
      </c>
      <c r="N219" s="25" t="str">
        <f>IF(ISBLANK($E219)," ", COUNTIF($M$4:$M219,$M219))</f>
        <v xml:space="preserve"> </v>
      </c>
      <c r="O219" s="25" t="str">
        <f t="shared" si="44"/>
        <v xml:space="preserve"> </v>
      </c>
      <c r="P219" s="5" t="str">
        <f t="shared" si="45"/>
        <v/>
      </c>
      <c r="Q219" s="5" t="str">
        <f t="shared" si="46"/>
        <v/>
      </c>
      <c r="R219" s="5" t="str">
        <f t="shared" si="47"/>
        <v/>
      </c>
    </row>
    <row r="220" spans="1:18" ht="20.25" x14ac:dyDescent="0.3">
      <c r="A220" s="14"/>
      <c r="B220" s="15">
        <v>216</v>
      </c>
      <c r="C220" s="22"/>
      <c r="D220" s="22"/>
      <c r="E220" s="16"/>
      <c r="F220" s="15"/>
      <c r="G220" s="15"/>
      <c r="H220" s="16"/>
      <c r="I220" s="15" t="str">
        <f t="shared" si="41"/>
        <v xml:space="preserve"> </v>
      </c>
      <c r="J220" s="15" t="str">
        <f t="shared" si="42"/>
        <v xml:space="preserve"> </v>
      </c>
      <c r="K220" s="15"/>
      <c r="L220" s="15">
        <f t="shared" si="48"/>
        <v>0</v>
      </c>
      <c r="M220" s="5" t="str">
        <f t="shared" si="43"/>
        <v/>
      </c>
      <c r="N220" s="25" t="str">
        <f>IF(ISBLANK($E220)," ", COUNTIF($M$4:$M220,$M220))</f>
        <v xml:space="preserve"> </v>
      </c>
      <c r="O220" s="25" t="str">
        <f t="shared" si="44"/>
        <v xml:space="preserve"> </v>
      </c>
      <c r="P220" s="5" t="str">
        <f t="shared" si="45"/>
        <v/>
      </c>
      <c r="Q220" s="5" t="str">
        <f t="shared" si="46"/>
        <v/>
      </c>
      <c r="R220" s="5" t="str">
        <f t="shared" si="47"/>
        <v/>
      </c>
    </row>
    <row r="221" spans="1:18" ht="20.25" x14ac:dyDescent="0.3">
      <c r="A221" s="14"/>
      <c r="B221" s="15">
        <v>217</v>
      </c>
      <c r="C221" s="22"/>
      <c r="D221" s="22"/>
      <c r="E221" s="16"/>
      <c r="F221" s="15"/>
      <c r="G221" s="15"/>
      <c r="H221" s="16"/>
      <c r="I221" s="15" t="str">
        <f t="shared" si="41"/>
        <v xml:space="preserve"> </v>
      </c>
      <c r="J221" s="15" t="str">
        <f t="shared" si="42"/>
        <v xml:space="preserve"> </v>
      </c>
      <c r="K221" s="15"/>
      <c r="L221" s="15">
        <f t="shared" si="48"/>
        <v>0</v>
      </c>
      <c r="M221" s="5" t="str">
        <f t="shared" si="43"/>
        <v/>
      </c>
      <c r="N221" s="25" t="str">
        <f>IF(ISBLANK($E221)," ", COUNTIF($M$4:$M221,$M221))</f>
        <v xml:space="preserve"> </v>
      </c>
      <c r="O221" s="25" t="str">
        <f t="shared" si="44"/>
        <v xml:space="preserve"> </v>
      </c>
      <c r="P221" s="5" t="str">
        <f t="shared" si="45"/>
        <v/>
      </c>
      <c r="Q221" s="5" t="str">
        <f t="shared" si="46"/>
        <v/>
      </c>
      <c r="R221" s="5" t="str">
        <f t="shared" si="47"/>
        <v/>
      </c>
    </row>
    <row r="222" spans="1:18" ht="20.25" x14ac:dyDescent="0.3">
      <c r="A222" s="14"/>
      <c r="B222" s="15">
        <v>218</v>
      </c>
      <c r="C222" s="22"/>
      <c r="D222" s="22"/>
      <c r="E222" s="16"/>
      <c r="F222" s="15"/>
      <c r="G222" s="15"/>
      <c r="H222" s="16"/>
      <c r="I222" s="15" t="str">
        <f t="shared" si="41"/>
        <v xml:space="preserve"> </v>
      </c>
      <c r="J222" s="15" t="str">
        <f t="shared" si="42"/>
        <v xml:space="preserve"> </v>
      </c>
      <c r="K222" s="15"/>
      <c r="L222" s="15">
        <f t="shared" si="48"/>
        <v>0</v>
      </c>
      <c r="M222" s="5" t="str">
        <f t="shared" si="43"/>
        <v/>
      </c>
      <c r="N222" s="25" t="str">
        <f>IF(ISBLANK($E222)," ", COUNTIF($M$4:$M222,$M222))</f>
        <v xml:space="preserve"> </v>
      </c>
      <c r="O222" s="25" t="str">
        <f t="shared" si="44"/>
        <v xml:space="preserve"> </v>
      </c>
      <c r="P222" s="5" t="str">
        <f t="shared" si="45"/>
        <v/>
      </c>
      <c r="Q222" s="5" t="str">
        <f t="shared" si="46"/>
        <v/>
      </c>
      <c r="R222" s="5" t="str">
        <f t="shared" si="47"/>
        <v/>
      </c>
    </row>
    <row r="223" spans="1:18" ht="20.25" x14ac:dyDescent="0.3">
      <c r="A223" s="14"/>
      <c r="B223" s="15">
        <v>219</v>
      </c>
      <c r="C223" s="22"/>
      <c r="D223" s="22"/>
      <c r="E223" s="16"/>
      <c r="F223" s="15"/>
      <c r="G223" s="15"/>
      <c r="H223" s="16"/>
      <c r="I223" s="15" t="str">
        <f t="shared" si="41"/>
        <v xml:space="preserve"> </v>
      </c>
      <c r="J223" s="15" t="str">
        <f t="shared" si="42"/>
        <v xml:space="preserve"> </v>
      </c>
      <c r="K223" s="15"/>
      <c r="L223" s="15">
        <f t="shared" si="48"/>
        <v>0</v>
      </c>
      <c r="M223" s="5" t="str">
        <f t="shared" si="43"/>
        <v/>
      </c>
      <c r="N223" s="25" t="str">
        <f>IF(ISBLANK($E223)," ", COUNTIF($M$4:$M223,$M223))</f>
        <v xml:space="preserve"> </v>
      </c>
      <c r="O223" s="25" t="str">
        <f t="shared" si="44"/>
        <v xml:space="preserve"> </v>
      </c>
      <c r="P223" s="5" t="str">
        <f t="shared" si="45"/>
        <v/>
      </c>
      <c r="Q223" s="5" t="str">
        <f t="shared" si="46"/>
        <v/>
      </c>
      <c r="R223" s="5" t="str">
        <f t="shared" si="47"/>
        <v/>
      </c>
    </row>
    <row r="224" spans="1:18" ht="20.25" x14ac:dyDescent="0.3">
      <c r="A224" s="14"/>
      <c r="B224" s="15">
        <v>220</v>
      </c>
      <c r="C224" s="22"/>
      <c r="D224" s="22"/>
      <c r="E224" s="16"/>
      <c r="F224" s="15"/>
      <c r="G224" s="15"/>
      <c r="H224" s="16"/>
      <c r="I224" s="15" t="str">
        <f t="shared" si="41"/>
        <v xml:space="preserve"> </v>
      </c>
      <c r="J224" s="15" t="str">
        <f t="shared" si="42"/>
        <v xml:space="preserve"> </v>
      </c>
      <c r="K224" s="15"/>
      <c r="L224" s="15">
        <f t="shared" si="48"/>
        <v>0</v>
      </c>
      <c r="M224" s="5" t="str">
        <f t="shared" si="43"/>
        <v/>
      </c>
      <c r="N224" s="25" t="str">
        <f>IF(ISBLANK($E224)," ", COUNTIF($M$4:$M224,$M224))</f>
        <v xml:space="preserve"> </v>
      </c>
      <c r="O224" s="25" t="str">
        <f t="shared" si="44"/>
        <v xml:space="preserve"> </v>
      </c>
      <c r="P224" s="5" t="str">
        <f t="shared" si="45"/>
        <v/>
      </c>
      <c r="Q224" s="5" t="str">
        <f t="shared" si="46"/>
        <v/>
      </c>
      <c r="R224" s="5" t="str">
        <f t="shared" si="47"/>
        <v/>
      </c>
    </row>
    <row r="225" spans="1:18" ht="20.25" x14ac:dyDescent="0.3">
      <c r="A225" s="14"/>
      <c r="B225" s="15">
        <v>221</v>
      </c>
      <c r="C225" s="22"/>
      <c r="D225" s="22"/>
      <c r="E225" s="16"/>
      <c r="F225" s="15"/>
      <c r="G225" s="15"/>
      <c r="H225" s="16"/>
      <c r="I225" s="15" t="str">
        <f t="shared" si="41"/>
        <v xml:space="preserve"> </v>
      </c>
      <c r="J225" s="15" t="str">
        <f t="shared" si="42"/>
        <v xml:space="preserve"> </v>
      </c>
      <c r="K225" s="15"/>
      <c r="L225" s="15">
        <f t="shared" si="48"/>
        <v>0</v>
      </c>
      <c r="M225" s="5" t="str">
        <f t="shared" si="43"/>
        <v/>
      </c>
      <c r="N225" s="25" t="str">
        <f>IF(ISBLANK($E225)," ", COUNTIF($M$4:$M225,$M225))</f>
        <v xml:space="preserve"> </v>
      </c>
      <c r="O225" s="25" t="str">
        <f t="shared" si="44"/>
        <v xml:space="preserve"> </v>
      </c>
      <c r="P225" s="5" t="str">
        <f t="shared" si="45"/>
        <v/>
      </c>
      <c r="Q225" s="5" t="str">
        <f t="shared" si="46"/>
        <v/>
      </c>
      <c r="R225" s="5" t="str">
        <f t="shared" si="47"/>
        <v/>
      </c>
    </row>
    <row r="226" spans="1:18" ht="20.25" x14ac:dyDescent="0.3">
      <c r="A226" s="14"/>
      <c r="B226" s="15">
        <v>222</v>
      </c>
      <c r="C226" s="22"/>
      <c r="D226" s="22"/>
      <c r="E226" s="16"/>
      <c r="F226" s="15"/>
      <c r="G226" s="15"/>
      <c r="H226" s="16"/>
      <c r="I226" s="15" t="str">
        <f t="shared" si="41"/>
        <v xml:space="preserve"> </v>
      </c>
      <c r="J226" s="15" t="str">
        <f t="shared" si="42"/>
        <v xml:space="preserve"> </v>
      </c>
      <c r="K226" s="15"/>
      <c r="L226" s="15">
        <f t="shared" si="48"/>
        <v>0</v>
      </c>
      <c r="M226" s="5" t="str">
        <f t="shared" si="43"/>
        <v/>
      </c>
      <c r="N226" s="25" t="str">
        <f>IF(ISBLANK($E226)," ", COUNTIF($M$4:$M226,$M226))</f>
        <v xml:space="preserve"> </v>
      </c>
      <c r="O226" s="25" t="str">
        <f t="shared" si="44"/>
        <v xml:space="preserve"> </v>
      </c>
      <c r="P226" s="5" t="str">
        <f t="shared" si="45"/>
        <v/>
      </c>
      <c r="Q226" s="5" t="str">
        <f t="shared" si="46"/>
        <v/>
      </c>
      <c r="R226" s="5" t="str">
        <f t="shared" si="47"/>
        <v/>
      </c>
    </row>
    <row r="227" spans="1:18" ht="20.25" x14ac:dyDescent="0.3">
      <c r="A227" s="14"/>
      <c r="B227" s="15">
        <v>223</v>
      </c>
      <c r="C227" s="22"/>
      <c r="D227" s="22"/>
      <c r="E227" s="16"/>
      <c r="F227" s="15"/>
      <c r="G227" s="15"/>
      <c r="H227" s="16"/>
      <c r="I227" s="15" t="str">
        <f t="shared" si="41"/>
        <v xml:space="preserve"> </v>
      </c>
      <c r="J227" s="15" t="str">
        <f t="shared" si="42"/>
        <v xml:space="preserve"> </v>
      </c>
      <c r="K227" s="15"/>
      <c r="L227" s="15">
        <f t="shared" si="48"/>
        <v>0</v>
      </c>
      <c r="M227" s="5" t="str">
        <f t="shared" si="43"/>
        <v/>
      </c>
      <c r="N227" s="25" t="str">
        <f>IF(ISBLANK($E227)," ", COUNTIF($M$4:$M227,$M227))</f>
        <v xml:space="preserve"> </v>
      </c>
      <c r="O227" s="25" t="str">
        <f t="shared" si="44"/>
        <v xml:space="preserve"> </v>
      </c>
      <c r="P227" s="5" t="str">
        <f t="shared" si="45"/>
        <v/>
      </c>
      <c r="Q227" s="5" t="str">
        <f t="shared" si="46"/>
        <v/>
      </c>
      <c r="R227" s="5" t="str">
        <f t="shared" si="47"/>
        <v/>
      </c>
    </row>
    <row r="228" spans="1:18" ht="20.25" x14ac:dyDescent="0.3">
      <c r="A228" s="14"/>
      <c r="B228" s="15">
        <v>224</v>
      </c>
      <c r="C228" s="22"/>
      <c r="D228" s="22"/>
      <c r="E228" s="16"/>
      <c r="F228" s="15"/>
      <c r="G228" s="15"/>
      <c r="H228" s="16"/>
      <c r="I228" s="15" t="str">
        <f t="shared" si="41"/>
        <v xml:space="preserve"> </v>
      </c>
      <c r="J228" s="15" t="str">
        <f t="shared" si="42"/>
        <v xml:space="preserve"> </v>
      </c>
      <c r="K228" s="15"/>
      <c r="L228" s="15">
        <f t="shared" si="48"/>
        <v>0</v>
      </c>
      <c r="M228" s="5" t="str">
        <f t="shared" si="43"/>
        <v/>
      </c>
      <c r="N228" s="25" t="str">
        <f>IF(ISBLANK($E228)," ", COUNTIF($M$4:$M228,$M228))</f>
        <v xml:space="preserve"> </v>
      </c>
      <c r="O228" s="25" t="str">
        <f t="shared" si="44"/>
        <v xml:space="preserve"> </v>
      </c>
      <c r="P228" s="5" t="str">
        <f t="shared" si="45"/>
        <v/>
      </c>
      <c r="Q228" s="5" t="str">
        <f t="shared" si="46"/>
        <v/>
      </c>
      <c r="R228" s="5" t="str">
        <f t="shared" si="47"/>
        <v/>
      </c>
    </row>
    <row r="229" spans="1:18" ht="20.25" x14ac:dyDescent="0.3">
      <c r="A229" s="14"/>
      <c r="B229" s="15">
        <v>225</v>
      </c>
      <c r="C229" s="22"/>
      <c r="D229" s="22"/>
      <c r="E229" s="16"/>
      <c r="F229" s="15"/>
      <c r="G229" s="15"/>
      <c r="H229" s="16"/>
      <c r="I229" s="15" t="str">
        <f t="shared" si="41"/>
        <v xml:space="preserve"> </v>
      </c>
      <c r="J229" s="15" t="str">
        <f t="shared" si="42"/>
        <v xml:space="preserve"> </v>
      </c>
      <c r="K229" s="15"/>
      <c r="L229" s="15">
        <f t="shared" si="48"/>
        <v>0</v>
      </c>
      <c r="M229" s="5" t="str">
        <f t="shared" si="43"/>
        <v/>
      </c>
      <c r="N229" s="25" t="str">
        <f>IF(ISBLANK($E229)," ", COUNTIF($M$4:$M229,$M229))</f>
        <v xml:space="preserve"> </v>
      </c>
      <c r="O229" s="25" t="str">
        <f t="shared" si="44"/>
        <v xml:space="preserve"> </v>
      </c>
      <c r="P229" s="5" t="str">
        <f t="shared" si="45"/>
        <v/>
      </c>
      <c r="Q229" s="5" t="str">
        <f t="shared" si="46"/>
        <v/>
      </c>
      <c r="R229" s="5" t="str">
        <f t="shared" si="47"/>
        <v/>
      </c>
    </row>
    <row r="230" spans="1:18" ht="20.25" x14ac:dyDescent="0.3">
      <c r="A230" s="14"/>
      <c r="B230" s="15">
        <v>226</v>
      </c>
      <c r="C230" s="22"/>
      <c r="D230" s="22"/>
      <c r="E230" s="16"/>
      <c r="F230" s="15"/>
      <c r="G230" s="15"/>
      <c r="H230" s="16"/>
      <c r="I230" s="15" t="str">
        <f t="shared" si="41"/>
        <v xml:space="preserve"> </v>
      </c>
      <c r="J230" s="15" t="str">
        <f t="shared" si="42"/>
        <v xml:space="preserve"> </v>
      </c>
      <c r="K230" s="15"/>
      <c r="L230" s="15">
        <f t="shared" si="48"/>
        <v>0</v>
      </c>
      <c r="M230" s="5" t="str">
        <f t="shared" si="43"/>
        <v/>
      </c>
      <c r="N230" s="25" t="str">
        <f>IF(ISBLANK($E230)," ", COUNTIF($M$4:$M230,$M230))</f>
        <v xml:space="preserve"> </v>
      </c>
      <c r="O230" s="25" t="str">
        <f t="shared" si="44"/>
        <v xml:space="preserve"> </v>
      </c>
      <c r="P230" s="5" t="str">
        <f t="shared" si="45"/>
        <v/>
      </c>
      <c r="Q230" s="5" t="str">
        <f t="shared" si="46"/>
        <v/>
      </c>
      <c r="R230" s="5" t="str">
        <f t="shared" si="47"/>
        <v/>
      </c>
    </row>
    <row r="231" spans="1:18" ht="20.25" x14ac:dyDescent="0.3">
      <c r="A231" s="14"/>
      <c r="B231" s="15">
        <v>227</v>
      </c>
      <c r="C231" s="22"/>
      <c r="D231" s="22"/>
      <c r="E231" s="23"/>
      <c r="F231" s="21"/>
      <c r="G231" s="21"/>
      <c r="H231" s="23"/>
      <c r="I231" s="15" t="str">
        <f t="shared" si="41"/>
        <v xml:space="preserve"> </v>
      </c>
      <c r="J231" s="15" t="str">
        <f t="shared" si="42"/>
        <v xml:space="preserve"> </v>
      </c>
      <c r="K231" s="15"/>
      <c r="L231" s="15">
        <f t="shared" si="48"/>
        <v>0</v>
      </c>
      <c r="M231" s="5" t="str">
        <f t="shared" si="43"/>
        <v/>
      </c>
      <c r="N231" s="25" t="str">
        <f>IF(ISBLANK($E231)," ", COUNTIF($M$4:$M231,$M231))</f>
        <v xml:space="preserve"> </v>
      </c>
      <c r="O231" s="25" t="str">
        <f t="shared" si="44"/>
        <v xml:space="preserve"> </v>
      </c>
      <c r="P231" s="5" t="str">
        <f t="shared" si="45"/>
        <v/>
      </c>
      <c r="Q231" s="5" t="str">
        <f t="shared" si="46"/>
        <v/>
      </c>
      <c r="R231" s="5" t="str">
        <f t="shared" si="47"/>
        <v/>
      </c>
    </row>
    <row r="232" spans="1:18" ht="20.25" x14ac:dyDescent="0.3">
      <c r="A232" s="14"/>
      <c r="B232" s="15">
        <v>228</v>
      </c>
      <c r="C232" s="22"/>
      <c r="D232" s="22"/>
      <c r="E232" s="23"/>
      <c r="F232" s="21"/>
      <c r="G232" s="21"/>
      <c r="H232" s="16"/>
      <c r="I232" s="15" t="str">
        <f t="shared" si="41"/>
        <v xml:space="preserve"> </v>
      </c>
      <c r="J232" s="15" t="str">
        <f t="shared" si="42"/>
        <v xml:space="preserve"> </v>
      </c>
      <c r="K232" s="15"/>
      <c r="L232" s="15">
        <f t="shared" si="48"/>
        <v>0</v>
      </c>
      <c r="M232" s="5" t="str">
        <f t="shared" si="43"/>
        <v/>
      </c>
      <c r="N232" s="25" t="str">
        <f>IF(ISBLANK($E232)," ", COUNTIF($M$4:$M232,$M232))</f>
        <v xml:space="preserve"> </v>
      </c>
      <c r="O232" s="25" t="str">
        <f t="shared" si="44"/>
        <v xml:space="preserve"> </v>
      </c>
      <c r="P232" s="5" t="str">
        <f t="shared" si="45"/>
        <v/>
      </c>
      <c r="Q232" s="5" t="str">
        <f t="shared" si="46"/>
        <v/>
      </c>
      <c r="R232" s="5" t="str">
        <f t="shared" si="47"/>
        <v/>
      </c>
    </row>
    <row r="233" spans="1:18" ht="20.25" x14ac:dyDescent="0.3">
      <c r="A233" s="14"/>
      <c r="B233" s="15">
        <v>229</v>
      </c>
      <c r="C233" s="22"/>
      <c r="D233" s="22"/>
      <c r="E233" s="23"/>
      <c r="F233" s="21"/>
      <c r="G233" s="21"/>
      <c r="H233" s="16"/>
      <c r="I233" s="15" t="str">
        <f t="shared" si="41"/>
        <v xml:space="preserve"> </v>
      </c>
      <c r="J233" s="15" t="str">
        <f t="shared" si="42"/>
        <v xml:space="preserve"> </v>
      </c>
      <c r="K233" s="15"/>
      <c r="L233" s="15">
        <f t="shared" si="48"/>
        <v>0</v>
      </c>
      <c r="M233" s="5" t="str">
        <f t="shared" si="43"/>
        <v/>
      </c>
      <c r="N233" s="25" t="str">
        <f>IF(ISBLANK($E233)," ", COUNTIF($M$4:$M233,$M233))</f>
        <v xml:space="preserve"> </v>
      </c>
      <c r="O233" s="25" t="str">
        <f t="shared" si="44"/>
        <v xml:space="preserve"> </v>
      </c>
      <c r="P233" s="5" t="str">
        <f t="shared" si="45"/>
        <v/>
      </c>
      <c r="Q233" s="5" t="str">
        <f t="shared" si="46"/>
        <v/>
      </c>
      <c r="R233" s="5" t="str">
        <f t="shared" si="47"/>
        <v/>
      </c>
    </row>
    <row r="234" spans="1:18" ht="20.25" x14ac:dyDescent="0.3">
      <c r="A234" s="14"/>
      <c r="B234" s="15">
        <v>230</v>
      </c>
      <c r="C234" s="22"/>
      <c r="D234" s="22"/>
      <c r="E234" s="23"/>
      <c r="F234" s="21"/>
      <c r="G234" s="21"/>
      <c r="H234" s="16"/>
      <c r="I234" s="15" t="str">
        <f t="shared" si="41"/>
        <v xml:space="preserve"> </v>
      </c>
      <c r="J234" s="15" t="str">
        <f t="shared" si="42"/>
        <v xml:space="preserve"> </v>
      </c>
      <c r="K234" s="15"/>
      <c r="L234" s="15">
        <f t="shared" si="48"/>
        <v>0</v>
      </c>
      <c r="M234" s="5" t="str">
        <f t="shared" si="43"/>
        <v/>
      </c>
      <c r="N234" s="25" t="str">
        <f>IF(ISBLANK($E234)," ", COUNTIF($M$4:$M234,$M234))</f>
        <v xml:space="preserve"> </v>
      </c>
      <c r="O234" s="25" t="str">
        <f t="shared" si="44"/>
        <v xml:space="preserve"> </v>
      </c>
      <c r="P234" s="5" t="str">
        <f t="shared" si="45"/>
        <v/>
      </c>
      <c r="Q234" s="5" t="str">
        <f t="shared" si="46"/>
        <v/>
      </c>
      <c r="R234" s="5" t="str">
        <f t="shared" si="47"/>
        <v/>
      </c>
    </row>
    <row r="235" spans="1:18" ht="20.25" x14ac:dyDescent="0.3">
      <c r="A235" s="14"/>
      <c r="B235" s="15">
        <v>231</v>
      </c>
      <c r="C235" s="22"/>
      <c r="D235" s="22"/>
      <c r="E235" s="23"/>
      <c r="F235" s="21"/>
      <c r="G235" s="21"/>
      <c r="H235" s="16"/>
      <c r="I235" s="15" t="str">
        <f t="shared" si="41"/>
        <v xml:space="preserve"> </v>
      </c>
      <c r="J235" s="15" t="str">
        <f t="shared" si="42"/>
        <v xml:space="preserve"> </v>
      </c>
      <c r="K235" s="15"/>
      <c r="L235" s="15">
        <f t="shared" si="48"/>
        <v>0</v>
      </c>
      <c r="M235" s="5" t="str">
        <f t="shared" si="43"/>
        <v/>
      </c>
      <c r="N235" s="25" t="str">
        <f>IF(ISBLANK($E235)," ", COUNTIF($M$4:$M235,$M235))</f>
        <v xml:space="preserve"> </v>
      </c>
      <c r="O235" s="25" t="str">
        <f t="shared" si="44"/>
        <v xml:space="preserve"> </v>
      </c>
      <c r="P235" s="5" t="str">
        <f t="shared" si="45"/>
        <v/>
      </c>
      <c r="Q235" s="5" t="str">
        <f t="shared" si="46"/>
        <v/>
      </c>
      <c r="R235" s="5" t="str">
        <f t="shared" si="47"/>
        <v/>
      </c>
    </row>
    <row r="236" spans="1:18" ht="20.25" x14ac:dyDescent="0.3">
      <c r="A236" s="14"/>
      <c r="B236" s="15">
        <v>232</v>
      </c>
      <c r="C236" s="22"/>
      <c r="D236" s="22"/>
      <c r="E236" s="23"/>
      <c r="F236" s="21"/>
      <c r="G236" s="21"/>
      <c r="H236" s="16"/>
      <c r="I236" s="15" t="str">
        <f t="shared" si="41"/>
        <v xml:space="preserve"> </v>
      </c>
      <c r="J236" s="15" t="str">
        <f t="shared" si="42"/>
        <v xml:space="preserve"> </v>
      </c>
      <c r="K236" s="15"/>
      <c r="L236" s="15">
        <f t="shared" si="48"/>
        <v>0</v>
      </c>
      <c r="M236" s="5" t="str">
        <f t="shared" si="43"/>
        <v/>
      </c>
      <c r="N236" s="25" t="str">
        <f>IF(ISBLANK($E236)," ", COUNTIF($M$4:$M236,$M236))</f>
        <v xml:space="preserve"> </v>
      </c>
      <c r="O236" s="25" t="str">
        <f t="shared" si="44"/>
        <v xml:space="preserve"> </v>
      </c>
      <c r="P236" s="5" t="str">
        <f t="shared" si="45"/>
        <v/>
      </c>
      <c r="Q236" s="5" t="str">
        <f t="shared" si="46"/>
        <v/>
      </c>
      <c r="R236" s="5" t="str">
        <f t="shared" si="47"/>
        <v/>
      </c>
    </row>
    <row r="237" spans="1:18" ht="20.25" x14ac:dyDescent="0.3">
      <c r="A237" s="14"/>
      <c r="B237" s="15">
        <v>233</v>
      </c>
      <c r="C237" s="22"/>
      <c r="D237" s="22"/>
      <c r="E237" s="23"/>
      <c r="F237" s="21"/>
      <c r="G237" s="21"/>
      <c r="H237" s="16"/>
      <c r="I237" s="15" t="str">
        <f t="shared" si="41"/>
        <v xml:space="preserve"> </v>
      </c>
      <c r="J237" s="15" t="str">
        <f t="shared" si="42"/>
        <v xml:space="preserve"> </v>
      </c>
      <c r="K237" s="15"/>
      <c r="L237" s="15">
        <f t="shared" si="48"/>
        <v>0</v>
      </c>
      <c r="M237" s="5" t="str">
        <f t="shared" si="43"/>
        <v/>
      </c>
      <c r="N237" s="25" t="str">
        <f>IF(ISBLANK($E237)," ", COUNTIF($M$4:$M237,$M237))</f>
        <v xml:space="preserve"> </v>
      </c>
      <c r="O237" s="25" t="str">
        <f t="shared" si="44"/>
        <v xml:space="preserve"> </v>
      </c>
      <c r="P237" s="5" t="str">
        <f t="shared" si="45"/>
        <v/>
      </c>
      <c r="Q237" s="5" t="str">
        <f t="shared" si="46"/>
        <v/>
      </c>
      <c r="R237" s="5" t="str">
        <f t="shared" si="47"/>
        <v/>
      </c>
    </row>
    <row r="238" spans="1:18" ht="20.25" x14ac:dyDescent="0.3">
      <c r="A238" s="14"/>
      <c r="B238" s="15">
        <v>234</v>
      </c>
      <c r="C238" s="22"/>
      <c r="D238" s="22"/>
      <c r="E238" s="23"/>
      <c r="F238" s="21"/>
      <c r="G238" s="21"/>
      <c r="H238" s="16"/>
      <c r="I238" s="15" t="str">
        <f t="shared" si="41"/>
        <v xml:space="preserve"> </v>
      </c>
      <c r="J238" s="15" t="str">
        <f t="shared" si="42"/>
        <v xml:space="preserve"> </v>
      </c>
      <c r="K238" s="15"/>
      <c r="L238" s="15">
        <f t="shared" si="48"/>
        <v>0</v>
      </c>
      <c r="M238" s="5" t="str">
        <f t="shared" si="43"/>
        <v/>
      </c>
      <c r="N238" s="25" t="str">
        <f>IF(ISBLANK($E238)," ", COUNTIF($M$4:$M238,$M238))</f>
        <v xml:space="preserve"> </v>
      </c>
      <c r="O238" s="25" t="str">
        <f t="shared" si="44"/>
        <v xml:space="preserve"> </v>
      </c>
      <c r="P238" s="5" t="str">
        <f t="shared" si="45"/>
        <v/>
      </c>
      <c r="Q238" s="5" t="str">
        <f t="shared" si="46"/>
        <v/>
      </c>
      <c r="R238" s="5" t="str">
        <f t="shared" si="47"/>
        <v/>
      </c>
    </row>
    <row r="239" spans="1:18" ht="20.25" x14ac:dyDescent="0.3">
      <c r="A239" s="14"/>
      <c r="B239" s="15">
        <v>235</v>
      </c>
      <c r="C239" s="22"/>
      <c r="D239" s="22"/>
      <c r="E239" s="23"/>
      <c r="F239" s="21"/>
      <c r="G239" s="21"/>
      <c r="H239" s="16"/>
      <c r="I239" s="15" t="str">
        <f t="shared" si="41"/>
        <v xml:space="preserve"> </v>
      </c>
      <c r="J239" s="15" t="str">
        <f t="shared" si="42"/>
        <v xml:space="preserve"> </v>
      </c>
      <c r="K239" s="15"/>
      <c r="L239" s="15">
        <f t="shared" si="48"/>
        <v>0</v>
      </c>
      <c r="M239" s="5" t="str">
        <f t="shared" si="43"/>
        <v/>
      </c>
      <c r="N239" s="25" t="str">
        <f>IF(ISBLANK($E239)," ", COUNTIF($M$4:$M239,$M239))</f>
        <v xml:space="preserve"> </v>
      </c>
      <c r="O239" s="25" t="str">
        <f t="shared" si="44"/>
        <v xml:space="preserve"> </v>
      </c>
      <c r="P239" s="5" t="str">
        <f t="shared" si="45"/>
        <v/>
      </c>
      <c r="Q239" s="5" t="str">
        <f t="shared" si="46"/>
        <v/>
      </c>
      <c r="R239" s="5" t="str">
        <f t="shared" si="47"/>
        <v/>
      </c>
    </row>
    <row r="240" spans="1:18" ht="20.25" x14ac:dyDescent="0.3">
      <c r="A240" s="14"/>
      <c r="B240" s="15">
        <v>236</v>
      </c>
      <c r="C240" s="22"/>
      <c r="D240" s="22"/>
      <c r="E240" s="23"/>
      <c r="F240" s="21"/>
      <c r="G240" s="21"/>
      <c r="H240" s="16"/>
      <c r="I240" s="15" t="str">
        <f t="shared" si="41"/>
        <v xml:space="preserve"> </v>
      </c>
      <c r="J240" s="15" t="str">
        <f t="shared" si="42"/>
        <v xml:space="preserve"> </v>
      </c>
      <c r="K240" s="15"/>
      <c r="L240" s="15">
        <f t="shared" si="48"/>
        <v>0</v>
      </c>
      <c r="M240" s="5" t="str">
        <f t="shared" si="43"/>
        <v/>
      </c>
      <c r="N240" s="25" t="str">
        <f>IF(ISBLANK($E240)," ", COUNTIF($M$4:$M240,$M240))</f>
        <v xml:space="preserve"> </v>
      </c>
      <c r="O240" s="25" t="str">
        <f t="shared" si="44"/>
        <v xml:space="preserve"> </v>
      </c>
      <c r="P240" s="5" t="str">
        <f t="shared" si="45"/>
        <v/>
      </c>
      <c r="Q240" s="5" t="str">
        <f t="shared" si="46"/>
        <v/>
      </c>
      <c r="R240" s="5" t="str">
        <f t="shared" si="47"/>
        <v/>
      </c>
    </row>
    <row r="241" spans="1:18" ht="20.25" x14ac:dyDescent="0.3">
      <c r="A241" s="14"/>
      <c r="B241" s="15">
        <v>237</v>
      </c>
      <c r="C241" s="22"/>
      <c r="D241" s="22"/>
      <c r="E241" s="23"/>
      <c r="F241" s="21"/>
      <c r="G241" s="21"/>
      <c r="H241" s="16"/>
      <c r="I241" s="15" t="str">
        <f t="shared" si="41"/>
        <v xml:space="preserve"> </v>
      </c>
      <c r="J241" s="15" t="str">
        <f t="shared" si="42"/>
        <v xml:space="preserve"> </v>
      </c>
      <c r="K241" s="15"/>
      <c r="L241" s="15">
        <f t="shared" si="48"/>
        <v>0</v>
      </c>
      <c r="M241" s="5" t="str">
        <f t="shared" si="43"/>
        <v/>
      </c>
      <c r="N241" s="25" t="str">
        <f>IF(ISBLANK($E241)," ", COUNTIF($M$4:$M241,$M241))</f>
        <v xml:space="preserve"> </v>
      </c>
      <c r="O241" s="25" t="str">
        <f t="shared" si="44"/>
        <v xml:space="preserve"> </v>
      </c>
      <c r="P241" s="5" t="str">
        <f t="shared" si="45"/>
        <v/>
      </c>
      <c r="Q241" s="5" t="str">
        <f t="shared" si="46"/>
        <v/>
      </c>
      <c r="R241" s="5" t="str">
        <f t="shared" si="47"/>
        <v/>
      </c>
    </row>
    <row r="242" spans="1:18" ht="20.25" x14ac:dyDescent="0.3">
      <c r="A242" s="14"/>
      <c r="B242" s="15">
        <v>238</v>
      </c>
      <c r="C242" s="22"/>
      <c r="D242" s="22"/>
      <c r="E242" s="23"/>
      <c r="F242" s="21"/>
      <c r="G242" s="21"/>
      <c r="H242" s="16"/>
      <c r="I242" s="15" t="str">
        <f t="shared" si="41"/>
        <v xml:space="preserve"> </v>
      </c>
      <c r="J242" s="15" t="str">
        <f t="shared" si="42"/>
        <v xml:space="preserve"> </v>
      </c>
      <c r="K242" s="15"/>
      <c r="L242" s="15">
        <f t="shared" si="48"/>
        <v>0</v>
      </c>
      <c r="M242" s="5" t="str">
        <f t="shared" si="43"/>
        <v/>
      </c>
      <c r="N242" s="25" t="str">
        <f>IF(ISBLANK($E242)," ", COUNTIF($M$4:$M242,$M242))</f>
        <v xml:space="preserve"> </v>
      </c>
      <c r="O242" s="25" t="str">
        <f t="shared" si="44"/>
        <v xml:space="preserve"> </v>
      </c>
      <c r="P242" s="5" t="str">
        <f t="shared" si="45"/>
        <v/>
      </c>
      <c r="Q242" s="5" t="str">
        <f t="shared" si="46"/>
        <v/>
      </c>
      <c r="R242" s="5" t="str">
        <f t="shared" si="47"/>
        <v/>
      </c>
    </row>
    <row r="243" spans="1:18" ht="20.25" x14ac:dyDescent="0.3">
      <c r="A243" s="14"/>
      <c r="B243" s="15">
        <v>239</v>
      </c>
      <c r="C243" s="22"/>
      <c r="D243" s="22"/>
      <c r="E243" s="23"/>
      <c r="F243" s="21"/>
      <c r="G243" s="21"/>
      <c r="H243" s="16"/>
      <c r="I243" s="15" t="str">
        <f t="shared" si="41"/>
        <v xml:space="preserve"> </v>
      </c>
      <c r="J243" s="15" t="str">
        <f t="shared" si="42"/>
        <v xml:space="preserve"> </v>
      </c>
      <c r="K243" s="15"/>
      <c r="L243" s="15">
        <f t="shared" si="48"/>
        <v>0</v>
      </c>
      <c r="M243" s="5" t="str">
        <f t="shared" si="43"/>
        <v/>
      </c>
      <c r="N243" s="25" t="str">
        <f>IF(ISBLANK($E243)," ", COUNTIF($M$4:$M243,$M243))</f>
        <v xml:space="preserve"> </v>
      </c>
      <c r="O243" s="25" t="str">
        <f t="shared" si="44"/>
        <v xml:space="preserve"> </v>
      </c>
      <c r="P243" s="5" t="str">
        <f t="shared" si="45"/>
        <v/>
      </c>
      <c r="Q243" s="5" t="str">
        <f t="shared" si="46"/>
        <v/>
      </c>
      <c r="R243" s="5" t="str">
        <f t="shared" si="47"/>
        <v/>
      </c>
    </row>
    <row r="244" spans="1:18" ht="20.25" x14ac:dyDescent="0.3">
      <c r="A244" s="14"/>
      <c r="B244" s="15">
        <v>240</v>
      </c>
      <c r="C244" s="22"/>
      <c r="D244" s="22"/>
      <c r="E244" s="23"/>
      <c r="F244" s="21"/>
      <c r="G244" s="21"/>
      <c r="H244" s="16"/>
      <c r="I244" s="15" t="str">
        <f t="shared" si="41"/>
        <v xml:space="preserve"> </v>
      </c>
      <c r="J244" s="15" t="str">
        <f t="shared" si="42"/>
        <v xml:space="preserve"> </v>
      </c>
      <c r="K244" s="15"/>
      <c r="L244" s="15">
        <f t="shared" si="48"/>
        <v>0</v>
      </c>
      <c r="M244" s="5" t="str">
        <f t="shared" si="43"/>
        <v/>
      </c>
      <c r="N244" s="25" t="str">
        <f>IF(ISBLANK($E244)," ", COUNTIF($M$4:$M244,$M244))</f>
        <v xml:space="preserve"> </v>
      </c>
      <c r="O244" s="25" t="str">
        <f t="shared" si="44"/>
        <v xml:space="preserve"> </v>
      </c>
      <c r="P244" s="5" t="str">
        <f t="shared" si="45"/>
        <v/>
      </c>
      <c r="Q244" s="5" t="str">
        <f t="shared" si="46"/>
        <v/>
      </c>
      <c r="R244" s="5" t="str">
        <f t="shared" si="47"/>
        <v/>
      </c>
    </row>
    <row r="245" spans="1:18" ht="20.25" x14ac:dyDescent="0.3">
      <c r="A245" s="14"/>
      <c r="B245" s="15">
        <v>241</v>
      </c>
      <c r="C245" s="22"/>
      <c r="D245" s="22"/>
      <c r="E245" s="23"/>
      <c r="F245" s="21"/>
      <c r="G245" s="21"/>
      <c r="H245" s="16"/>
      <c r="I245" s="15" t="str">
        <f t="shared" si="41"/>
        <v xml:space="preserve"> </v>
      </c>
      <c r="J245" s="15" t="str">
        <f t="shared" si="42"/>
        <v xml:space="preserve"> </v>
      </c>
      <c r="K245" s="15"/>
      <c r="L245" s="15">
        <f t="shared" si="48"/>
        <v>0</v>
      </c>
      <c r="M245" s="5" t="str">
        <f t="shared" si="43"/>
        <v/>
      </c>
      <c r="N245" s="25" t="str">
        <f>IF(ISBLANK($E245)," ", COUNTIF($M$4:$M245,$M245))</f>
        <v xml:space="preserve"> </v>
      </c>
      <c r="O245" s="25" t="str">
        <f t="shared" si="44"/>
        <v xml:space="preserve"> </v>
      </c>
      <c r="P245" s="5" t="str">
        <f t="shared" si="45"/>
        <v/>
      </c>
      <c r="Q245" s="5" t="str">
        <f t="shared" si="46"/>
        <v/>
      </c>
      <c r="R245" s="5" t="str">
        <f t="shared" si="47"/>
        <v/>
      </c>
    </row>
    <row r="246" spans="1:18" ht="20.25" x14ac:dyDescent="0.3">
      <c r="A246" s="14"/>
      <c r="B246" s="15">
        <v>242</v>
      </c>
      <c r="C246" s="22"/>
      <c r="D246" s="22"/>
      <c r="E246" s="23"/>
      <c r="F246" s="21"/>
      <c r="G246" s="21"/>
      <c r="H246" s="16"/>
      <c r="I246" s="15" t="str">
        <f t="shared" si="41"/>
        <v xml:space="preserve"> </v>
      </c>
      <c r="J246" s="15" t="str">
        <f t="shared" si="42"/>
        <v xml:space="preserve"> </v>
      </c>
      <c r="K246" s="15"/>
      <c r="L246" s="15">
        <f t="shared" si="48"/>
        <v>0</v>
      </c>
      <c r="M246" s="5" t="str">
        <f t="shared" si="43"/>
        <v/>
      </c>
      <c r="N246" s="25" t="str">
        <f>IF(ISBLANK($E246)," ", COUNTIF($M$4:$M246,$M246))</f>
        <v xml:space="preserve"> </v>
      </c>
      <c r="O246" s="25" t="str">
        <f t="shared" si="44"/>
        <v xml:space="preserve"> </v>
      </c>
      <c r="P246" s="5" t="str">
        <f t="shared" si="45"/>
        <v/>
      </c>
      <c r="Q246" s="5" t="str">
        <f t="shared" si="46"/>
        <v/>
      </c>
      <c r="R246" s="5" t="str">
        <f t="shared" si="47"/>
        <v/>
      </c>
    </row>
    <row r="247" spans="1:18" ht="20.25" x14ac:dyDescent="0.3">
      <c r="A247" s="14"/>
      <c r="B247" s="15">
        <v>243</v>
      </c>
      <c r="C247" s="22"/>
      <c r="D247" s="22"/>
      <c r="E247" s="23"/>
      <c r="F247" s="21"/>
      <c r="G247" s="21"/>
      <c r="H247" s="16"/>
      <c r="I247" s="15" t="str">
        <f t="shared" si="41"/>
        <v xml:space="preserve"> </v>
      </c>
      <c r="J247" s="15" t="str">
        <f t="shared" si="42"/>
        <v xml:space="preserve"> </v>
      </c>
      <c r="K247" s="15"/>
      <c r="L247" s="15">
        <f t="shared" si="48"/>
        <v>0</v>
      </c>
      <c r="M247" s="5" t="str">
        <f t="shared" si="43"/>
        <v/>
      </c>
      <c r="N247" s="25" t="str">
        <f>IF(ISBLANK($E247)," ", COUNTIF($M$4:$M247,$M247))</f>
        <v xml:space="preserve"> </v>
      </c>
      <c r="O247" s="25" t="str">
        <f t="shared" si="44"/>
        <v xml:space="preserve"> </v>
      </c>
      <c r="P247" s="5" t="str">
        <f t="shared" si="45"/>
        <v/>
      </c>
      <c r="Q247" s="5" t="str">
        <f t="shared" si="46"/>
        <v/>
      </c>
      <c r="R247" s="5" t="str">
        <f t="shared" si="47"/>
        <v/>
      </c>
    </row>
    <row r="248" spans="1:18" ht="20.25" x14ac:dyDescent="0.3">
      <c r="A248" s="14"/>
      <c r="B248" s="15">
        <v>244</v>
      </c>
      <c r="C248" s="22"/>
      <c r="D248" s="22"/>
      <c r="E248" s="23"/>
      <c r="F248" s="21"/>
      <c r="G248" s="21"/>
      <c r="H248" s="16"/>
      <c r="I248" s="15" t="str">
        <f t="shared" si="41"/>
        <v xml:space="preserve"> </v>
      </c>
      <c r="J248" s="15" t="str">
        <f t="shared" si="42"/>
        <v xml:space="preserve"> </v>
      </c>
      <c r="K248" s="15"/>
      <c r="L248" s="15">
        <f t="shared" si="48"/>
        <v>0</v>
      </c>
      <c r="M248" s="5" t="str">
        <f t="shared" si="43"/>
        <v/>
      </c>
      <c r="N248" s="25" t="str">
        <f>IF(ISBLANK($E248)," ", COUNTIF($M$4:$M248,$M248))</f>
        <v xml:space="preserve"> </v>
      </c>
      <c r="O248" s="25" t="str">
        <f t="shared" si="44"/>
        <v xml:space="preserve"> </v>
      </c>
      <c r="P248" s="5" t="str">
        <f t="shared" si="45"/>
        <v/>
      </c>
      <c r="Q248" s="5" t="str">
        <f t="shared" si="46"/>
        <v/>
      </c>
      <c r="R248" s="5" t="str">
        <f t="shared" si="47"/>
        <v/>
      </c>
    </row>
    <row r="249" spans="1:18" ht="20.25" x14ac:dyDescent="0.3">
      <c r="A249" s="14"/>
      <c r="B249" s="15">
        <v>245</v>
      </c>
      <c r="C249" s="22"/>
      <c r="D249" s="22"/>
      <c r="E249" s="23"/>
      <c r="F249" s="21"/>
      <c r="G249" s="21"/>
      <c r="H249" s="16"/>
      <c r="I249" s="15" t="str">
        <f t="shared" si="41"/>
        <v xml:space="preserve"> </v>
      </c>
      <c r="J249" s="15" t="str">
        <f t="shared" si="42"/>
        <v xml:space="preserve"> </v>
      </c>
      <c r="K249" s="15"/>
      <c r="L249" s="15">
        <f t="shared" si="48"/>
        <v>0</v>
      </c>
      <c r="M249" s="5" t="str">
        <f t="shared" si="43"/>
        <v/>
      </c>
      <c r="N249" s="25" t="str">
        <f>IF(ISBLANK($E249)," ", COUNTIF($M$4:$M249,$M249))</f>
        <v xml:space="preserve"> </v>
      </c>
      <c r="O249" s="25" t="str">
        <f t="shared" si="44"/>
        <v xml:space="preserve"> </v>
      </c>
      <c r="P249" s="5" t="str">
        <f t="shared" si="45"/>
        <v/>
      </c>
      <c r="Q249" s="5" t="str">
        <f t="shared" si="46"/>
        <v/>
      </c>
      <c r="R249" s="5" t="str">
        <f t="shared" si="47"/>
        <v/>
      </c>
    </row>
    <row r="250" spans="1:18" ht="20.25" x14ac:dyDescent="0.3">
      <c r="A250" s="14"/>
      <c r="B250" s="15">
        <v>246</v>
      </c>
      <c r="C250" s="22"/>
      <c r="D250" s="22"/>
      <c r="E250" s="23"/>
      <c r="F250" s="21"/>
      <c r="G250" s="21"/>
      <c r="H250" s="16"/>
      <c r="I250" s="15" t="str">
        <f t="shared" si="41"/>
        <v xml:space="preserve"> </v>
      </c>
      <c r="J250" s="15" t="str">
        <f t="shared" si="42"/>
        <v xml:space="preserve"> </v>
      </c>
      <c r="K250" s="15"/>
      <c r="L250" s="15">
        <f t="shared" si="48"/>
        <v>0</v>
      </c>
      <c r="M250" s="5" t="str">
        <f t="shared" si="43"/>
        <v/>
      </c>
      <c r="N250" s="25" t="str">
        <f>IF(ISBLANK($E250)," ", COUNTIF($M$4:$M250,$M250))</f>
        <v xml:space="preserve"> </v>
      </c>
      <c r="O250" s="25" t="str">
        <f t="shared" si="44"/>
        <v xml:space="preserve"> </v>
      </c>
      <c r="P250" s="5" t="str">
        <f t="shared" si="45"/>
        <v/>
      </c>
      <c r="Q250" s="5" t="str">
        <f t="shared" si="46"/>
        <v/>
      </c>
      <c r="R250" s="5" t="str">
        <f t="shared" si="47"/>
        <v/>
      </c>
    </row>
    <row r="251" spans="1:18" ht="20.25" x14ac:dyDescent="0.3">
      <c r="A251" s="14"/>
      <c r="B251" s="15">
        <v>247</v>
      </c>
      <c r="C251" s="22"/>
      <c r="D251" s="22"/>
      <c r="E251" s="23"/>
      <c r="F251" s="21"/>
      <c r="G251" s="21"/>
      <c r="H251" s="16"/>
      <c r="I251" s="15" t="str">
        <f t="shared" si="41"/>
        <v xml:space="preserve"> </v>
      </c>
      <c r="J251" s="15" t="str">
        <f t="shared" si="42"/>
        <v xml:space="preserve"> </v>
      </c>
      <c r="K251" s="15"/>
      <c r="L251" s="15">
        <f t="shared" si="48"/>
        <v>0</v>
      </c>
      <c r="M251" s="5" t="str">
        <f t="shared" si="43"/>
        <v/>
      </c>
      <c r="N251" s="25" t="str">
        <f>IF(ISBLANK($E251)," ", COUNTIF($M$4:$M251,$M251))</f>
        <v xml:space="preserve"> </v>
      </c>
      <c r="O251" s="25" t="str">
        <f t="shared" si="44"/>
        <v xml:space="preserve"> </v>
      </c>
      <c r="P251" s="5" t="str">
        <f t="shared" si="45"/>
        <v/>
      </c>
      <c r="Q251" s="5" t="str">
        <f t="shared" si="46"/>
        <v/>
      </c>
      <c r="R251" s="5" t="str">
        <f t="shared" si="47"/>
        <v/>
      </c>
    </row>
    <row r="252" spans="1:18" ht="20.25" x14ac:dyDescent="0.3">
      <c r="A252" s="14"/>
      <c r="B252" s="15">
        <v>248</v>
      </c>
      <c r="C252" s="22"/>
      <c r="D252" s="22"/>
      <c r="E252" s="23"/>
      <c r="F252" s="21"/>
      <c r="G252" s="21"/>
      <c r="H252" s="16"/>
      <c r="I252" s="15" t="str">
        <f t="shared" si="41"/>
        <v xml:space="preserve"> </v>
      </c>
      <c r="J252" s="15" t="str">
        <f t="shared" si="42"/>
        <v xml:space="preserve"> </v>
      </c>
      <c r="K252" s="15"/>
      <c r="L252" s="15">
        <f t="shared" si="48"/>
        <v>0</v>
      </c>
      <c r="M252" s="5" t="str">
        <f t="shared" si="43"/>
        <v/>
      </c>
      <c r="N252" s="25" t="str">
        <f>IF(ISBLANK($E252)," ", COUNTIF($M$4:$M252,$M252))</f>
        <v xml:space="preserve"> </v>
      </c>
      <c r="O252" s="25" t="str">
        <f t="shared" si="44"/>
        <v xml:space="preserve"> </v>
      </c>
      <c r="P252" s="5" t="str">
        <f t="shared" si="45"/>
        <v/>
      </c>
      <c r="Q252" s="5" t="str">
        <f t="shared" si="46"/>
        <v/>
      </c>
      <c r="R252" s="5" t="str">
        <f t="shared" si="47"/>
        <v/>
      </c>
    </row>
    <row r="253" spans="1:18" ht="20.25" x14ac:dyDescent="0.3">
      <c r="A253" s="14"/>
      <c r="B253" s="15">
        <v>249</v>
      </c>
      <c r="C253" s="22"/>
      <c r="D253" s="22"/>
      <c r="E253" s="23"/>
      <c r="F253" s="21"/>
      <c r="G253" s="21"/>
      <c r="H253" s="16"/>
      <c r="I253" s="15" t="str">
        <f t="shared" si="41"/>
        <v xml:space="preserve"> </v>
      </c>
      <c r="J253" s="15" t="str">
        <f t="shared" si="42"/>
        <v xml:space="preserve"> </v>
      </c>
      <c r="K253" s="15"/>
      <c r="L253" s="15">
        <f t="shared" si="48"/>
        <v>0</v>
      </c>
      <c r="M253" s="5" t="str">
        <f t="shared" si="43"/>
        <v/>
      </c>
      <c r="N253" s="25" t="str">
        <f>IF(ISBLANK($E253)," ", COUNTIF($M$4:$M253,$M253))</f>
        <v xml:space="preserve"> </v>
      </c>
      <c r="O253" s="25" t="str">
        <f t="shared" si="44"/>
        <v xml:space="preserve"> </v>
      </c>
      <c r="P253" s="5" t="str">
        <f t="shared" si="45"/>
        <v/>
      </c>
      <c r="Q253" s="5" t="str">
        <f t="shared" si="46"/>
        <v/>
      </c>
      <c r="R253" s="5" t="str">
        <f t="shared" si="47"/>
        <v/>
      </c>
    </row>
    <row r="254" spans="1:18" ht="20.25" x14ac:dyDescent="0.3">
      <c r="A254" s="14"/>
      <c r="B254" s="15">
        <v>250</v>
      </c>
      <c r="C254" s="22"/>
      <c r="D254" s="22"/>
      <c r="E254" s="23"/>
      <c r="F254" s="21"/>
      <c r="G254" s="21"/>
      <c r="H254" s="16"/>
      <c r="I254" s="15" t="str">
        <f t="shared" si="41"/>
        <v xml:space="preserve"> </v>
      </c>
      <c r="J254" s="15" t="str">
        <f t="shared" si="42"/>
        <v xml:space="preserve"> </v>
      </c>
      <c r="K254" s="15"/>
      <c r="L254" s="15">
        <f t="shared" si="48"/>
        <v>0</v>
      </c>
      <c r="M254" s="5" t="str">
        <f t="shared" si="43"/>
        <v/>
      </c>
      <c r="N254" s="25" t="str">
        <f>IF(ISBLANK($E254)," ", COUNTIF($M$4:$M254,$M254))</f>
        <v xml:space="preserve"> </v>
      </c>
      <c r="O254" s="25" t="str">
        <f t="shared" si="44"/>
        <v xml:space="preserve"> </v>
      </c>
      <c r="P254" s="5" t="str">
        <f t="shared" si="45"/>
        <v/>
      </c>
      <c r="Q254" s="5" t="str">
        <f t="shared" si="46"/>
        <v/>
      </c>
      <c r="R254" s="5" t="str">
        <f t="shared" si="47"/>
        <v/>
      </c>
    </row>
    <row r="255" spans="1:18" ht="20.25" x14ac:dyDescent="0.3">
      <c r="A255" s="14"/>
      <c r="B255" s="15">
        <v>251</v>
      </c>
      <c r="C255" s="22"/>
      <c r="D255" s="22"/>
      <c r="E255" s="23"/>
      <c r="F255" s="21"/>
      <c r="G255" s="21"/>
      <c r="H255" s="16"/>
      <c r="I255" s="15" t="str">
        <f t="shared" si="41"/>
        <v xml:space="preserve"> </v>
      </c>
      <c r="J255" s="15" t="str">
        <f t="shared" si="42"/>
        <v xml:space="preserve"> </v>
      </c>
      <c r="K255" s="15"/>
      <c r="L255" s="15">
        <f t="shared" si="48"/>
        <v>0</v>
      </c>
      <c r="M255" s="5" t="str">
        <f t="shared" si="43"/>
        <v/>
      </c>
      <c r="N255" s="25" t="str">
        <f>IF(ISBLANK($E255)," ", COUNTIF($M$4:$M255,$M255))</f>
        <v xml:space="preserve"> </v>
      </c>
      <c r="O255" s="25" t="str">
        <f t="shared" si="44"/>
        <v xml:space="preserve"> </v>
      </c>
      <c r="P255" s="5" t="str">
        <f t="shared" si="45"/>
        <v/>
      </c>
      <c r="Q255" s="5" t="str">
        <f t="shared" si="46"/>
        <v/>
      </c>
      <c r="R255" s="5" t="str">
        <f t="shared" si="47"/>
        <v/>
      </c>
    </row>
    <row r="256" spans="1:18" ht="20.25" x14ac:dyDescent="0.3">
      <c r="A256" s="14"/>
      <c r="B256" s="15">
        <v>252</v>
      </c>
      <c r="C256" s="22"/>
      <c r="D256" s="22"/>
      <c r="E256" s="23"/>
      <c r="F256" s="21"/>
      <c r="G256" s="21"/>
      <c r="H256" s="16"/>
      <c r="I256" s="15" t="str">
        <f t="shared" si="41"/>
        <v xml:space="preserve"> </v>
      </c>
      <c r="J256" s="15" t="str">
        <f t="shared" si="42"/>
        <v xml:space="preserve"> </v>
      </c>
      <c r="K256" s="15"/>
      <c r="L256" s="15">
        <f t="shared" si="48"/>
        <v>0</v>
      </c>
      <c r="M256" s="5" t="str">
        <f t="shared" si="43"/>
        <v/>
      </c>
      <c r="N256" s="25" t="str">
        <f>IF(ISBLANK($E256)," ", COUNTIF($M$4:$M256,$M256))</f>
        <v xml:space="preserve"> </v>
      </c>
      <c r="O256" s="25" t="str">
        <f t="shared" si="44"/>
        <v xml:space="preserve"> </v>
      </c>
      <c r="P256" s="5" t="str">
        <f t="shared" si="45"/>
        <v/>
      </c>
      <c r="Q256" s="5" t="str">
        <f t="shared" si="46"/>
        <v/>
      </c>
      <c r="R256" s="5" t="str">
        <f t="shared" si="47"/>
        <v/>
      </c>
    </row>
    <row r="257" spans="1:18" ht="20.25" x14ac:dyDescent="0.3">
      <c r="A257" s="14"/>
      <c r="B257" s="15">
        <v>253</v>
      </c>
      <c r="C257" s="22"/>
      <c r="D257" s="22"/>
      <c r="E257" s="23"/>
      <c r="F257" s="21"/>
      <c r="G257" s="21"/>
      <c r="H257" s="16"/>
      <c r="I257" s="15" t="str">
        <f t="shared" ref="I257:I320" si="49">IF(ISBLANK($E257)," ",IF($E257&gt;$H257,$C257,$F257))</f>
        <v xml:space="preserve"> </v>
      </c>
      <c r="J257" s="15" t="str">
        <f t="shared" ref="J257:J320" si="50">IF(ISBLANK($E257)," ",IF($E257&gt;$H257,$D257,$G257))</f>
        <v xml:space="preserve"> </v>
      </c>
      <c r="K257" s="15"/>
      <c r="L257" s="15">
        <f t="shared" si="48"/>
        <v>0</v>
      </c>
      <c r="M257" s="5" t="str">
        <f t="shared" ref="M257:M320" si="51">IF(ISBLANK($E257),"",VLOOKUP($I257,PLAYERS_IDS,2,FALSE)*VLOOKUP($J257,PLAYERS_IDS,2,FALSE))</f>
        <v/>
      </c>
      <c r="N257" s="25" t="str">
        <f>IF(ISBLANK($E257)," ", COUNTIF($M$4:$M257,$M257))</f>
        <v xml:space="preserve"> </v>
      </c>
      <c r="O257" s="25" t="str">
        <f t="shared" ref="O257:O320" si="52">IF(N257 =" ", " ", IF(N257=1,15,(IF(N257=2,15,(IF(N257=3,15,15))))))</f>
        <v xml:space="preserve"> </v>
      </c>
      <c r="P257" s="5" t="str">
        <f t="shared" ref="P257:P320" si="53">IF(ISBLANK($F257),"",VLOOKUP($C257,PLAYERS_IDS,2,FALSE)*VLOOKUP($D257,PLAYERS_IDS,2,FALSE))</f>
        <v/>
      </c>
      <c r="Q257" s="5" t="str">
        <f t="shared" ref="Q257:Q320" si="54">IF(ISBLANK($F257), "",VLOOKUP($F257,PLAYERS_IDS,2,FALSE)*VLOOKUP($G257,PLAYERS_IDS,2,FALSE))</f>
        <v/>
      </c>
      <c r="R257" s="5" t="str">
        <f t="shared" ref="R257:R320" si="55">IFERROR((P257*100000)+Q257,"")</f>
        <v/>
      </c>
    </row>
    <row r="258" spans="1:18" ht="20.25" x14ac:dyDescent="0.3">
      <c r="A258" s="14"/>
      <c r="B258" s="15">
        <v>254</v>
      </c>
      <c r="C258" s="22"/>
      <c r="D258" s="22"/>
      <c r="E258" s="23"/>
      <c r="F258" s="21"/>
      <c r="G258" s="21"/>
      <c r="H258" s="16"/>
      <c r="I258" s="15" t="str">
        <f t="shared" si="49"/>
        <v xml:space="preserve"> </v>
      </c>
      <c r="J258" s="15" t="str">
        <f t="shared" si="50"/>
        <v xml:space="preserve"> </v>
      </c>
      <c r="K258" s="15"/>
      <c r="L258" s="15">
        <f t="shared" ref="L258:L321" si="56">E258-H258</f>
        <v>0</v>
      </c>
      <c r="M258" s="5" t="str">
        <f t="shared" si="51"/>
        <v/>
      </c>
      <c r="N258" s="25" t="str">
        <f>IF(ISBLANK($E258)," ", COUNTIF($M$4:$M258,$M258))</f>
        <v xml:space="preserve"> </v>
      </c>
      <c r="O258" s="25" t="str">
        <f t="shared" si="52"/>
        <v xml:space="preserve"> </v>
      </c>
      <c r="P258" s="5" t="str">
        <f t="shared" si="53"/>
        <v/>
      </c>
      <c r="Q258" s="5" t="str">
        <f t="shared" si="54"/>
        <v/>
      </c>
      <c r="R258" s="5" t="str">
        <f t="shared" si="55"/>
        <v/>
      </c>
    </row>
    <row r="259" spans="1:18" ht="20.25" x14ac:dyDescent="0.3">
      <c r="A259" s="14"/>
      <c r="B259" s="15">
        <v>255</v>
      </c>
      <c r="C259" s="22"/>
      <c r="D259" s="22"/>
      <c r="E259" s="23"/>
      <c r="F259" s="21"/>
      <c r="G259" s="21"/>
      <c r="H259" s="16"/>
      <c r="I259" s="15" t="str">
        <f t="shared" si="49"/>
        <v xml:space="preserve"> </v>
      </c>
      <c r="J259" s="15" t="str">
        <f t="shared" si="50"/>
        <v xml:space="preserve"> </v>
      </c>
      <c r="K259" s="15"/>
      <c r="L259" s="15">
        <f t="shared" si="56"/>
        <v>0</v>
      </c>
      <c r="M259" s="5" t="str">
        <f t="shared" si="51"/>
        <v/>
      </c>
      <c r="N259" s="25" t="str">
        <f>IF(ISBLANK($E259)," ", COUNTIF($M$4:$M259,$M259))</f>
        <v xml:space="preserve"> </v>
      </c>
      <c r="O259" s="25" t="str">
        <f t="shared" si="52"/>
        <v xml:space="preserve"> </v>
      </c>
      <c r="P259" s="5" t="str">
        <f t="shared" si="53"/>
        <v/>
      </c>
      <c r="Q259" s="5" t="str">
        <f t="shared" si="54"/>
        <v/>
      </c>
      <c r="R259" s="5" t="str">
        <f t="shared" si="55"/>
        <v/>
      </c>
    </row>
    <row r="260" spans="1:18" ht="20.25" x14ac:dyDescent="0.3">
      <c r="A260" s="14"/>
      <c r="B260" s="15">
        <v>256</v>
      </c>
      <c r="C260" s="22"/>
      <c r="D260" s="22"/>
      <c r="E260" s="23"/>
      <c r="F260" s="21"/>
      <c r="G260" s="21"/>
      <c r="H260" s="16"/>
      <c r="I260" s="15" t="str">
        <f t="shared" si="49"/>
        <v xml:space="preserve"> </v>
      </c>
      <c r="J260" s="15" t="str">
        <f t="shared" si="50"/>
        <v xml:space="preserve"> </v>
      </c>
      <c r="K260" s="15"/>
      <c r="L260" s="15">
        <f t="shared" si="56"/>
        <v>0</v>
      </c>
      <c r="M260" s="5" t="str">
        <f t="shared" si="51"/>
        <v/>
      </c>
      <c r="N260" s="25" t="str">
        <f>IF(ISBLANK($E260)," ", COUNTIF($M$4:$M260,$M260))</f>
        <v xml:space="preserve"> </v>
      </c>
      <c r="O260" s="25" t="str">
        <f t="shared" si="52"/>
        <v xml:space="preserve"> </v>
      </c>
      <c r="P260" s="5" t="str">
        <f t="shared" si="53"/>
        <v/>
      </c>
      <c r="Q260" s="5" t="str">
        <f t="shared" si="54"/>
        <v/>
      </c>
      <c r="R260" s="5" t="str">
        <f t="shared" si="55"/>
        <v/>
      </c>
    </row>
    <row r="261" spans="1:18" ht="20.25" x14ac:dyDescent="0.3">
      <c r="A261" s="14"/>
      <c r="B261" s="15">
        <v>257</v>
      </c>
      <c r="C261" s="22"/>
      <c r="D261" s="22"/>
      <c r="E261" s="23"/>
      <c r="F261" s="21"/>
      <c r="G261" s="21"/>
      <c r="H261" s="16"/>
      <c r="I261" s="15" t="str">
        <f t="shared" si="49"/>
        <v xml:space="preserve"> </v>
      </c>
      <c r="J261" s="15" t="str">
        <f t="shared" si="50"/>
        <v xml:space="preserve"> </v>
      </c>
      <c r="K261" s="15"/>
      <c r="L261" s="15">
        <f t="shared" si="56"/>
        <v>0</v>
      </c>
      <c r="M261" s="5" t="str">
        <f t="shared" si="51"/>
        <v/>
      </c>
      <c r="N261" s="25" t="str">
        <f>IF(ISBLANK($E261)," ", COUNTIF($M$4:$M261,$M261))</f>
        <v xml:space="preserve"> </v>
      </c>
      <c r="O261" s="25" t="str">
        <f t="shared" si="52"/>
        <v xml:space="preserve"> </v>
      </c>
      <c r="P261" s="5" t="str">
        <f t="shared" si="53"/>
        <v/>
      </c>
      <c r="Q261" s="5" t="str">
        <f t="shared" si="54"/>
        <v/>
      </c>
      <c r="R261" s="5" t="str">
        <f t="shared" si="55"/>
        <v/>
      </c>
    </row>
    <row r="262" spans="1:18" ht="20.25" x14ac:dyDescent="0.3">
      <c r="A262" s="14"/>
      <c r="B262" s="15">
        <v>258</v>
      </c>
      <c r="C262" s="22"/>
      <c r="D262" s="22"/>
      <c r="E262" s="23"/>
      <c r="F262" s="21"/>
      <c r="G262" s="21"/>
      <c r="H262" s="16"/>
      <c r="I262" s="15" t="str">
        <f t="shared" si="49"/>
        <v xml:space="preserve"> </v>
      </c>
      <c r="J262" s="15" t="str">
        <f t="shared" si="50"/>
        <v xml:space="preserve"> </v>
      </c>
      <c r="K262" s="15"/>
      <c r="L262" s="15">
        <f t="shared" si="56"/>
        <v>0</v>
      </c>
      <c r="M262" s="5" t="str">
        <f t="shared" si="51"/>
        <v/>
      </c>
      <c r="N262" s="25" t="str">
        <f>IF(ISBLANK($E262)," ", COUNTIF($M$4:$M262,$M262))</f>
        <v xml:space="preserve"> </v>
      </c>
      <c r="O262" s="25" t="str">
        <f t="shared" si="52"/>
        <v xml:space="preserve"> </v>
      </c>
      <c r="P262" s="5" t="str">
        <f t="shared" si="53"/>
        <v/>
      </c>
      <c r="Q262" s="5" t="str">
        <f t="shared" si="54"/>
        <v/>
      </c>
      <c r="R262" s="5" t="str">
        <f t="shared" si="55"/>
        <v/>
      </c>
    </row>
    <row r="263" spans="1:18" ht="20.25" x14ac:dyDescent="0.3">
      <c r="A263" s="14"/>
      <c r="B263" s="15">
        <v>259</v>
      </c>
      <c r="C263" s="22"/>
      <c r="D263" s="22"/>
      <c r="E263" s="23"/>
      <c r="F263" s="21"/>
      <c r="G263" s="21"/>
      <c r="H263" s="16"/>
      <c r="I263" s="15" t="str">
        <f t="shared" si="49"/>
        <v xml:space="preserve"> </v>
      </c>
      <c r="J263" s="15" t="str">
        <f t="shared" si="50"/>
        <v xml:space="preserve"> </v>
      </c>
      <c r="K263" s="15"/>
      <c r="L263" s="15">
        <f t="shared" si="56"/>
        <v>0</v>
      </c>
      <c r="M263" s="5" t="str">
        <f t="shared" si="51"/>
        <v/>
      </c>
      <c r="N263" s="25" t="str">
        <f>IF(ISBLANK($E263)," ", COUNTIF($M$4:$M263,$M263))</f>
        <v xml:space="preserve"> </v>
      </c>
      <c r="O263" s="25" t="str">
        <f t="shared" si="52"/>
        <v xml:space="preserve"> </v>
      </c>
      <c r="P263" s="5" t="str">
        <f t="shared" si="53"/>
        <v/>
      </c>
      <c r="Q263" s="5" t="str">
        <f t="shared" si="54"/>
        <v/>
      </c>
      <c r="R263" s="5" t="str">
        <f t="shared" si="55"/>
        <v/>
      </c>
    </row>
    <row r="264" spans="1:18" ht="20.25" x14ac:dyDescent="0.3">
      <c r="A264" s="14"/>
      <c r="B264" s="15">
        <v>260</v>
      </c>
      <c r="C264" s="22"/>
      <c r="D264" s="22"/>
      <c r="E264" s="23"/>
      <c r="F264" s="21"/>
      <c r="G264" s="21"/>
      <c r="H264" s="16"/>
      <c r="I264" s="15" t="str">
        <f t="shared" si="49"/>
        <v xml:space="preserve"> </v>
      </c>
      <c r="J264" s="15" t="str">
        <f t="shared" si="50"/>
        <v xml:space="preserve"> </v>
      </c>
      <c r="K264" s="15"/>
      <c r="L264" s="15">
        <f t="shared" si="56"/>
        <v>0</v>
      </c>
      <c r="M264" s="5" t="str">
        <f t="shared" si="51"/>
        <v/>
      </c>
      <c r="N264" s="25" t="str">
        <f>IF(ISBLANK($E264)," ", COUNTIF($M$4:$M264,$M264))</f>
        <v xml:space="preserve"> </v>
      </c>
      <c r="O264" s="25" t="str">
        <f t="shared" si="52"/>
        <v xml:space="preserve"> </v>
      </c>
      <c r="P264" s="5" t="str">
        <f t="shared" si="53"/>
        <v/>
      </c>
      <c r="Q264" s="5" t="str">
        <f t="shared" si="54"/>
        <v/>
      </c>
      <c r="R264" s="5" t="str">
        <f t="shared" si="55"/>
        <v/>
      </c>
    </row>
    <row r="265" spans="1:18" ht="20.25" x14ac:dyDescent="0.3">
      <c r="A265" s="14"/>
      <c r="B265" s="15">
        <v>261</v>
      </c>
      <c r="C265" s="22"/>
      <c r="D265" s="22"/>
      <c r="E265" s="23"/>
      <c r="F265" s="21"/>
      <c r="G265" s="21"/>
      <c r="H265" s="16"/>
      <c r="I265" s="15" t="str">
        <f t="shared" si="49"/>
        <v xml:space="preserve"> </v>
      </c>
      <c r="J265" s="15" t="str">
        <f t="shared" si="50"/>
        <v xml:space="preserve"> </v>
      </c>
      <c r="K265" s="15"/>
      <c r="L265" s="15">
        <f t="shared" si="56"/>
        <v>0</v>
      </c>
      <c r="M265" s="5" t="str">
        <f t="shared" si="51"/>
        <v/>
      </c>
      <c r="N265" s="25" t="str">
        <f>IF(ISBLANK($E265)," ", COUNTIF($M$4:$M265,$M265))</f>
        <v xml:space="preserve"> </v>
      </c>
      <c r="O265" s="25" t="str">
        <f t="shared" si="52"/>
        <v xml:space="preserve"> </v>
      </c>
      <c r="P265" s="5" t="str">
        <f t="shared" si="53"/>
        <v/>
      </c>
      <c r="Q265" s="5" t="str">
        <f t="shared" si="54"/>
        <v/>
      </c>
      <c r="R265" s="5" t="str">
        <f t="shared" si="55"/>
        <v/>
      </c>
    </row>
    <row r="266" spans="1:18" ht="20.25" x14ac:dyDescent="0.3">
      <c r="A266" s="14"/>
      <c r="B266" s="15">
        <v>262</v>
      </c>
      <c r="C266" s="22"/>
      <c r="D266" s="22"/>
      <c r="E266" s="23"/>
      <c r="F266" s="21"/>
      <c r="G266" s="21"/>
      <c r="H266" s="16"/>
      <c r="I266" s="15" t="str">
        <f t="shared" si="49"/>
        <v xml:space="preserve"> </v>
      </c>
      <c r="J266" s="15" t="str">
        <f t="shared" si="50"/>
        <v xml:space="preserve"> </v>
      </c>
      <c r="K266" s="15"/>
      <c r="L266" s="15">
        <f t="shared" si="56"/>
        <v>0</v>
      </c>
      <c r="M266" s="5" t="str">
        <f t="shared" si="51"/>
        <v/>
      </c>
      <c r="N266" s="25" t="str">
        <f>IF(ISBLANK($E266)," ", COUNTIF($M$4:$M266,$M266))</f>
        <v xml:space="preserve"> </v>
      </c>
      <c r="O266" s="25" t="str">
        <f t="shared" si="52"/>
        <v xml:space="preserve"> </v>
      </c>
      <c r="P266" s="5" t="str">
        <f t="shared" si="53"/>
        <v/>
      </c>
      <c r="Q266" s="5" t="str">
        <f t="shared" si="54"/>
        <v/>
      </c>
      <c r="R266" s="5" t="str">
        <f t="shared" si="55"/>
        <v/>
      </c>
    </row>
    <row r="267" spans="1:18" ht="20.25" x14ac:dyDescent="0.3">
      <c r="A267" s="14"/>
      <c r="B267" s="15">
        <v>263</v>
      </c>
      <c r="C267" s="22"/>
      <c r="D267" s="22"/>
      <c r="E267" s="23"/>
      <c r="F267" s="21"/>
      <c r="G267" s="21"/>
      <c r="H267" s="16"/>
      <c r="I267" s="15" t="str">
        <f t="shared" si="49"/>
        <v xml:space="preserve"> </v>
      </c>
      <c r="J267" s="15" t="str">
        <f t="shared" si="50"/>
        <v xml:space="preserve"> </v>
      </c>
      <c r="K267" s="15"/>
      <c r="L267" s="15">
        <f t="shared" si="56"/>
        <v>0</v>
      </c>
      <c r="M267" s="5" t="str">
        <f t="shared" si="51"/>
        <v/>
      </c>
      <c r="N267" s="25" t="str">
        <f>IF(ISBLANK($E267)," ", COUNTIF($M$4:$M267,$M267))</f>
        <v xml:space="preserve"> </v>
      </c>
      <c r="O267" s="25" t="str">
        <f t="shared" si="52"/>
        <v xml:space="preserve"> </v>
      </c>
      <c r="P267" s="5" t="str">
        <f t="shared" si="53"/>
        <v/>
      </c>
      <c r="Q267" s="5" t="str">
        <f t="shared" si="54"/>
        <v/>
      </c>
      <c r="R267" s="5" t="str">
        <f t="shared" si="55"/>
        <v/>
      </c>
    </row>
    <row r="268" spans="1:18" ht="20.25" x14ac:dyDescent="0.3">
      <c r="A268" s="14"/>
      <c r="B268" s="15">
        <v>264</v>
      </c>
      <c r="C268" s="22"/>
      <c r="D268" s="22"/>
      <c r="E268" s="23"/>
      <c r="F268" s="21"/>
      <c r="G268" s="21"/>
      <c r="H268" s="16"/>
      <c r="I268" s="15" t="str">
        <f t="shared" si="49"/>
        <v xml:space="preserve"> </v>
      </c>
      <c r="J268" s="15" t="str">
        <f t="shared" si="50"/>
        <v xml:space="preserve"> </v>
      </c>
      <c r="K268" s="15"/>
      <c r="L268" s="15">
        <f t="shared" si="56"/>
        <v>0</v>
      </c>
      <c r="M268" s="5" t="str">
        <f t="shared" si="51"/>
        <v/>
      </c>
      <c r="N268" s="25" t="str">
        <f>IF(ISBLANK($E268)," ", COUNTIF($M$4:$M268,$M268))</f>
        <v xml:space="preserve"> </v>
      </c>
      <c r="O268" s="25" t="str">
        <f t="shared" si="52"/>
        <v xml:space="preserve"> </v>
      </c>
      <c r="P268" s="5" t="str">
        <f t="shared" si="53"/>
        <v/>
      </c>
      <c r="Q268" s="5" t="str">
        <f t="shared" si="54"/>
        <v/>
      </c>
      <c r="R268" s="5" t="str">
        <f t="shared" si="55"/>
        <v/>
      </c>
    </row>
    <row r="269" spans="1:18" ht="20.25" x14ac:dyDescent="0.3">
      <c r="A269" s="14"/>
      <c r="B269" s="15">
        <v>265</v>
      </c>
      <c r="C269" s="22"/>
      <c r="D269" s="22"/>
      <c r="E269" s="23"/>
      <c r="F269" s="21"/>
      <c r="G269" s="21"/>
      <c r="H269" s="16"/>
      <c r="I269" s="15" t="str">
        <f t="shared" si="49"/>
        <v xml:space="preserve"> </v>
      </c>
      <c r="J269" s="15" t="str">
        <f t="shared" si="50"/>
        <v xml:space="preserve"> </v>
      </c>
      <c r="K269" s="15"/>
      <c r="L269" s="15">
        <f t="shared" si="56"/>
        <v>0</v>
      </c>
      <c r="M269" s="5" t="str">
        <f t="shared" si="51"/>
        <v/>
      </c>
      <c r="N269" s="25" t="str">
        <f>IF(ISBLANK($E269)," ", COUNTIF($M$4:$M269,$M269))</f>
        <v xml:space="preserve"> </v>
      </c>
      <c r="O269" s="25" t="str">
        <f t="shared" si="52"/>
        <v xml:space="preserve"> </v>
      </c>
      <c r="P269" s="5" t="str">
        <f t="shared" si="53"/>
        <v/>
      </c>
      <c r="Q269" s="5" t="str">
        <f t="shared" si="54"/>
        <v/>
      </c>
      <c r="R269" s="5" t="str">
        <f t="shared" si="55"/>
        <v/>
      </c>
    </row>
    <row r="270" spans="1:18" ht="20.25" x14ac:dyDescent="0.3">
      <c r="A270" s="14"/>
      <c r="B270" s="15">
        <v>266</v>
      </c>
      <c r="C270" s="22"/>
      <c r="D270" s="22"/>
      <c r="E270" s="23"/>
      <c r="F270" s="21"/>
      <c r="G270" s="21"/>
      <c r="H270" s="16"/>
      <c r="I270" s="15" t="str">
        <f t="shared" si="49"/>
        <v xml:space="preserve"> </v>
      </c>
      <c r="J270" s="15" t="str">
        <f t="shared" si="50"/>
        <v xml:space="preserve"> </v>
      </c>
      <c r="K270" s="15"/>
      <c r="L270" s="15">
        <f t="shared" si="56"/>
        <v>0</v>
      </c>
      <c r="M270" s="5" t="str">
        <f t="shared" si="51"/>
        <v/>
      </c>
      <c r="N270" s="25" t="str">
        <f>IF(ISBLANK($E270)," ", COUNTIF($M$4:$M270,$M270))</f>
        <v xml:space="preserve"> </v>
      </c>
      <c r="O270" s="25" t="str">
        <f t="shared" si="52"/>
        <v xml:space="preserve"> </v>
      </c>
      <c r="P270" s="5" t="str">
        <f t="shared" si="53"/>
        <v/>
      </c>
      <c r="Q270" s="5" t="str">
        <f t="shared" si="54"/>
        <v/>
      </c>
      <c r="R270" s="5" t="str">
        <f t="shared" si="55"/>
        <v/>
      </c>
    </row>
    <row r="271" spans="1:18" ht="20.25" x14ac:dyDescent="0.3">
      <c r="A271" s="14"/>
      <c r="B271" s="15">
        <v>267</v>
      </c>
      <c r="C271" s="22"/>
      <c r="D271" s="22"/>
      <c r="E271" s="23"/>
      <c r="F271" s="21"/>
      <c r="G271" s="21"/>
      <c r="H271" s="16"/>
      <c r="I271" s="15" t="str">
        <f t="shared" si="49"/>
        <v xml:space="preserve"> </v>
      </c>
      <c r="J271" s="15" t="str">
        <f t="shared" si="50"/>
        <v xml:space="preserve"> </v>
      </c>
      <c r="K271" s="15"/>
      <c r="L271" s="15">
        <f t="shared" si="56"/>
        <v>0</v>
      </c>
      <c r="M271" s="5" t="str">
        <f t="shared" si="51"/>
        <v/>
      </c>
      <c r="N271" s="25" t="str">
        <f>IF(ISBLANK($E271)," ", COUNTIF($M$4:$M271,$M271))</f>
        <v xml:space="preserve"> </v>
      </c>
      <c r="O271" s="25" t="str">
        <f t="shared" si="52"/>
        <v xml:space="preserve"> </v>
      </c>
      <c r="P271" s="5" t="str">
        <f t="shared" si="53"/>
        <v/>
      </c>
      <c r="Q271" s="5" t="str">
        <f t="shared" si="54"/>
        <v/>
      </c>
      <c r="R271" s="5" t="str">
        <f t="shared" si="55"/>
        <v/>
      </c>
    </row>
    <row r="272" spans="1:18" ht="20.25" x14ac:dyDescent="0.3">
      <c r="A272" s="14"/>
      <c r="B272" s="15">
        <v>268</v>
      </c>
      <c r="C272" s="22"/>
      <c r="D272" s="22"/>
      <c r="E272" s="23"/>
      <c r="F272" s="21"/>
      <c r="G272" s="21"/>
      <c r="H272" s="16"/>
      <c r="I272" s="15" t="str">
        <f t="shared" si="49"/>
        <v xml:space="preserve"> </v>
      </c>
      <c r="J272" s="15" t="str">
        <f t="shared" si="50"/>
        <v xml:space="preserve"> </v>
      </c>
      <c r="K272" s="15"/>
      <c r="L272" s="15">
        <f t="shared" si="56"/>
        <v>0</v>
      </c>
      <c r="M272" s="5" t="str">
        <f t="shared" si="51"/>
        <v/>
      </c>
      <c r="N272" s="25" t="str">
        <f>IF(ISBLANK($E272)," ", COUNTIF($M$4:$M272,$M272))</f>
        <v xml:space="preserve"> </v>
      </c>
      <c r="O272" s="25" t="str">
        <f t="shared" si="52"/>
        <v xml:space="preserve"> </v>
      </c>
      <c r="P272" s="5" t="str">
        <f t="shared" si="53"/>
        <v/>
      </c>
      <c r="Q272" s="5" t="str">
        <f t="shared" si="54"/>
        <v/>
      </c>
      <c r="R272" s="5" t="str">
        <f t="shared" si="55"/>
        <v/>
      </c>
    </row>
    <row r="273" spans="1:18" ht="20.25" x14ac:dyDescent="0.3">
      <c r="A273" s="14"/>
      <c r="B273" s="15">
        <v>269</v>
      </c>
      <c r="C273" s="22"/>
      <c r="D273" s="22"/>
      <c r="E273" s="23"/>
      <c r="F273" s="21"/>
      <c r="G273" s="21"/>
      <c r="H273" s="16"/>
      <c r="I273" s="15" t="str">
        <f t="shared" si="49"/>
        <v xml:space="preserve"> </v>
      </c>
      <c r="J273" s="15" t="str">
        <f t="shared" si="50"/>
        <v xml:space="preserve"> </v>
      </c>
      <c r="K273" s="15"/>
      <c r="L273" s="15">
        <f t="shared" si="56"/>
        <v>0</v>
      </c>
      <c r="M273" s="5" t="str">
        <f t="shared" si="51"/>
        <v/>
      </c>
      <c r="N273" s="25" t="str">
        <f>IF(ISBLANK($E273)," ", COUNTIF($M$4:$M273,$M273))</f>
        <v xml:space="preserve"> </v>
      </c>
      <c r="O273" s="25" t="str">
        <f t="shared" si="52"/>
        <v xml:space="preserve"> </v>
      </c>
      <c r="P273" s="5" t="str">
        <f t="shared" si="53"/>
        <v/>
      </c>
      <c r="Q273" s="5" t="str">
        <f t="shared" si="54"/>
        <v/>
      </c>
      <c r="R273" s="5" t="str">
        <f t="shared" si="55"/>
        <v/>
      </c>
    </row>
    <row r="274" spans="1:18" ht="20.25" x14ac:dyDescent="0.3">
      <c r="A274" s="14"/>
      <c r="B274" s="15">
        <v>270</v>
      </c>
      <c r="C274" s="22"/>
      <c r="D274" s="22"/>
      <c r="E274" s="23"/>
      <c r="F274" s="21"/>
      <c r="G274" s="21"/>
      <c r="H274" s="16"/>
      <c r="I274" s="15" t="str">
        <f t="shared" si="49"/>
        <v xml:space="preserve"> </v>
      </c>
      <c r="J274" s="15" t="str">
        <f t="shared" si="50"/>
        <v xml:space="preserve"> </v>
      </c>
      <c r="K274" s="15"/>
      <c r="L274" s="15">
        <f t="shared" si="56"/>
        <v>0</v>
      </c>
      <c r="M274" s="5" t="str">
        <f t="shared" si="51"/>
        <v/>
      </c>
      <c r="N274" s="25" t="str">
        <f>IF(ISBLANK($E274)," ", COUNTIF($M$4:$M274,$M274))</f>
        <v xml:space="preserve"> </v>
      </c>
      <c r="O274" s="25" t="str">
        <f t="shared" si="52"/>
        <v xml:space="preserve"> </v>
      </c>
      <c r="P274" s="5" t="str">
        <f t="shared" si="53"/>
        <v/>
      </c>
      <c r="Q274" s="5" t="str">
        <f t="shared" si="54"/>
        <v/>
      </c>
      <c r="R274" s="5" t="str">
        <f t="shared" si="55"/>
        <v/>
      </c>
    </row>
    <row r="275" spans="1:18" ht="20.25" x14ac:dyDescent="0.3">
      <c r="A275" s="14"/>
      <c r="B275" s="15">
        <v>271</v>
      </c>
      <c r="C275" s="22"/>
      <c r="D275" s="22"/>
      <c r="E275" s="23"/>
      <c r="F275" s="21"/>
      <c r="G275" s="21"/>
      <c r="H275" s="16"/>
      <c r="I275" s="15" t="str">
        <f t="shared" si="49"/>
        <v xml:space="preserve"> </v>
      </c>
      <c r="J275" s="15" t="str">
        <f t="shared" si="50"/>
        <v xml:space="preserve"> </v>
      </c>
      <c r="K275" s="15"/>
      <c r="L275" s="15">
        <f t="shared" si="56"/>
        <v>0</v>
      </c>
      <c r="M275" s="5" t="str">
        <f t="shared" si="51"/>
        <v/>
      </c>
      <c r="N275" s="25" t="str">
        <f>IF(ISBLANK($E275)," ", COUNTIF($M$4:$M275,$M275))</f>
        <v xml:space="preserve"> </v>
      </c>
      <c r="O275" s="25" t="str">
        <f t="shared" si="52"/>
        <v xml:space="preserve"> </v>
      </c>
      <c r="P275" s="5" t="str">
        <f t="shared" si="53"/>
        <v/>
      </c>
      <c r="Q275" s="5" t="str">
        <f t="shared" si="54"/>
        <v/>
      </c>
      <c r="R275" s="5" t="str">
        <f t="shared" si="55"/>
        <v/>
      </c>
    </row>
    <row r="276" spans="1:18" ht="20.25" x14ac:dyDescent="0.3">
      <c r="A276" s="14"/>
      <c r="B276" s="15">
        <v>272</v>
      </c>
      <c r="C276" s="22"/>
      <c r="D276" s="22"/>
      <c r="E276" s="23"/>
      <c r="F276" s="21"/>
      <c r="G276" s="21"/>
      <c r="H276" s="16"/>
      <c r="I276" s="15" t="str">
        <f t="shared" si="49"/>
        <v xml:space="preserve"> </v>
      </c>
      <c r="J276" s="15" t="str">
        <f t="shared" si="50"/>
        <v xml:space="preserve"> </v>
      </c>
      <c r="K276" s="15"/>
      <c r="L276" s="15">
        <f t="shared" si="56"/>
        <v>0</v>
      </c>
      <c r="M276" s="5" t="str">
        <f t="shared" si="51"/>
        <v/>
      </c>
      <c r="N276" s="25" t="str">
        <f>IF(ISBLANK($E276)," ", COUNTIF($M$4:$M276,$M276))</f>
        <v xml:space="preserve"> </v>
      </c>
      <c r="O276" s="25" t="str">
        <f t="shared" si="52"/>
        <v xml:space="preserve"> </v>
      </c>
      <c r="P276" s="5" t="str">
        <f t="shared" si="53"/>
        <v/>
      </c>
      <c r="Q276" s="5" t="str">
        <f t="shared" si="54"/>
        <v/>
      </c>
      <c r="R276" s="5" t="str">
        <f t="shared" si="55"/>
        <v/>
      </c>
    </row>
    <row r="277" spans="1:18" ht="20.25" x14ac:dyDescent="0.3">
      <c r="A277" s="14"/>
      <c r="B277" s="15">
        <v>273</v>
      </c>
      <c r="C277" s="22"/>
      <c r="D277" s="22"/>
      <c r="E277" s="23"/>
      <c r="F277" s="21"/>
      <c r="G277" s="21"/>
      <c r="H277" s="16"/>
      <c r="I277" s="15" t="str">
        <f t="shared" si="49"/>
        <v xml:space="preserve"> </v>
      </c>
      <c r="J277" s="15" t="str">
        <f t="shared" si="50"/>
        <v xml:space="preserve"> </v>
      </c>
      <c r="K277" s="15"/>
      <c r="L277" s="15">
        <f t="shared" si="56"/>
        <v>0</v>
      </c>
      <c r="M277" s="5" t="str">
        <f t="shared" si="51"/>
        <v/>
      </c>
      <c r="N277" s="25" t="str">
        <f>IF(ISBLANK($E277)," ", COUNTIF($M$4:$M277,$M277))</f>
        <v xml:space="preserve"> </v>
      </c>
      <c r="O277" s="25" t="str">
        <f t="shared" si="52"/>
        <v xml:space="preserve"> </v>
      </c>
      <c r="P277" s="5" t="str">
        <f t="shared" si="53"/>
        <v/>
      </c>
      <c r="Q277" s="5" t="str">
        <f t="shared" si="54"/>
        <v/>
      </c>
      <c r="R277" s="5" t="str">
        <f t="shared" si="55"/>
        <v/>
      </c>
    </row>
    <row r="278" spans="1:18" ht="20.25" x14ac:dyDescent="0.3">
      <c r="A278" s="14"/>
      <c r="B278" s="15">
        <v>274</v>
      </c>
      <c r="C278" s="22"/>
      <c r="D278" s="22"/>
      <c r="E278" s="23"/>
      <c r="F278" s="21"/>
      <c r="G278" s="21"/>
      <c r="H278" s="16"/>
      <c r="I278" s="15" t="str">
        <f t="shared" si="49"/>
        <v xml:space="preserve"> </v>
      </c>
      <c r="J278" s="15" t="str">
        <f t="shared" si="50"/>
        <v xml:space="preserve"> </v>
      </c>
      <c r="K278" s="15"/>
      <c r="L278" s="15">
        <f t="shared" si="56"/>
        <v>0</v>
      </c>
      <c r="M278" s="5" t="str">
        <f t="shared" si="51"/>
        <v/>
      </c>
      <c r="N278" s="25" t="str">
        <f>IF(ISBLANK($E278)," ", COUNTIF($M$4:$M278,$M278))</f>
        <v xml:space="preserve"> </v>
      </c>
      <c r="O278" s="25" t="str">
        <f t="shared" si="52"/>
        <v xml:space="preserve"> </v>
      </c>
      <c r="P278" s="5" t="str">
        <f t="shared" si="53"/>
        <v/>
      </c>
      <c r="Q278" s="5" t="str">
        <f t="shared" si="54"/>
        <v/>
      </c>
      <c r="R278" s="5" t="str">
        <f t="shared" si="55"/>
        <v/>
      </c>
    </row>
    <row r="279" spans="1:18" ht="20.25" x14ac:dyDescent="0.3">
      <c r="A279" s="14"/>
      <c r="B279" s="15">
        <v>275</v>
      </c>
      <c r="C279" s="22"/>
      <c r="D279" s="22"/>
      <c r="E279" s="23"/>
      <c r="F279" s="21"/>
      <c r="G279" s="21"/>
      <c r="H279" s="16"/>
      <c r="I279" s="15" t="str">
        <f t="shared" si="49"/>
        <v xml:space="preserve"> </v>
      </c>
      <c r="J279" s="15" t="str">
        <f t="shared" si="50"/>
        <v xml:space="preserve"> </v>
      </c>
      <c r="K279" s="15"/>
      <c r="L279" s="15">
        <f t="shared" si="56"/>
        <v>0</v>
      </c>
      <c r="M279" s="5" t="str">
        <f t="shared" si="51"/>
        <v/>
      </c>
      <c r="N279" s="25" t="str">
        <f>IF(ISBLANK($E279)," ", COUNTIF($M$4:$M279,$M279))</f>
        <v xml:space="preserve"> </v>
      </c>
      <c r="O279" s="25" t="str">
        <f t="shared" si="52"/>
        <v xml:space="preserve"> </v>
      </c>
      <c r="P279" s="5" t="str">
        <f t="shared" si="53"/>
        <v/>
      </c>
      <c r="Q279" s="5" t="str">
        <f t="shared" si="54"/>
        <v/>
      </c>
      <c r="R279" s="5" t="str">
        <f t="shared" si="55"/>
        <v/>
      </c>
    </row>
    <row r="280" spans="1:18" ht="20.25" x14ac:dyDescent="0.3">
      <c r="A280" s="14"/>
      <c r="B280" s="15">
        <v>276</v>
      </c>
      <c r="C280" s="22"/>
      <c r="D280" s="15"/>
      <c r="E280" s="23"/>
      <c r="F280" s="21"/>
      <c r="G280" s="21"/>
      <c r="H280" s="16"/>
      <c r="I280" s="15" t="str">
        <f t="shared" si="49"/>
        <v xml:space="preserve"> </v>
      </c>
      <c r="J280" s="15" t="str">
        <f t="shared" si="50"/>
        <v xml:space="preserve"> </v>
      </c>
      <c r="K280" s="15"/>
      <c r="L280" s="15">
        <f t="shared" si="56"/>
        <v>0</v>
      </c>
      <c r="M280" s="5" t="str">
        <f t="shared" si="51"/>
        <v/>
      </c>
      <c r="N280" s="25" t="str">
        <f>IF(ISBLANK($E280)," ", COUNTIF($M$4:$M280,$M280))</f>
        <v xml:space="preserve"> </v>
      </c>
      <c r="O280" s="25" t="str">
        <f t="shared" si="52"/>
        <v xml:space="preserve"> </v>
      </c>
      <c r="P280" s="5" t="str">
        <f t="shared" si="53"/>
        <v/>
      </c>
      <c r="Q280" s="5" t="str">
        <f t="shared" si="54"/>
        <v/>
      </c>
      <c r="R280" s="5" t="str">
        <f t="shared" si="55"/>
        <v/>
      </c>
    </row>
    <row r="281" spans="1:18" ht="20.25" x14ac:dyDescent="0.3">
      <c r="A281" s="14"/>
      <c r="B281" s="15">
        <v>277</v>
      </c>
      <c r="C281" s="22"/>
      <c r="D281" s="15"/>
      <c r="E281" s="23"/>
      <c r="F281" s="21"/>
      <c r="G281" s="21"/>
      <c r="H281" s="16"/>
      <c r="I281" s="15" t="str">
        <f t="shared" si="49"/>
        <v xml:space="preserve"> </v>
      </c>
      <c r="J281" s="15" t="str">
        <f t="shared" si="50"/>
        <v xml:space="preserve"> </v>
      </c>
      <c r="K281" s="15"/>
      <c r="L281" s="15">
        <f t="shared" si="56"/>
        <v>0</v>
      </c>
      <c r="M281" s="5" t="str">
        <f t="shared" si="51"/>
        <v/>
      </c>
      <c r="N281" s="25" t="str">
        <f>IF(ISBLANK($E281)," ", COUNTIF($M$4:$M281,$M281))</f>
        <v xml:space="preserve"> </v>
      </c>
      <c r="O281" s="25" t="str">
        <f t="shared" si="52"/>
        <v xml:space="preserve"> </v>
      </c>
      <c r="P281" s="5" t="str">
        <f t="shared" si="53"/>
        <v/>
      </c>
      <c r="Q281" s="5" t="str">
        <f t="shared" si="54"/>
        <v/>
      </c>
      <c r="R281" s="5" t="str">
        <f t="shared" si="55"/>
        <v/>
      </c>
    </row>
    <row r="282" spans="1:18" ht="20.25" x14ac:dyDescent="0.3">
      <c r="A282" s="14"/>
      <c r="B282" s="15">
        <v>278</v>
      </c>
      <c r="C282" s="22"/>
      <c r="D282" s="15"/>
      <c r="E282" s="23"/>
      <c r="F282" s="21"/>
      <c r="G282" s="21"/>
      <c r="H282" s="16"/>
      <c r="I282" s="15" t="str">
        <f t="shared" si="49"/>
        <v xml:space="preserve"> </v>
      </c>
      <c r="J282" s="15" t="str">
        <f t="shared" si="50"/>
        <v xml:space="preserve"> </v>
      </c>
      <c r="K282" s="15"/>
      <c r="L282" s="15">
        <f t="shared" si="56"/>
        <v>0</v>
      </c>
      <c r="M282" s="5" t="str">
        <f t="shared" si="51"/>
        <v/>
      </c>
      <c r="N282" s="25" t="str">
        <f>IF(ISBLANK($E282)," ", COUNTIF($M$4:$M282,$M282))</f>
        <v xml:space="preserve"> </v>
      </c>
      <c r="O282" s="25" t="str">
        <f t="shared" si="52"/>
        <v xml:space="preserve"> </v>
      </c>
      <c r="P282" s="5" t="str">
        <f t="shared" si="53"/>
        <v/>
      </c>
      <c r="Q282" s="5" t="str">
        <f t="shared" si="54"/>
        <v/>
      </c>
      <c r="R282" s="5" t="str">
        <f t="shared" si="55"/>
        <v/>
      </c>
    </row>
    <row r="283" spans="1:18" ht="20.25" x14ac:dyDescent="0.3">
      <c r="A283" s="14"/>
      <c r="B283" s="15">
        <v>279</v>
      </c>
      <c r="C283" s="22"/>
      <c r="D283" s="15"/>
      <c r="E283" s="23"/>
      <c r="F283" s="21"/>
      <c r="G283" s="21"/>
      <c r="H283" s="16"/>
      <c r="I283" s="15" t="str">
        <f t="shared" si="49"/>
        <v xml:space="preserve"> </v>
      </c>
      <c r="J283" s="15" t="str">
        <f t="shared" si="50"/>
        <v xml:space="preserve"> </v>
      </c>
      <c r="K283" s="15"/>
      <c r="L283" s="15">
        <f t="shared" si="56"/>
        <v>0</v>
      </c>
      <c r="M283" s="5" t="str">
        <f t="shared" si="51"/>
        <v/>
      </c>
      <c r="N283" s="25" t="str">
        <f>IF(ISBLANK($E283)," ", COUNTIF($M$4:$M283,$M283))</f>
        <v xml:space="preserve"> </v>
      </c>
      <c r="O283" s="25" t="str">
        <f t="shared" si="52"/>
        <v xml:space="preserve"> </v>
      </c>
      <c r="P283" s="5" t="str">
        <f t="shared" si="53"/>
        <v/>
      </c>
      <c r="Q283" s="5" t="str">
        <f t="shared" si="54"/>
        <v/>
      </c>
      <c r="R283" s="5" t="str">
        <f t="shared" si="55"/>
        <v/>
      </c>
    </row>
    <row r="284" spans="1:18" ht="20.25" x14ac:dyDescent="0.3">
      <c r="A284" s="14"/>
      <c r="B284" s="15">
        <v>280</v>
      </c>
      <c r="C284" s="22"/>
      <c r="D284" s="15"/>
      <c r="E284" s="23"/>
      <c r="F284" s="21"/>
      <c r="G284" s="21"/>
      <c r="H284" s="16"/>
      <c r="I284" s="15" t="str">
        <f t="shared" si="49"/>
        <v xml:space="preserve"> </v>
      </c>
      <c r="J284" s="15" t="str">
        <f t="shared" si="50"/>
        <v xml:space="preserve"> </v>
      </c>
      <c r="K284" s="15"/>
      <c r="L284" s="15">
        <f t="shared" si="56"/>
        <v>0</v>
      </c>
      <c r="M284" s="5" t="str">
        <f t="shared" si="51"/>
        <v/>
      </c>
      <c r="N284" s="25" t="str">
        <f>IF(ISBLANK($E284)," ", COUNTIF($M$4:$M284,$M284))</f>
        <v xml:space="preserve"> </v>
      </c>
      <c r="O284" s="25" t="str">
        <f t="shared" si="52"/>
        <v xml:space="preserve"> </v>
      </c>
      <c r="P284" s="5" t="str">
        <f t="shared" si="53"/>
        <v/>
      </c>
      <c r="Q284" s="5" t="str">
        <f t="shared" si="54"/>
        <v/>
      </c>
      <c r="R284" s="5" t="str">
        <f t="shared" si="55"/>
        <v/>
      </c>
    </row>
    <row r="285" spans="1:18" ht="20.25" x14ac:dyDescent="0.3">
      <c r="A285" s="14"/>
      <c r="B285" s="15">
        <v>281</v>
      </c>
      <c r="C285" s="22"/>
      <c r="D285" s="15"/>
      <c r="E285" s="23"/>
      <c r="F285" s="21"/>
      <c r="G285" s="21"/>
      <c r="H285" s="16"/>
      <c r="I285" s="15" t="str">
        <f t="shared" si="49"/>
        <v xml:space="preserve"> </v>
      </c>
      <c r="J285" s="15" t="str">
        <f t="shared" si="50"/>
        <v xml:space="preserve"> </v>
      </c>
      <c r="K285" s="15"/>
      <c r="L285" s="15">
        <f t="shared" si="56"/>
        <v>0</v>
      </c>
      <c r="M285" s="5" t="str">
        <f t="shared" si="51"/>
        <v/>
      </c>
      <c r="N285" s="25" t="str">
        <f>IF(ISBLANK($E285)," ", COUNTIF($M$4:$M285,$M285))</f>
        <v xml:space="preserve"> </v>
      </c>
      <c r="O285" s="25" t="str">
        <f t="shared" si="52"/>
        <v xml:space="preserve"> </v>
      </c>
      <c r="P285" s="5" t="str">
        <f t="shared" si="53"/>
        <v/>
      </c>
      <c r="Q285" s="5" t="str">
        <f t="shared" si="54"/>
        <v/>
      </c>
      <c r="R285" s="5" t="str">
        <f t="shared" si="55"/>
        <v/>
      </c>
    </row>
    <row r="286" spans="1:18" ht="20.25" x14ac:dyDescent="0.3">
      <c r="A286" s="14"/>
      <c r="B286" s="15">
        <v>282</v>
      </c>
      <c r="C286" s="22"/>
      <c r="D286" s="15"/>
      <c r="E286" s="23"/>
      <c r="F286" s="21"/>
      <c r="G286" s="21"/>
      <c r="H286" s="16"/>
      <c r="I286" s="15" t="str">
        <f t="shared" si="49"/>
        <v xml:space="preserve"> </v>
      </c>
      <c r="J286" s="15" t="str">
        <f t="shared" si="50"/>
        <v xml:space="preserve"> </v>
      </c>
      <c r="K286" s="15"/>
      <c r="L286" s="15">
        <f t="shared" si="56"/>
        <v>0</v>
      </c>
      <c r="M286" s="5" t="str">
        <f t="shared" si="51"/>
        <v/>
      </c>
      <c r="N286" s="25" t="str">
        <f>IF(ISBLANK($E286)," ", COUNTIF($M$4:$M286,$M286))</f>
        <v xml:space="preserve"> </v>
      </c>
      <c r="O286" s="25" t="str">
        <f t="shared" si="52"/>
        <v xml:space="preserve"> </v>
      </c>
      <c r="P286" s="5" t="str">
        <f t="shared" si="53"/>
        <v/>
      </c>
      <c r="Q286" s="5" t="str">
        <f t="shared" si="54"/>
        <v/>
      </c>
      <c r="R286" s="5" t="str">
        <f t="shared" si="55"/>
        <v/>
      </c>
    </row>
    <row r="287" spans="1:18" ht="20.25" x14ac:dyDescent="0.3">
      <c r="A287" s="14"/>
      <c r="B287" s="15">
        <v>283</v>
      </c>
      <c r="C287" s="22"/>
      <c r="D287" s="15"/>
      <c r="E287" s="23"/>
      <c r="F287" s="21"/>
      <c r="G287" s="21"/>
      <c r="H287" s="16"/>
      <c r="I287" s="15" t="str">
        <f t="shared" si="49"/>
        <v xml:space="preserve"> </v>
      </c>
      <c r="J287" s="15" t="str">
        <f t="shared" si="50"/>
        <v xml:space="preserve"> </v>
      </c>
      <c r="K287" s="15"/>
      <c r="L287" s="15">
        <f t="shared" si="56"/>
        <v>0</v>
      </c>
      <c r="M287" s="5" t="str">
        <f t="shared" si="51"/>
        <v/>
      </c>
      <c r="N287" s="25" t="str">
        <f>IF(ISBLANK($E287)," ", COUNTIF($M$4:$M287,$M287))</f>
        <v xml:space="preserve"> </v>
      </c>
      <c r="O287" s="25" t="str">
        <f t="shared" si="52"/>
        <v xml:space="preserve"> </v>
      </c>
      <c r="P287" s="5" t="str">
        <f t="shared" si="53"/>
        <v/>
      </c>
      <c r="Q287" s="5" t="str">
        <f t="shared" si="54"/>
        <v/>
      </c>
      <c r="R287" s="5" t="str">
        <f t="shared" si="55"/>
        <v/>
      </c>
    </row>
    <row r="288" spans="1:18" ht="20.25" x14ac:dyDescent="0.3">
      <c r="A288" s="14"/>
      <c r="B288" s="15">
        <v>284</v>
      </c>
      <c r="C288" s="22"/>
      <c r="D288" s="15"/>
      <c r="E288" s="23"/>
      <c r="F288" s="21"/>
      <c r="G288" s="21"/>
      <c r="H288" s="16"/>
      <c r="I288" s="15" t="str">
        <f t="shared" si="49"/>
        <v xml:space="preserve"> </v>
      </c>
      <c r="J288" s="15" t="str">
        <f t="shared" si="50"/>
        <v xml:space="preserve"> </v>
      </c>
      <c r="K288" s="15"/>
      <c r="L288" s="15">
        <f t="shared" si="56"/>
        <v>0</v>
      </c>
      <c r="M288" s="5" t="str">
        <f t="shared" si="51"/>
        <v/>
      </c>
      <c r="N288" s="25" t="str">
        <f>IF(ISBLANK($E288)," ", COUNTIF($M$4:$M288,$M288))</f>
        <v xml:space="preserve"> </v>
      </c>
      <c r="O288" s="25" t="str">
        <f t="shared" si="52"/>
        <v xml:space="preserve"> </v>
      </c>
      <c r="P288" s="5" t="str">
        <f t="shared" si="53"/>
        <v/>
      </c>
      <c r="Q288" s="5" t="str">
        <f t="shared" si="54"/>
        <v/>
      </c>
      <c r="R288" s="5" t="str">
        <f t="shared" si="55"/>
        <v/>
      </c>
    </row>
    <row r="289" spans="1:18" ht="20.25" x14ac:dyDescent="0.3">
      <c r="A289" s="14"/>
      <c r="B289" s="15">
        <v>285</v>
      </c>
      <c r="C289" s="22"/>
      <c r="D289" s="15"/>
      <c r="E289" s="23"/>
      <c r="F289" s="21"/>
      <c r="G289" s="21"/>
      <c r="H289" s="16"/>
      <c r="I289" s="15" t="str">
        <f t="shared" si="49"/>
        <v xml:space="preserve"> </v>
      </c>
      <c r="J289" s="15" t="str">
        <f t="shared" si="50"/>
        <v xml:space="preserve"> </v>
      </c>
      <c r="K289" s="15"/>
      <c r="L289" s="15">
        <f t="shared" si="56"/>
        <v>0</v>
      </c>
      <c r="M289" s="5" t="str">
        <f t="shared" si="51"/>
        <v/>
      </c>
      <c r="N289" s="25" t="str">
        <f>IF(ISBLANK($E289)," ", COUNTIF($M$4:$M289,$M289))</f>
        <v xml:space="preserve"> </v>
      </c>
      <c r="O289" s="25" t="str">
        <f t="shared" si="52"/>
        <v xml:space="preserve"> </v>
      </c>
      <c r="P289" s="5" t="str">
        <f t="shared" si="53"/>
        <v/>
      </c>
      <c r="Q289" s="5" t="str">
        <f t="shared" si="54"/>
        <v/>
      </c>
      <c r="R289" s="5" t="str">
        <f t="shared" si="55"/>
        <v/>
      </c>
    </row>
    <row r="290" spans="1:18" ht="20.25" x14ac:dyDescent="0.3">
      <c r="A290" s="14"/>
      <c r="B290" s="15">
        <v>286</v>
      </c>
      <c r="C290" s="22"/>
      <c r="D290" s="15"/>
      <c r="E290" s="23"/>
      <c r="F290" s="21"/>
      <c r="G290" s="21"/>
      <c r="H290" s="16"/>
      <c r="I290" s="15" t="str">
        <f t="shared" si="49"/>
        <v xml:space="preserve"> </v>
      </c>
      <c r="J290" s="15" t="str">
        <f t="shared" si="50"/>
        <v xml:space="preserve"> </v>
      </c>
      <c r="K290" s="15"/>
      <c r="L290" s="15">
        <f t="shared" si="56"/>
        <v>0</v>
      </c>
      <c r="M290" s="5" t="str">
        <f t="shared" si="51"/>
        <v/>
      </c>
      <c r="N290" s="25" t="str">
        <f>IF(ISBLANK($E290)," ", COUNTIF($M$4:$M290,$M290))</f>
        <v xml:space="preserve"> </v>
      </c>
      <c r="O290" s="25" t="str">
        <f t="shared" si="52"/>
        <v xml:space="preserve"> </v>
      </c>
      <c r="P290" s="5" t="str">
        <f t="shared" si="53"/>
        <v/>
      </c>
      <c r="Q290" s="5" t="str">
        <f t="shared" si="54"/>
        <v/>
      </c>
      <c r="R290" s="5" t="str">
        <f t="shared" si="55"/>
        <v/>
      </c>
    </row>
    <row r="291" spans="1:18" ht="20.25" x14ac:dyDescent="0.3">
      <c r="A291" s="14"/>
      <c r="B291" s="15">
        <v>287</v>
      </c>
      <c r="C291" s="22"/>
      <c r="D291" s="15"/>
      <c r="E291" s="23"/>
      <c r="F291" s="21"/>
      <c r="G291" s="21"/>
      <c r="H291" s="16"/>
      <c r="I291" s="15" t="str">
        <f t="shared" si="49"/>
        <v xml:space="preserve"> </v>
      </c>
      <c r="J291" s="15" t="str">
        <f t="shared" si="50"/>
        <v xml:space="preserve"> </v>
      </c>
      <c r="K291" s="15"/>
      <c r="L291" s="15">
        <f t="shared" si="56"/>
        <v>0</v>
      </c>
      <c r="M291" s="5" t="str">
        <f t="shared" si="51"/>
        <v/>
      </c>
      <c r="N291" s="25" t="str">
        <f>IF(ISBLANK($E291)," ", COUNTIF($M$4:$M291,$M291))</f>
        <v xml:space="preserve"> </v>
      </c>
      <c r="O291" s="25" t="str">
        <f t="shared" si="52"/>
        <v xml:space="preserve"> </v>
      </c>
      <c r="P291" s="5" t="str">
        <f t="shared" si="53"/>
        <v/>
      </c>
      <c r="Q291" s="5" t="str">
        <f t="shared" si="54"/>
        <v/>
      </c>
      <c r="R291" s="5" t="str">
        <f t="shared" si="55"/>
        <v/>
      </c>
    </row>
    <row r="292" spans="1:18" ht="20.25" x14ac:dyDescent="0.3">
      <c r="A292" s="14"/>
      <c r="B292" s="15">
        <v>288</v>
      </c>
      <c r="C292" s="22"/>
      <c r="D292" s="15"/>
      <c r="E292" s="23"/>
      <c r="F292" s="21"/>
      <c r="G292" s="21"/>
      <c r="H292" s="16"/>
      <c r="I292" s="15" t="str">
        <f t="shared" si="49"/>
        <v xml:space="preserve"> </v>
      </c>
      <c r="J292" s="15" t="str">
        <f t="shared" si="50"/>
        <v xml:space="preserve"> </v>
      </c>
      <c r="K292" s="15"/>
      <c r="L292" s="15">
        <f t="shared" si="56"/>
        <v>0</v>
      </c>
      <c r="M292" s="5" t="str">
        <f t="shared" si="51"/>
        <v/>
      </c>
      <c r="N292" s="25" t="str">
        <f>IF(ISBLANK($E292)," ", COUNTIF($M$4:$M292,$M292))</f>
        <v xml:space="preserve"> </v>
      </c>
      <c r="O292" s="25" t="str">
        <f t="shared" si="52"/>
        <v xml:space="preserve"> </v>
      </c>
      <c r="P292" s="5" t="str">
        <f t="shared" si="53"/>
        <v/>
      </c>
      <c r="Q292" s="5" t="str">
        <f t="shared" si="54"/>
        <v/>
      </c>
      <c r="R292" s="5" t="str">
        <f t="shared" si="55"/>
        <v/>
      </c>
    </row>
    <row r="293" spans="1:18" ht="20.25" x14ac:dyDescent="0.3">
      <c r="A293" s="14"/>
      <c r="B293" s="15">
        <v>289</v>
      </c>
      <c r="C293" s="22"/>
      <c r="D293" s="15"/>
      <c r="E293" s="23"/>
      <c r="F293" s="21"/>
      <c r="G293" s="21"/>
      <c r="H293" s="16"/>
      <c r="I293" s="15" t="str">
        <f t="shared" si="49"/>
        <v xml:space="preserve"> </v>
      </c>
      <c r="J293" s="15" t="str">
        <f t="shared" si="50"/>
        <v xml:space="preserve"> </v>
      </c>
      <c r="K293" s="15"/>
      <c r="L293" s="15">
        <f t="shared" si="56"/>
        <v>0</v>
      </c>
      <c r="M293" s="5" t="str">
        <f t="shared" si="51"/>
        <v/>
      </c>
      <c r="N293" s="25" t="str">
        <f>IF(ISBLANK($E293)," ", COUNTIF($M$4:$M293,$M293))</f>
        <v xml:space="preserve"> </v>
      </c>
      <c r="O293" s="25" t="str">
        <f t="shared" si="52"/>
        <v xml:space="preserve"> </v>
      </c>
      <c r="P293" s="5" t="str">
        <f t="shared" si="53"/>
        <v/>
      </c>
      <c r="Q293" s="5" t="str">
        <f t="shared" si="54"/>
        <v/>
      </c>
      <c r="R293" s="5" t="str">
        <f t="shared" si="55"/>
        <v/>
      </c>
    </row>
    <row r="294" spans="1:18" ht="20.25" x14ac:dyDescent="0.3">
      <c r="A294" s="14"/>
      <c r="B294" s="15">
        <v>290</v>
      </c>
      <c r="C294" s="22"/>
      <c r="D294" s="15"/>
      <c r="E294" s="23"/>
      <c r="F294" s="21"/>
      <c r="G294" s="21"/>
      <c r="H294" s="16"/>
      <c r="I294" s="15" t="str">
        <f t="shared" si="49"/>
        <v xml:space="preserve"> </v>
      </c>
      <c r="J294" s="15" t="str">
        <f t="shared" si="50"/>
        <v xml:space="preserve"> </v>
      </c>
      <c r="K294" s="15"/>
      <c r="L294" s="15">
        <f t="shared" si="56"/>
        <v>0</v>
      </c>
      <c r="M294" s="5" t="str">
        <f t="shared" si="51"/>
        <v/>
      </c>
      <c r="N294" s="25" t="str">
        <f>IF(ISBLANK($E294)," ", COUNTIF($M$4:$M294,$M294))</f>
        <v xml:space="preserve"> </v>
      </c>
      <c r="O294" s="25" t="str">
        <f t="shared" si="52"/>
        <v xml:space="preserve"> </v>
      </c>
      <c r="P294" s="5" t="str">
        <f t="shared" si="53"/>
        <v/>
      </c>
      <c r="Q294" s="5" t="str">
        <f t="shared" si="54"/>
        <v/>
      </c>
      <c r="R294" s="5" t="str">
        <f t="shared" si="55"/>
        <v/>
      </c>
    </row>
    <row r="295" spans="1:18" ht="20.25" x14ac:dyDescent="0.3">
      <c r="A295" s="14"/>
      <c r="B295" s="15">
        <v>291</v>
      </c>
      <c r="C295" s="22"/>
      <c r="D295" s="15"/>
      <c r="E295" s="23"/>
      <c r="F295" s="21"/>
      <c r="G295" s="21"/>
      <c r="H295" s="16"/>
      <c r="I295" s="15" t="str">
        <f t="shared" si="49"/>
        <v xml:space="preserve"> </v>
      </c>
      <c r="J295" s="15" t="str">
        <f t="shared" si="50"/>
        <v xml:space="preserve"> </v>
      </c>
      <c r="K295" s="15"/>
      <c r="L295" s="15">
        <f t="shared" si="56"/>
        <v>0</v>
      </c>
      <c r="M295" s="5" t="str">
        <f t="shared" si="51"/>
        <v/>
      </c>
      <c r="N295" s="25" t="str">
        <f>IF(ISBLANK($E295)," ", COUNTIF($M$4:$M295,$M295))</f>
        <v xml:space="preserve"> </v>
      </c>
      <c r="O295" s="25" t="str">
        <f t="shared" si="52"/>
        <v xml:space="preserve"> </v>
      </c>
      <c r="P295" s="5" t="str">
        <f t="shared" si="53"/>
        <v/>
      </c>
      <c r="Q295" s="5" t="str">
        <f t="shared" si="54"/>
        <v/>
      </c>
      <c r="R295" s="5" t="str">
        <f t="shared" si="55"/>
        <v/>
      </c>
    </row>
    <row r="296" spans="1:18" ht="20.25" x14ac:dyDescent="0.3">
      <c r="A296" s="14"/>
      <c r="B296" s="15">
        <v>292</v>
      </c>
      <c r="C296" s="22"/>
      <c r="D296" s="15"/>
      <c r="E296" s="23"/>
      <c r="F296" s="21"/>
      <c r="G296" s="21"/>
      <c r="H296" s="16"/>
      <c r="I296" s="15" t="str">
        <f t="shared" si="49"/>
        <v xml:space="preserve"> </v>
      </c>
      <c r="J296" s="15" t="str">
        <f t="shared" si="50"/>
        <v xml:space="preserve"> </v>
      </c>
      <c r="K296" s="15"/>
      <c r="L296" s="15">
        <f t="shared" si="56"/>
        <v>0</v>
      </c>
      <c r="M296" s="5" t="str">
        <f t="shared" si="51"/>
        <v/>
      </c>
      <c r="N296" s="25" t="str">
        <f>IF(ISBLANK($E296)," ", COUNTIF($M$4:$M296,$M296))</f>
        <v xml:space="preserve"> </v>
      </c>
      <c r="O296" s="25" t="str">
        <f t="shared" si="52"/>
        <v xml:space="preserve"> </v>
      </c>
      <c r="P296" s="5" t="str">
        <f t="shared" si="53"/>
        <v/>
      </c>
      <c r="Q296" s="5" t="str">
        <f t="shared" si="54"/>
        <v/>
      </c>
      <c r="R296" s="5" t="str">
        <f t="shared" si="55"/>
        <v/>
      </c>
    </row>
    <row r="297" spans="1:18" ht="20.25" x14ac:dyDescent="0.3">
      <c r="A297" s="14"/>
      <c r="B297" s="15">
        <v>293</v>
      </c>
      <c r="C297" s="22"/>
      <c r="D297" s="15"/>
      <c r="E297" s="23"/>
      <c r="F297" s="21"/>
      <c r="G297" s="21"/>
      <c r="H297" s="16"/>
      <c r="I297" s="15" t="str">
        <f t="shared" si="49"/>
        <v xml:space="preserve"> </v>
      </c>
      <c r="J297" s="15" t="str">
        <f t="shared" si="50"/>
        <v xml:space="preserve"> </v>
      </c>
      <c r="K297" s="15"/>
      <c r="L297" s="15">
        <f t="shared" si="56"/>
        <v>0</v>
      </c>
      <c r="M297" s="5" t="str">
        <f t="shared" si="51"/>
        <v/>
      </c>
      <c r="N297" s="25" t="str">
        <f>IF(ISBLANK($E297)," ", COUNTIF($M$4:$M297,$M297))</f>
        <v xml:space="preserve"> </v>
      </c>
      <c r="O297" s="25" t="str">
        <f t="shared" si="52"/>
        <v xml:space="preserve"> </v>
      </c>
      <c r="P297" s="5" t="str">
        <f t="shared" si="53"/>
        <v/>
      </c>
      <c r="Q297" s="5" t="str">
        <f t="shared" si="54"/>
        <v/>
      </c>
      <c r="R297" s="5" t="str">
        <f t="shared" si="55"/>
        <v/>
      </c>
    </row>
    <row r="298" spans="1:18" ht="20.25" x14ac:dyDescent="0.3">
      <c r="A298" s="14"/>
      <c r="B298" s="15">
        <v>294</v>
      </c>
      <c r="C298" s="22"/>
      <c r="D298" s="15"/>
      <c r="E298" s="23"/>
      <c r="F298" s="21"/>
      <c r="G298" s="21"/>
      <c r="H298" s="16"/>
      <c r="I298" s="15" t="str">
        <f t="shared" si="49"/>
        <v xml:space="preserve"> </v>
      </c>
      <c r="J298" s="15" t="str">
        <f t="shared" si="50"/>
        <v xml:space="preserve"> </v>
      </c>
      <c r="K298" s="15"/>
      <c r="L298" s="15">
        <f t="shared" si="56"/>
        <v>0</v>
      </c>
      <c r="M298" s="5" t="str">
        <f t="shared" si="51"/>
        <v/>
      </c>
      <c r="N298" s="25" t="str">
        <f>IF(ISBLANK($E298)," ", COUNTIF($M$4:$M298,$M298))</f>
        <v xml:space="preserve"> </v>
      </c>
      <c r="O298" s="25" t="str">
        <f t="shared" si="52"/>
        <v xml:space="preserve"> </v>
      </c>
      <c r="P298" s="5" t="str">
        <f t="shared" si="53"/>
        <v/>
      </c>
      <c r="Q298" s="5" t="str">
        <f t="shared" si="54"/>
        <v/>
      </c>
      <c r="R298" s="5" t="str">
        <f t="shared" si="55"/>
        <v/>
      </c>
    </row>
    <row r="299" spans="1:18" ht="20.25" x14ac:dyDescent="0.3">
      <c r="A299" s="14"/>
      <c r="B299" s="15">
        <v>295</v>
      </c>
      <c r="C299" s="22"/>
      <c r="D299" s="15"/>
      <c r="E299" s="23"/>
      <c r="F299" s="21"/>
      <c r="G299" s="21"/>
      <c r="H299" s="16"/>
      <c r="I299" s="15" t="str">
        <f t="shared" si="49"/>
        <v xml:space="preserve"> </v>
      </c>
      <c r="J299" s="15" t="str">
        <f t="shared" si="50"/>
        <v xml:space="preserve"> </v>
      </c>
      <c r="K299" s="15"/>
      <c r="L299" s="15">
        <f t="shared" si="56"/>
        <v>0</v>
      </c>
      <c r="M299" s="5" t="str">
        <f t="shared" si="51"/>
        <v/>
      </c>
      <c r="N299" s="25" t="str">
        <f>IF(ISBLANK($E299)," ", COUNTIF($M$4:$M299,$M299))</f>
        <v xml:space="preserve"> </v>
      </c>
      <c r="O299" s="25" t="str">
        <f t="shared" si="52"/>
        <v xml:space="preserve"> </v>
      </c>
      <c r="P299" s="5" t="str">
        <f t="shared" si="53"/>
        <v/>
      </c>
      <c r="Q299" s="5" t="str">
        <f t="shared" si="54"/>
        <v/>
      </c>
      <c r="R299" s="5" t="str">
        <f t="shared" si="55"/>
        <v/>
      </c>
    </row>
    <row r="300" spans="1:18" ht="20.25" x14ac:dyDescent="0.3">
      <c r="A300" s="14"/>
      <c r="B300" s="15">
        <v>296</v>
      </c>
      <c r="C300" s="22"/>
      <c r="D300" s="15"/>
      <c r="E300" s="23"/>
      <c r="F300" s="21"/>
      <c r="G300" s="21"/>
      <c r="H300" s="16"/>
      <c r="I300" s="15" t="str">
        <f t="shared" si="49"/>
        <v xml:space="preserve"> </v>
      </c>
      <c r="J300" s="15" t="str">
        <f t="shared" si="50"/>
        <v xml:space="preserve"> </v>
      </c>
      <c r="K300" s="15"/>
      <c r="L300" s="15">
        <f t="shared" si="56"/>
        <v>0</v>
      </c>
      <c r="M300" s="5" t="str">
        <f t="shared" si="51"/>
        <v/>
      </c>
      <c r="N300" s="25" t="str">
        <f>IF(ISBLANK($E300)," ", COUNTIF($M$4:$M300,$M300))</f>
        <v xml:space="preserve"> </v>
      </c>
      <c r="O300" s="25" t="str">
        <f t="shared" si="52"/>
        <v xml:space="preserve"> </v>
      </c>
      <c r="P300" s="5" t="str">
        <f t="shared" si="53"/>
        <v/>
      </c>
      <c r="Q300" s="5" t="str">
        <f t="shared" si="54"/>
        <v/>
      </c>
      <c r="R300" s="5" t="str">
        <f t="shared" si="55"/>
        <v/>
      </c>
    </row>
    <row r="301" spans="1:18" ht="20.25" x14ac:dyDescent="0.3">
      <c r="A301" s="14"/>
      <c r="B301" s="15">
        <v>297</v>
      </c>
      <c r="C301" s="22"/>
      <c r="D301" s="15"/>
      <c r="E301" s="23"/>
      <c r="F301" s="21"/>
      <c r="G301" s="21"/>
      <c r="H301" s="16"/>
      <c r="I301" s="15" t="str">
        <f t="shared" si="49"/>
        <v xml:space="preserve"> </v>
      </c>
      <c r="J301" s="15" t="str">
        <f t="shared" si="50"/>
        <v xml:space="preserve"> </v>
      </c>
      <c r="K301" s="15"/>
      <c r="L301" s="15">
        <f t="shared" si="56"/>
        <v>0</v>
      </c>
      <c r="M301" s="5" t="str">
        <f t="shared" si="51"/>
        <v/>
      </c>
      <c r="N301" s="25" t="str">
        <f>IF(ISBLANK($E301)," ", COUNTIF($M$4:$M301,$M301))</f>
        <v xml:space="preserve"> </v>
      </c>
      <c r="O301" s="25" t="str">
        <f t="shared" si="52"/>
        <v xml:space="preserve"> </v>
      </c>
      <c r="P301" s="5" t="str">
        <f t="shared" si="53"/>
        <v/>
      </c>
      <c r="Q301" s="5" t="str">
        <f t="shared" si="54"/>
        <v/>
      </c>
      <c r="R301" s="5" t="str">
        <f t="shared" si="55"/>
        <v/>
      </c>
    </row>
    <row r="302" spans="1:18" ht="20.25" x14ac:dyDescent="0.3">
      <c r="A302" s="14"/>
      <c r="B302" s="15">
        <v>298</v>
      </c>
      <c r="C302" s="22"/>
      <c r="D302" s="15"/>
      <c r="E302" s="23"/>
      <c r="F302" s="21"/>
      <c r="G302" s="21"/>
      <c r="H302" s="16"/>
      <c r="I302" s="15" t="str">
        <f t="shared" si="49"/>
        <v xml:space="preserve"> </v>
      </c>
      <c r="J302" s="15" t="str">
        <f t="shared" si="50"/>
        <v xml:space="preserve"> </v>
      </c>
      <c r="K302" s="15"/>
      <c r="L302" s="15">
        <f t="shared" si="56"/>
        <v>0</v>
      </c>
      <c r="M302" s="5" t="str">
        <f t="shared" si="51"/>
        <v/>
      </c>
      <c r="N302" s="25" t="str">
        <f>IF(ISBLANK($E302)," ", COUNTIF($M$4:$M302,$M302))</f>
        <v xml:space="preserve"> </v>
      </c>
      <c r="O302" s="25" t="str">
        <f t="shared" si="52"/>
        <v xml:space="preserve"> </v>
      </c>
      <c r="P302" s="5" t="str">
        <f t="shared" si="53"/>
        <v/>
      </c>
      <c r="Q302" s="5" t="str">
        <f t="shared" si="54"/>
        <v/>
      </c>
      <c r="R302" s="5" t="str">
        <f t="shared" si="55"/>
        <v/>
      </c>
    </row>
    <row r="303" spans="1:18" ht="20.25" x14ac:dyDescent="0.3">
      <c r="A303" s="14"/>
      <c r="B303" s="15">
        <v>299</v>
      </c>
      <c r="C303" s="22"/>
      <c r="D303" s="15"/>
      <c r="E303" s="23"/>
      <c r="F303" s="21"/>
      <c r="G303" s="21"/>
      <c r="H303" s="16"/>
      <c r="I303" s="15" t="str">
        <f t="shared" si="49"/>
        <v xml:space="preserve"> </v>
      </c>
      <c r="J303" s="15" t="str">
        <f t="shared" si="50"/>
        <v xml:space="preserve"> </v>
      </c>
      <c r="K303" s="15"/>
      <c r="L303" s="15">
        <f t="shared" si="56"/>
        <v>0</v>
      </c>
      <c r="M303" s="5" t="str">
        <f t="shared" si="51"/>
        <v/>
      </c>
      <c r="N303" s="25" t="str">
        <f>IF(ISBLANK($E303)," ", COUNTIF($M$4:$M303,$M303))</f>
        <v xml:space="preserve"> </v>
      </c>
      <c r="O303" s="25" t="str">
        <f t="shared" si="52"/>
        <v xml:space="preserve"> </v>
      </c>
      <c r="P303" s="5" t="str">
        <f t="shared" si="53"/>
        <v/>
      </c>
      <c r="Q303" s="5" t="str">
        <f t="shared" si="54"/>
        <v/>
      </c>
      <c r="R303" s="5" t="str">
        <f t="shared" si="55"/>
        <v/>
      </c>
    </row>
    <row r="304" spans="1:18" ht="20.25" x14ac:dyDescent="0.3">
      <c r="A304" s="14"/>
      <c r="B304" s="15">
        <v>300</v>
      </c>
      <c r="C304" s="22"/>
      <c r="D304" s="15"/>
      <c r="E304" s="23"/>
      <c r="F304" s="21"/>
      <c r="G304" s="21"/>
      <c r="H304" s="16"/>
      <c r="I304" s="15" t="str">
        <f t="shared" si="49"/>
        <v xml:space="preserve"> </v>
      </c>
      <c r="J304" s="15" t="str">
        <f t="shared" si="50"/>
        <v xml:space="preserve"> </v>
      </c>
      <c r="K304" s="15"/>
      <c r="L304" s="15">
        <f t="shared" si="56"/>
        <v>0</v>
      </c>
      <c r="M304" s="5" t="str">
        <f t="shared" si="51"/>
        <v/>
      </c>
      <c r="N304" s="25" t="str">
        <f>IF(ISBLANK($E304)," ", COUNTIF($M$4:$M304,$M304))</f>
        <v xml:space="preserve"> </v>
      </c>
      <c r="O304" s="25" t="str">
        <f t="shared" si="52"/>
        <v xml:space="preserve"> </v>
      </c>
      <c r="P304" s="5" t="str">
        <f t="shared" si="53"/>
        <v/>
      </c>
      <c r="Q304" s="5" t="str">
        <f t="shared" si="54"/>
        <v/>
      </c>
      <c r="R304" s="5" t="str">
        <f t="shared" si="55"/>
        <v/>
      </c>
    </row>
    <row r="305" spans="1:18" ht="20.25" x14ac:dyDescent="0.3">
      <c r="A305" s="14"/>
      <c r="B305" s="15">
        <v>301</v>
      </c>
      <c r="C305" s="22"/>
      <c r="D305" s="15"/>
      <c r="E305" s="23"/>
      <c r="F305" s="21"/>
      <c r="G305" s="21"/>
      <c r="H305" s="16"/>
      <c r="I305" s="15" t="str">
        <f t="shared" si="49"/>
        <v xml:space="preserve"> </v>
      </c>
      <c r="J305" s="15" t="str">
        <f t="shared" si="50"/>
        <v xml:space="preserve"> </v>
      </c>
      <c r="K305" s="15"/>
      <c r="L305" s="15">
        <f t="shared" si="56"/>
        <v>0</v>
      </c>
      <c r="M305" s="5" t="str">
        <f t="shared" si="51"/>
        <v/>
      </c>
      <c r="N305" s="25" t="str">
        <f>IF(ISBLANK($E305)," ", COUNTIF($M$4:$M305,$M305))</f>
        <v xml:space="preserve"> </v>
      </c>
      <c r="O305" s="25" t="str">
        <f t="shared" si="52"/>
        <v xml:space="preserve"> </v>
      </c>
      <c r="P305" s="5" t="str">
        <f t="shared" si="53"/>
        <v/>
      </c>
      <c r="Q305" s="5" t="str">
        <f t="shared" si="54"/>
        <v/>
      </c>
      <c r="R305" s="5" t="str">
        <f t="shared" si="55"/>
        <v/>
      </c>
    </row>
    <row r="306" spans="1:18" ht="20.25" x14ac:dyDescent="0.3">
      <c r="A306" s="14"/>
      <c r="B306" s="15">
        <v>302</v>
      </c>
      <c r="C306" s="22"/>
      <c r="D306" s="15"/>
      <c r="E306" s="23"/>
      <c r="F306" s="21"/>
      <c r="G306" s="21"/>
      <c r="H306" s="16"/>
      <c r="I306" s="15" t="str">
        <f t="shared" si="49"/>
        <v xml:space="preserve"> </v>
      </c>
      <c r="J306" s="15" t="str">
        <f t="shared" si="50"/>
        <v xml:space="preserve"> </v>
      </c>
      <c r="K306" s="15"/>
      <c r="L306" s="15">
        <f t="shared" si="56"/>
        <v>0</v>
      </c>
      <c r="M306" s="5" t="str">
        <f t="shared" si="51"/>
        <v/>
      </c>
      <c r="N306" s="25" t="str">
        <f>IF(ISBLANK($E306)," ", COUNTIF($M$4:$M306,$M306))</f>
        <v xml:space="preserve"> </v>
      </c>
      <c r="O306" s="25" t="str">
        <f t="shared" si="52"/>
        <v xml:space="preserve"> </v>
      </c>
      <c r="P306" s="5" t="str">
        <f t="shared" si="53"/>
        <v/>
      </c>
      <c r="Q306" s="5" t="str">
        <f t="shared" si="54"/>
        <v/>
      </c>
      <c r="R306" s="5" t="str">
        <f t="shared" si="55"/>
        <v/>
      </c>
    </row>
    <row r="307" spans="1:18" ht="20.25" x14ac:dyDescent="0.3">
      <c r="A307" s="14"/>
      <c r="B307" s="15">
        <v>303</v>
      </c>
      <c r="C307" s="22"/>
      <c r="D307" s="15"/>
      <c r="E307" s="23"/>
      <c r="F307" s="21"/>
      <c r="G307" s="21"/>
      <c r="H307" s="16"/>
      <c r="I307" s="15" t="str">
        <f t="shared" si="49"/>
        <v xml:space="preserve"> </v>
      </c>
      <c r="J307" s="15" t="str">
        <f t="shared" si="50"/>
        <v xml:space="preserve"> </v>
      </c>
      <c r="K307" s="15"/>
      <c r="L307" s="15">
        <f t="shared" si="56"/>
        <v>0</v>
      </c>
      <c r="M307" s="5" t="str">
        <f t="shared" si="51"/>
        <v/>
      </c>
      <c r="N307" s="25" t="str">
        <f>IF(ISBLANK($E307)," ", COUNTIF($M$4:$M307,$M307))</f>
        <v xml:space="preserve"> </v>
      </c>
      <c r="O307" s="25" t="str">
        <f t="shared" si="52"/>
        <v xml:space="preserve"> </v>
      </c>
      <c r="P307" s="5" t="str">
        <f t="shared" si="53"/>
        <v/>
      </c>
      <c r="Q307" s="5" t="str">
        <f t="shared" si="54"/>
        <v/>
      </c>
      <c r="R307" s="5" t="str">
        <f t="shared" si="55"/>
        <v/>
      </c>
    </row>
    <row r="308" spans="1:18" ht="20.25" x14ac:dyDescent="0.3">
      <c r="A308" s="14"/>
      <c r="B308" s="15">
        <v>304</v>
      </c>
      <c r="C308" s="22"/>
      <c r="D308" s="15"/>
      <c r="E308" s="23"/>
      <c r="F308" s="21"/>
      <c r="G308" s="21"/>
      <c r="H308" s="16"/>
      <c r="I308" s="15" t="str">
        <f t="shared" si="49"/>
        <v xml:space="preserve"> </v>
      </c>
      <c r="J308" s="15" t="str">
        <f t="shared" si="50"/>
        <v xml:space="preserve"> </v>
      </c>
      <c r="K308" s="15"/>
      <c r="L308" s="15">
        <f t="shared" si="56"/>
        <v>0</v>
      </c>
      <c r="M308" s="5" t="str">
        <f t="shared" si="51"/>
        <v/>
      </c>
      <c r="N308" s="25" t="str">
        <f>IF(ISBLANK($E308)," ", COUNTIF($M$4:$M308,$M308))</f>
        <v xml:space="preserve"> </v>
      </c>
      <c r="O308" s="25" t="str">
        <f t="shared" si="52"/>
        <v xml:space="preserve"> </v>
      </c>
      <c r="P308" s="5" t="str">
        <f t="shared" si="53"/>
        <v/>
      </c>
      <c r="Q308" s="5" t="str">
        <f t="shared" si="54"/>
        <v/>
      </c>
      <c r="R308" s="5" t="str">
        <f t="shared" si="55"/>
        <v/>
      </c>
    </row>
    <row r="309" spans="1:18" ht="20.25" x14ac:dyDescent="0.3">
      <c r="A309" s="14"/>
      <c r="B309" s="15">
        <v>305</v>
      </c>
      <c r="C309" s="22"/>
      <c r="D309" s="15"/>
      <c r="E309" s="23"/>
      <c r="F309" s="21"/>
      <c r="G309" s="21"/>
      <c r="H309" s="16"/>
      <c r="I309" s="15" t="str">
        <f t="shared" si="49"/>
        <v xml:space="preserve"> </v>
      </c>
      <c r="J309" s="15" t="str">
        <f t="shared" si="50"/>
        <v xml:space="preserve"> </v>
      </c>
      <c r="K309" s="15"/>
      <c r="L309" s="15">
        <f t="shared" si="56"/>
        <v>0</v>
      </c>
      <c r="M309" s="5" t="str">
        <f t="shared" si="51"/>
        <v/>
      </c>
      <c r="N309" s="25" t="str">
        <f>IF(ISBLANK($E309)," ", COUNTIF($M$4:$M309,$M309))</f>
        <v xml:space="preserve"> </v>
      </c>
      <c r="O309" s="25" t="str">
        <f t="shared" si="52"/>
        <v xml:space="preserve"> </v>
      </c>
      <c r="P309" s="5" t="str">
        <f t="shared" si="53"/>
        <v/>
      </c>
      <c r="Q309" s="5" t="str">
        <f t="shared" si="54"/>
        <v/>
      </c>
      <c r="R309" s="5" t="str">
        <f t="shared" si="55"/>
        <v/>
      </c>
    </row>
    <row r="310" spans="1:18" ht="20.25" x14ac:dyDescent="0.3">
      <c r="A310" s="14"/>
      <c r="B310" s="15">
        <v>306</v>
      </c>
      <c r="C310" s="22"/>
      <c r="D310" s="15"/>
      <c r="E310" s="23"/>
      <c r="F310" s="21"/>
      <c r="G310" s="21"/>
      <c r="H310" s="16"/>
      <c r="I310" s="15" t="str">
        <f t="shared" si="49"/>
        <v xml:space="preserve"> </v>
      </c>
      <c r="J310" s="15" t="str">
        <f t="shared" si="50"/>
        <v xml:space="preserve"> </v>
      </c>
      <c r="K310" s="15"/>
      <c r="L310" s="15">
        <f t="shared" si="56"/>
        <v>0</v>
      </c>
      <c r="M310" s="5" t="str">
        <f t="shared" si="51"/>
        <v/>
      </c>
      <c r="N310" s="25" t="str">
        <f>IF(ISBLANK($E310)," ", COUNTIF($M$4:$M310,$M310))</f>
        <v xml:space="preserve"> </v>
      </c>
      <c r="O310" s="25" t="str">
        <f t="shared" si="52"/>
        <v xml:space="preserve"> </v>
      </c>
      <c r="P310" s="5" t="str">
        <f t="shared" si="53"/>
        <v/>
      </c>
      <c r="Q310" s="5" t="str">
        <f t="shared" si="54"/>
        <v/>
      </c>
      <c r="R310" s="5" t="str">
        <f t="shared" si="55"/>
        <v/>
      </c>
    </row>
    <row r="311" spans="1:18" ht="20.25" x14ac:dyDescent="0.3">
      <c r="A311" s="14"/>
      <c r="B311" s="15">
        <v>307</v>
      </c>
      <c r="C311" s="22"/>
      <c r="D311" s="15"/>
      <c r="E311" s="23"/>
      <c r="F311" s="21"/>
      <c r="G311" s="21"/>
      <c r="H311" s="16"/>
      <c r="I311" s="15" t="str">
        <f t="shared" si="49"/>
        <v xml:space="preserve"> </v>
      </c>
      <c r="J311" s="15" t="str">
        <f t="shared" si="50"/>
        <v xml:space="preserve"> </v>
      </c>
      <c r="K311" s="15"/>
      <c r="L311" s="15">
        <f t="shared" si="56"/>
        <v>0</v>
      </c>
      <c r="M311" s="5" t="str">
        <f t="shared" si="51"/>
        <v/>
      </c>
      <c r="N311" s="25" t="str">
        <f>IF(ISBLANK($E311)," ", COUNTIF($M$4:$M311,$M311))</f>
        <v xml:space="preserve"> </v>
      </c>
      <c r="O311" s="25" t="str">
        <f t="shared" si="52"/>
        <v xml:space="preserve"> </v>
      </c>
      <c r="P311" s="5" t="str">
        <f t="shared" si="53"/>
        <v/>
      </c>
      <c r="Q311" s="5" t="str">
        <f t="shared" si="54"/>
        <v/>
      </c>
      <c r="R311" s="5" t="str">
        <f t="shared" si="55"/>
        <v/>
      </c>
    </row>
    <row r="312" spans="1:18" ht="20.25" x14ac:dyDescent="0.3">
      <c r="A312" s="14"/>
      <c r="B312" s="15">
        <v>308</v>
      </c>
      <c r="C312" s="22"/>
      <c r="D312" s="15"/>
      <c r="E312" s="23"/>
      <c r="F312" s="21"/>
      <c r="G312" s="21"/>
      <c r="H312" s="16"/>
      <c r="I312" s="15" t="str">
        <f t="shared" si="49"/>
        <v xml:space="preserve"> </v>
      </c>
      <c r="J312" s="15" t="str">
        <f t="shared" si="50"/>
        <v xml:space="preserve"> </v>
      </c>
      <c r="K312" s="15"/>
      <c r="L312" s="15">
        <f t="shared" si="56"/>
        <v>0</v>
      </c>
      <c r="M312" s="5" t="str">
        <f t="shared" si="51"/>
        <v/>
      </c>
      <c r="N312" s="25" t="str">
        <f>IF(ISBLANK($E312)," ", COUNTIF($M$4:$M312,$M312))</f>
        <v xml:space="preserve"> </v>
      </c>
      <c r="O312" s="25" t="str">
        <f t="shared" si="52"/>
        <v xml:space="preserve"> </v>
      </c>
      <c r="P312" s="5" t="str">
        <f t="shared" si="53"/>
        <v/>
      </c>
      <c r="Q312" s="5" t="str">
        <f t="shared" si="54"/>
        <v/>
      </c>
      <c r="R312" s="5" t="str">
        <f t="shared" si="55"/>
        <v/>
      </c>
    </row>
    <row r="313" spans="1:18" ht="20.25" x14ac:dyDescent="0.3">
      <c r="A313" s="14"/>
      <c r="B313" s="15">
        <v>309</v>
      </c>
      <c r="C313" s="22"/>
      <c r="D313" s="15"/>
      <c r="E313" s="23"/>
      <c r="F313" s="21"/>
      <c r="G313" s="21"/>
      <c r="H313" s="16"/>
      <c r="I313" s="15" t="str">
        <f t="shared" si="49"/>
        <v xml:space="preserve"> </v>
      </c>
      <c r="J313" s="15" t="str">
        <f t="shared" si="50"/>
        <v xml:space="preserve"> </v>
      </c>
      <c r="K313" s="15"/>
      <c r="L313" s="15">
        <f t="shared" si="56"/>
        <v>0</v>
      </c>
      <c r="M313" s="5" t="str">
        <f t="shared" si="51"/>
        <v/>
      </c>
      <c r="N313" s="25" t="str">
        <f>IF(ISBLANK($E313)," ", COUNTIF($M$4:$M313,$M313))</f>
        <v xml:space="preserve"> </v>
      </c>
      <c r="O313" s="25" t="str">
        <f t="shared" si="52"/>
        <v xml:space="preserve"> </v>
      </c>
      <c r="P313" s="5" t="str">
        <f t="shared" si="53"/>
        <v/>
      </c>
      <c r="Q313" s="5" t="str">
        <f t="shared" si="54"/>
        <v/>
      </c>
      <c r="R313" s="5" t="str">
        <f t="shared" si="55"/>
        <v/>
      </c>
    </row>
    <row r="314" spans="1:18" ht="20.25" x14ac:dyDescent="0.3">
      <c r="A314" s="14"/>
      <c r="B314" s="15">
        <v>310</v>
      </c>
      <c r="C314" s="22"/>
      <c r="D314" s="15"/>
      <c r="E314" s="23"/>
      <c r="F314" s="21"/>
      <c r="G314" s="21"/>
      <c r="H314" s="16"/>
      <c r="I314" s="15" t="str">
        <f t="shared" si="49"/>
        <v xml:space="preserve"> </v>
      </c>
      <c r="J314" s="15" t="str">
        <f t="shared" si="50"/>
        <v xml:space="preserve"> </v>
      </c>
      <c r="K314" s="15"/>
      <c r="L314" s="15">
        <f t="shared" si="56"/>
        <v>0</v>
      </c>
      <c r="M314" s="5" t="str">
        <f t="shared" si="51"/>
        <v/>
      </c>
      <c r="N314" s="25" t="str">
        <f>IF(ISBLANK($E314)," ", COUNTIF($M$4:$M314,$M314))</f>
        <v xml:space="preserve"> </v>
      </c>
      <c r="O314" s="25" t="str">
        <f t="shared" si="52"/>
        <v xml:space="preserve"> </v>
      </c>
      <c r="P314" s="5" t="str">
        <f t="shared" si="53"/>
        <v/>
      </c>
      <c r="Q314" s="5" t="str">
        <f t="shared" si="54"/>
        <v/>
      </c>
      <c r="R314" s="5" t="str">
        <f t="shared" si="55"/>
        <v/>
      </c>
    </row>
    <row r="315" spans="1:18" ht="20.25" x14ac:dyDescent="0.3">
      <c r="A315" s="14"/>
      <c r="B315" s="15">
        <v>311</v>
      </c>
      <c r="C315" s="22"/>
      <c r="D315" s="15"/>
      <c r="E315" s="23"/>
      <c r="F315" s="21"/>
      <c r="G315" s="21"/>
      <c r="H315" s="16"/>
      <c r="I315" s="15" t="str">
        <f t="shared" si="49"/>
        <v xml:space="preserve"> </v>
      </c>
      <c r="J315" s="15" t="str">
        <f t="shared" si="50"/>
        <v xml:space="preserve"> </v>
      </c>
      <c r="K315" s="15"/>
      <c r="L315" s="15">
        <f t="shared" si="56"/>
        <v>0</v>
      </c>
      <c r="M315" s="5" t="str">
        <f t="shared" si="51"/>
        <v/>
      </c>
      <c r="N315" s="25" t="str">
        <f>IF(ISBLANK($E315)," ", COUNTIF($M$4:$M315,$M315))</f>
        <v xml:space="preserve"> </v>
      </c>
      <c r="O315" s="25" t="str">
        <f t="shared" si="52"/>
        <v xml:space="preserve"> </v>
      </c>
      <c r="P315" s="5" t="str">
        <f t="shared" si="53"/>
        <v/>
      </c>
      <c r="Q315" s="5" t="str">
        <f t="shared" si="54"/>
        <v/>
      </c>
      <c r="R315" s="5" t="str">
        <f t="shared" si="55"/>
        <v/>
      </c>
    </row>
    <row r="316" spans="1:18" ht="20.25" x14ac:dyDescent="0.3">
      <c r="A316" s="14"/>
      <c r="B316" s="15">
        <v>312</v>
      </c>
      <c r="C316" s="22"/>
      <c r="D316" s="15"/>
      <c r="E316" s="23"/>
      <c r="F316" s="21"/>
      <c r="G316" s="21"/>
      <c r="H316" s="16"/>
      <c r="I316" s="15" t="str">
        <f t="shared" si="49"/>
        <v xml:space="preserve"> </v>
      </c>
      <c r="J316" s="15" t="str">
        <f t="shared" si="50"/>
        <v xml:space="preserve"> </v>
      </c>
      <c r="K316" s="15"/>
      <c r="L316" s="15">
        <f t="shared" si="56"/>
        <v>0</v>
      </c>
      <c r="M316" s="5" t="str">
        <f t="shared" si="51"/>
        <v/>
      </c>
      <c r="N316" s="25" t="str">
        <f>IF(ISBLANK($E316)," ", COUNTIF($M$4:$M316,$M316))</f>
        <v xml:space="preserve"> </v>
      </c>
      <c r="O316" s="25" t="str">
        <f t="shared" si="52"/>
        <v xml:space="preserve"> </v>
      </c>
      <c r="P316" s="5" t="str">
        <f t="shared" si="53"/>
        <v/>
      </c>
      <c r="Q316" s="5" t="str">
        <f t="shared" si="54"/>
        <v/>
      </c>
      <c r="R316" s="5" t="str">
        <f t="shared" si="55"/>
        <v/>
      </c>
    </row>
    <row r="317" spans="1:18" ht="20.25" x14ac:dyDescent="0.3">
      <c r="A317" s="14"/>
      <c r="B317" s="15">
        <v>313</v>
      </c>
      <c r="C317" s="22"/>
      <c r="D317" s="15"/>
      <c r="E317" s="23"/>
      <c r="F317" s="21"/>
      <c r="G317" s="21"/>
      <c r="H317" s="16"/>
      <c r="I317" s="15" t="str">
        <f t="shared" si="49"/>
        <v xml:space="preserve"> </v>
      </c>
      <c r="J317" s="15" t="str">
        <f t="shared" si="50"/>
        <v xml:space="preserve"> </v>
      </c>
      <c r="K317" s="15"/>
      <c r="L317" s="15">
        <f t="shared" si="56"/>
        <v>0</v>
      </c>
      <c r="M317" s="5" t="str">
        <f t="shared" si="51"/>
        <v/>
      </c>
      <c r="N317" s="25" t="str">
        <f>IF(ISBLANK($E317)," ", COUNTIF($M$4:$M317,$M317))</f>
        <v xml:space="preserve"> </v>
      </c>
      <c r="O317" s="25" t="str">
        <f t="shared" si="52"/>
        <v xml:space="preserve"> </v>
      </c>
      <c r="P317" s="5" t="str">
        <f t="shared" si="53"/>
        <v/>
      </c>
      <c r="Q317" s="5" t="str">
        <f t="shared" si="54"/>
        <v/>
      </c>
      <c r="R317" s="5" t="str">
        <f t="shared" si="55"/>
        <v/>
      </c>
    </row>
    <row r="318" spans="1:18" ht="20.25" x14ac:dyDescent="0.3">
      <c r="A318" s="14"/>
      <c r="B318" s="15">
        <v>314</v>
      </c>
      <c r="C318" s="22"/>
      <c r="D318" s="15"/>
      <c r="E318" s="23"/>
      <c r="F318" s="21"/>
      <c r="G318" s="21"/>
      <c r="H318" s="16"/>
      <c r="I318" s="15" t="str">
        <f t="shared" si="49"/>
        <v xml:space="preserve"> </v>
      </c>
      <c r="J318" s="15" t="str">
        <f t="shared" si="50"/>
        <v xml:space="preserve"> </v>
      </c>
      <c r="K318" s="15"/>
      <c r="L318" s="15">
        <f t="shared" si="56"/>
        <v>0</v>
      </c>
      <c r="M318" s="5" t="str">
        <f t="shared" si="51"/>
        <v/>
      </c>
      <c r="N318" s="25" t="str">
        <f>IF(ISBLANK($E318)," ", COUNTIF($M$4:$M318,$M318))</f>
        <v xml:space="preserve"> </v>
      </c>
      <c r="O318" s="25" t="str">
        <f t="shared" si="52"/>
        <v xml:space="preserve"> </v>
      </c>
      <c r="P318" s="5" t="str">
        <f t="shared" si="53"/>
        <v/>
      </c>
      <c r="Q318" s="5" t="str">
        <f t="shared" si="54"/>
        <v/>
      </c>
      <c r="R318" s="5" t="str">
        <f t="shared" si="55"/>
        <v/>
      </c>
    </row>
    <row r="319" spans="1:18" ht="20.25" x14ac:dyDescent="0.3">
      <c r="A319" s="14"/>
      <c r="B319" s="15">
        <v>315</v>
      </c>
      <c r="C319" s="22"/>
      <c r="D319" s="15"/>
      <c r="E319" s="23"/>
      <c r="F319" s="21"/>
      <c r="G319" s="21"/>
      <c r="H319" s="16"/>
      <c r="I319" s="15" t="str">
        <f t="shared" si="49"/>
        <v xml:space="preserve"> </v>
      </c>
      <c r="J319" s="15" t="str">
        <f t="shared" si="50"/>
        <v xml:space="preserve"> </v>
      </c>
      <c r="K319" s="15"/>
      <c r="L319" s="15">
        <f t="shared" si="56"/>
        <v>0</v>
      </c>
      <c r="M319" s="5" t="str">
        <f t="shared" si="51"/>
        <v/>
      </c>
      <c r="N319" s="25" t="str">
        <f>IF(ISBLANK($E319)," ", COUNTIF($M$4:$M319,$M319))</f>
        <v xml:space="preserve"> </v>
      </c>
      <c r="O319" s="25" t="str">
        <f t="shared" si="52"/>
        <v xml:space="preserve"> </v>
      </c>
      <c r="P319" s="5" t="str">
        <f t="shared" si="53"/>
        <v/>
      </c>
      <c r="Q319" s="5" t="str">
        <f t="shared" si="54"/>
        <v/>
      </c>
      <c r="R319" s="5" t="str">
        <f t="shared" si="55"/>
        <v/>
      </c>
    </row>
    <row r="320" spans="1:18" ht="20.25" x14ac:dyDescent="0.3">
      <c r="A320" s="14"/>
      <c r="B320" s="15">
        <v>316</v>
      </c>
      <c r="C320" s="22"/>
      <c r="D320" s="15"/>
      <c r="E320" s="23"/>
      <c r="F320" s="21"/>
      <c r="G320" s="21"/>
      <c r="H320" s="16"/>
      <c r="I320" s="15" t="str">
        <f t="shared" si="49"/>
        <v xml:space="preserve"> </v>
      </c>
      <c r="J320" s="15" t="str">
        <f t="shared" si="50"/>
        <v xml:space="preserve"> </v>
      </c>
      <c r="K320" s="15"/>
      <c r="L320" s="15">
        <f t="shared" si="56"/>
        <v>0</v>
      </c>
      <c r="M320" s="5" t="str">
        <f t="shared" si="51"/>
        <v/>
      </c>
      <c r="N320" s="25" t="str">
        <f>IF(ISBLANK($E320)," ", COUNTIF($M$4:$M320,$M320))</f>
        <v xml:space="preserve"> </v>
      </c>
      <c r="O320" s="25" t="str">
        <f t="shared" si="52"/>
        <v xml:space="preserve"> </v>
      </c>
      <c r="P320" s="5" t="str">
        <f t="shared" si="53"/>
        <v/>
      </c>
      <c r="Q320" s="5" t="str">
        <f t="shared" si="54"/>
        <v/>
      </c>
      <c r="R320" s="5" t="str">
        <f t="shared" si="55"/>
        <v/>
      </c>
    </row>
    <row r="321" spans="1:18" ht="20.25" x14ac:dyDescent="0.3">
      <c r="A321" s="14"/>
      <c r="B321" s="15">
        <v>317</v>
      </c>
      <c r="C321" s="22"/>
      <c r="D321" s="15"/>
      <c r="E321" s="23"/>
      <c r="F321" s="21"/>
      <c r="G321" s="21"/>
      <c r="H321" s="16"/>
      <c r="I321" s="15" t="str">
        <f t="shared" ref="I321:I384" si="57">IF(ISBLANK($E321)," ",IF($E321&gt;$H321,$C321,$F321))</f>
        <v xml:space="preserve"> </v>
      </c>
      <c r="J321" s="15" t="str">
        <f t="shared" ref="J321:J384" si="58">IF(ISBLANK($E321)," ",IF($E321&gt;$H321,$D321,$G321))</f>
        <v xml:space="preserve"> </v>
      </c>
      <c r="K321" s="15"/>
      <c r="L321" s="15">
        <f t="shared" si="56"/>
        <v>0</v>
      </c>
      <c r="M321" s="5" t="str">
        <f t="shared" ref="M321:M384" si="59">IF(ISBLANK($E321),"",VLOOKUP($I321,PLAYERS_IDS,2,FALSE)*VLOOKUP($J321,PLAYERS_IDS,2,FALSE))</f>
        <v/>
      </c>
      <c r="N321" s="25" t="str">
        <f>IF(ISBLANK($E321)," ", COUNTIF($M$4:$M321,$M321))</f>
        <v xml:space="preserve"> </v>
      </c>
      <c r="O321" s="25" t="str">
        <f t="shared" ref="O321:O384" si="60">IF(N321 =" ", " ", IF(N321=1,15,(IF(N321=2,15,(IF(N321=3,15,15))))))</f>
        <v xml:space="preserve"> </v>
      </c>
      <c r="P321" s="5" t="str">
        <f t="shared" ref="P321:P384" si="61">IF(ISBLANK($F321),"",VLOOKUP($C321,PLAYERS_IDS,2,FALSE)*VLOOKUP($D321,PLAYERS_IDS,2,FALSE))</f>
        <v/>
      </c>
      <c r="Q321" s="5" t="str">
        <f t="shared" ref="Q321:Q384" si="62">IF(ISBLANK($F321), "",VLOOKUP($F321,PLAYERS_IDS,2,FALSE)*VLOOKUP($G321,PLAYERS_IDS,2,FALSE))</f>
        <v/>
      </c>
      <c r="R321" s="5" t="str">
        <f t="shared" ref="R321:R384" si="63">IFERROR((P321*100000)+Q321,"")</f>
        <v/>
      </c>
    </row>
    <row r="322" spans="1:18" ht="20.25" x14ac:dyDescent="0.3">
      <c r="A322" s="14"/>
      <c r="B322" s="15">
        <v>318</v>
      </c>
      <c r="C322" s="22"/>
      <c r="D322" s="15"/>
      <c r="E322" s="23"/>
      <c r="F322" s="21"/>
      <c r="G322" s="21"/>
      <c r="H322" s="16"/>
      <c r="I322" s="15" t="str">
        <f t="shared" si="57"/>
        <v xml:space="preserve"> </v>
      </c>
      <c r="J322" s="15" t="str">
        <f t="shared" si="58"/>
        <v xml:space="preserve"> </v>
      </c>
      <c r="K322" s="15"/>
      <c r="L322" s="15">
        <f t="shared" ref="L322:L385" si="64">E322-H322</f>
        <v>0</v>
      </c>
      <c r="M322" s="5" t="str">
        <f t="shared" si="59"/>
        <v/>
      </c>
      <c r="N322" s="25" t="str">
        <f>IF(ISBLANK($E322)," ", COUNTIF($M$4:$M322,$M322))</f>
        <v xml:space="preserve"> </v>
      </c>
      <c r="O322" s="25" t="str">
        <f t="shared" si="60"/>
        <v xml:space="preserve"> </v>
      </c>
      <c r="P322" s="5" t="str">
        <f t="shared" si="61"/>
        <v/>
      </c>
      <c r="Q322" s="5" t="str">
        <f t="shared" si="62"/>
        <v/>
      </c>
      <c r="R322" s="5" t="str">
        <f t="shared" si="63"/>
        <v/>
      </c>
    </row>
    <row r="323" spans="1:18" ht="20.25" x14ac:dyDescent="0.3">
      <c r="A323" s="14"/>
      <c r="B323" s="15">
        <v>319</v>
      </c>
      <c r="C323" s="22"/>
      <c r="D323" s="15"/>
      <c r="E323" s="23"/>
      <c r="F323" s="21"/>
      <c r="G323" s="21"/>
      <c r="H323" s="16"/>
      <c r="I323" s="15" t="str">
        <f t="shared" si="57"/>
        <v xml:space="preserve"> </v>
      </c>
      <c r="J323" s="15" t="str">
        <f t="shared" si="58"/>
        <v xml:space="preserve"> </v>
      </c>
      <c r="K323" s="15"/>
      <c r="L323" s="15">
        <f t="shared" si="64"/>
        <v>0</v>
      </c>
      <c r="M323" s="5" t="str">
        <f t="shared" si="59"/>
        <v/>
      </c>
      <c r="N323" s="25" t="str">
        <f>IF(ISBLANK($E323)," ", COUNTIF($M$4:$M323,$M323))</f>
        <v xml:space="preserve"> </v>
      </c>
      <c r="O323" s="25" t="str">
        <f t="shared" si="60"/>
        <v xml:space="preserve"> </v>
      </c>
      <c r="P323" s="5" t="str">
        <f t="shared" si="61"/>
        <v/>
      </c>
      <c r="Q323" s="5" t="str">
        <f t="shared" si="62"/>
        <v/>
      </c>
      <c r="R323" s="5" t="str">
        <f t="shared" si="63"/>
        <v/>
      </c>
    </row>
    <row r="324" spans="1:18" ht="20.25" x14ac:dyDescent="0.3">
      <c r="A324" s="14"/>
      <c r="B324" s="15">
        <v>320</v>
      </c>
      <c r="C324" s="22"/>
      <c r="D324" s="15"/>
      <c r="E324" s="23"/>
      <c r="F324" s="21"/>
      <c r="G324" s="21"/>
      <c r="H324" s="16"/>
      <c r="I324" s="15" t="str">
        <f t="shared" si="57"/>
        <v xml:space="preserve"> </v>
      </c>
      <c r="J324" s="15" t="str">
        <f t="shared" si="58"/>
        <v xml:space="preserve"> </v>
      </c>
      <c r="K324" s="15"/>
      <c r="L324" s="15">
        <f t="shared" si="64"/>
        <v>0</v>
      </c>
      <c r="M324" s="5" t="str">
        <f t="shared" si="59"/>
        <v/>
      </c>
      <c r="N324" s="25" t="str">
        <f>IF(ISBLANK($E324)," ", COUNTIF($M$4:$M324,$M324))</f>
        <v xml:space="preserve"> </v>
      </c>
      <c r="O324" s="25" t="str">
        <f t="shared" si="60"/>
        <v xml:space="preserve"> </v>
      </c>
      <c r="P324" s="5" t="str">
        <f t="shared" si="61"/>
        <v/>
      </c>
      <c r="Q324" s="5" t="str">
        <f t="shared" si="62"/>
        <v/>
      </c>
      <c r="R324" s="5" t="str">
        <f t="shared" si="63"/>
        <v/>
      </c>
    </row>
    <row r="325" spans="1:18" ht="20.25" x14ac:dyDescent="0.3">
      <c r="A325" s="14"/>
      <c r="B325" s="15">
        <v>321</v>
      </c>
      <c r="C325" s="22"/>
      <c r="D325" s="15"/>
      <c r="E325" s="23"/>
      <c r="F325" s="21"/>
      <c r="G325" s="21"/>
      <c r="H325" s="16"/>
      <c r="I325" s="15" t="str">
        <f t="shared" si="57"/>
        <v xml:space="preserve"> </v>
      </c>
      <c r="J325" s="15" t="str">
        <f t="shared" si="58"/>
        <v xml:space="preserve"> </v>
      </c>
      <c r="K325" s="15"/>
      <c r="L325" s="15">
        <f t="shared" si="64"/>
        <v>0</v>
      </c>
      <c r="M325" s="5" t="str">
        <f t="shared" si="59"/>
        <v/>
      </c>
      <c r="N325" s="25" t="str">
        <f>IF(ISBLANK($E325)," ", COUNTIF($M$4:$M325,$M325))</f>
        <v xml:space="preserve"> </v>
      </c>
      <c r="O325" s="25" t="str">
        <f t="shared" si="60"/>
        <v xml:space="preserve"> </v>
      </c>
      <c r="P325" s="5" t="str">
        <f t="shared" si="61"/>
        <v/>
      </c>
      <c r="Q325" s="5" t="str">
        <f t="shared" si="62"/>
        <v/>
      </c>
      <c r="R325" s="5" t="str">
        <f t="shared" si="63"/>
        <v/>
      </c>
    </row>
    <row r="326" spans="1:18" ht="20.25" x14ac:dyDescent="0.3">
      <c r="A326" s="14"/>
      <c r="B326" s="15">
        <v>322</v>
      </c>
      <c r="C326" s="22"/>
      <c r="D326" s="15"/>
      <c r="E326" s="23"/>
      <c r="F326" s="21"/>
      <c r="G326" s="21"/>
      <c r="H326" s="16"/>
      <c r="I326" s="15" t="str">
        <f t="shared" si="57"/>
        <v xml:space="preserve"> </v>
      </c>
      <c r="J326" s="15" t="str">
        <f t="shared" si="58"/>
        <v xml:space="preserve"> </v>
      </c>
      <c r="K326" s="15"/>
      <c r="L326" s="15">
        <f t="shared" si="64"/>
        <v>0</v>
      </c>
      <c r="M326" s="5" t="str">
        <f t="shared" si="59"/>
        <v/>
      </c>
      <c r="N326" s="25" t="str">
        <f>IF(ISBLANK($E326)," ", COUNTIF($M$4:$M326,$M326))</f>
        <v xml:space="preserve"> </v>
      </c>
      <c r="O326" s="25" t="str">
        <f t="shared" si="60"/>
        <v xml:space="preserve"> </v>
      </c>
      <c r="P326" s="5" t="str">
        <f t="shared" si="61"/>
        <v/>
      </c>
      <c r="Q326" s="5" t="str">
        <f t="shared" si="62"/>
        <v/>
      </c>
      <c r="R326" s="5" t="str">
        <f t="shared" si="63"/>
        <v/>
      </c>
    </row>
    <row r="327" spans="1:18" ht="20.25" x14ac:dyDescent="0.3">
      <c r="A327" s="14"/>
      <c r="B327" s="15">
        <v>323</v>
      </c>
      <c r="C327" s="22"/>
      <c r="D327" s="15"/>
      <c r="E327" s="23"/>
      <c r="F327" s="21"/>
      <c r="G327" s="21"/>
      <c r="H327" s="16"/>
      <c r="I327" s="15" t="str">
        <f t="shared" si="57"/>
        <v xml:space="preserve"> </v>
      </c>
      <c r="J327" s="15" t="str">
        <f t="shared" si="58"/>
        <v xml:space="preserve"> </v>
      </c>
      <c r="K327" s="15"/>
      <c r="L327" s="15">
        <f t="shared" si="64"/>
        <v>0</v>
      </c>
      <c r="M327" s="5" t="str">
        <f t="shared" si="59"/>
        <v/>
      </c>
      <c r="N327" s="25" t="str">
        <f>IF(ISBLANK($E327)," ", COUNTIF($M$4:$M327,$M327))</f>
        <v xml:space="preserve"> </v>
      </c>
      <c r="O327" s="25" t="str">
        <f t="shared" si="60"/>
        <v xml:space="preserve"> </v>
      </c>
      <c r="P327" s="5" t="str">
        <f t="shared" si="61"/>
        <v/>
      </c>
      <c r="Q327" s="5" t="str">
        <f t="shared" si="62"/>
        <v/>
      </c>
      <c r="R327" s="5" t="str">
        <f t="shared" si="63"/>
        <v/>
      </c>
    </row>
    <row r="328" spans="1:18" ht="20.25" x14ac:dyDescent="0.3">
      <c r="A328" s="14"/>
      <c r="B328" s="15">
        <v>324</v>
      </c>
      <c r="C328" s="22"/>
      <c r="D328" s="15"/>
      <c r="E328" s="23"/>
      <c r="F328" s="21"/>
      <c r="G328" s="21"/>
      <c r="H328" s="16"/>
      <c r="I328" s="15" t="str">
        <f t="shared" si="57"/>
        <v xml:space="preserve"> </v>
      </c>
      <c r="J328" s="15" t="str">
        <f t="shared" si="58"/>
        <v xml:space="preserve"> </v>
      </c>
      <c r="K328" s="15"/>
      <c r="L328" s="15">
        <f t="shared" si="64"/>
        <v>0</v>
      </c>
      <c r="M328" s="5" t="str">
        <f t="shared" si="59"/>
        <v/>
      </c>
      <c r="N328" s="25" t="str">
        <f>IF(ISBLANK($E328)," ", COUNTIF($M$4:$M328,$M328))</f>
        <v xml:space="preserve"> </v>
      </c>
      <c r="O328" s="25" t="str">
        <f t="shared" si="60"/>
        <v xml:space="preserve"> </v>
      </c>
      <c r="P328" s="5" t="str">
        <f t="shared" si="61"/>
        <v/>
      </c>
      <c r="Q328" s="5" t="str">
        <f t="shared" si="62"/>
        <v/>
      </c>
      <c r="R328" s="5" t="str">
        <f t="shared" si="63"/>
        <v/>
      </c>
    </row>
    <row r="329" spans="1:18" ht="20.25" x14ac:dyDescent="0.3">
      <c r="A329" s="14"/>
      <c r="B329" s="15">
        <v>325</v>
      </c>
      <c r="C329" s="22"/>
      <c r="D329" s="15"/>
      <c r="E329" s="23"/>
      <c r="F329" s="21"/>
      <c r="G329" s="21"/>
      <c r="H329" s="16"/>
      <c r="I329" s="15" t="str">
        <f t="shared" si="57"/>
        <v xml:space="preserve"> </v>
      </c>
      <c r="J329" s="15" t="str">
        <f t="shared" si="58"/>
        <v xml:space="preserve"> </v>
      </c>
      <c r="K329" s="15"/>
      <c r="L329" s="15">
        <f t="shared" si="64"/>
        <v>0</v>
      </c>
      <c r="M329" s="5" t="str">
        <f t="shared" si="59"/>
        <v/>
      </c>
      <c r="N329" s="25" t="str">
        <f>IF(ISBLANK($E329)," ", COUNTIF($M$4:$M329,$M329))</f>
        <v xml:space="preserve"> </v>
      </c>
      <c r="O329" s="25" t="str">
        <f t="shared" si="60"/>
        <v xml:space="preserve"> </v>
      </c>
      <c r="P329" s="5" t="str">
        <f t="shared" si="61"/>
        <v/>
      </c>
      <c r="Q329" s="5" t="str">
        <f t="shared" si="62"/>
        <v/>
      </c>
      <c r="R329" s="5" t="str">
        <f t="shared" si="63"/>
        <v/>
      </c>
    </row>
    <row r="330" spans="1:18" ht="20.25" x14ac:dyDescent="0.3">
      <c r="A330" s="14"/>
      <c r="B330" s="15">
        <v>326</v>
      </c>
      <c r="C330" s="22"/>
      <c r="D330" s="15"/>
      <c r="E330" s="23"/>
      <c r="F330" s="21"/>
      <c r="G330" s="21"/>
      <c r="H330" s="16"/>
      <c r="I330" s="15" t="str">
        <f t="shared" si="57"/>
        <v xml:space="preserve"> </v>
      </c>
      <c r="J330" s="15" t="str">
        <f t="shared" si="58"/>
        <v xml:space="preserve"> </v>
      </c>
      <c r="K330" s="15"/>
      <c r="L330" s="15">
        <f t="shared" si="64"/>
        <v>0</v>
      </c>
      <c r="M330" s="5" t="str">
        <f t="shared" si="59"/>
        <v/>
      </c>
      <c r="N330" s="25" t="str">
        <f>IF(ISBLANK($E330)," ", COUNTIF($M$4:$M330,$M330))</f>
        <v xml:space="preserve"> </v>
      </c>
      <c r="O330" s="25" t="str">
        <f t="shared" si="60"/>
        <v xml:space="preserve"> </v>
      </c>
      <c r="P330" s="5" t="str">
        <f t="shared" si="61"/>
        <v/>
      </c>
      <c r="Q330" s="5" t="str">
        <f t="shared" si="62"/>
        <v/>
      </c>
      <c r="R330" s="5" t="str">
        <f t="shared" si="63"/>
        <v/>
      </c>
    </row>
    <row r="331" spans="1:18" ht="20.25" x14ac:dyDescent="0.3">
      <c r="A331" s="14"/>
      <c r="B331" s="15">
        <v>327</v>
      </c>
      <c r="C331" s="22"/>
      <c r="D331" s="15"/>
      <c r="E331" s="23"/>
      <c r="F331" s="21"/>
      <c r="G331" s="21"/>
      <c r="H331" s="16"/>
      <c r="I331" s="15" t="str">
        <f t="shared" si="57"/>
        <v xml:space="preserve"> </v>
      </c>
      <c r="J331" s="15" t="str">
        <f t="shared" si="58"/>
        <v xml:space="preserve"> </v>
      </c>
      <c r="K331" s="15"/>
      <c r="L331" s="15">
        <f t="shared" si="64"/>
        <v>0</v>
      </c>
      <c r="M331" s="5" t="str">
        <f t="shared" si="59"/>
        <v/>
      </c>
      <c r="N331" s="25" t="str">
        <f>IF(ISBLANK($E331)," ", COUNTIF($M$4:$M331,$M331))</f>
        <v xml:space="preserve"> </v>
      </c>
      <c r="O331" s="25" t="str">
        <f t="shared" si="60"/>
        <v xml:space="preserve"> </v>
      </c>
      <c r="P331" s="5" t="str">
        <f t="shared" si="61"/>
        <v/>
      </c>
      <c r="Q331" s="5" t="str">
        <f t="shared" si="62"/>
        <v/>
      </c>
      <c r="R331" s="5" t="str">
        <f t="shared" si="63"/>
        <v/>
      </c>
    </row>
    <row r="332" spans="1:18" ht="20.25" x14ac:dyDescent="0.3">
      <c r="A332" s="14"/>
      <c r="B332" s="15">
        <v>328</v>
      </c>
      <c r="C332" s="22"/>
      <c r="D332" s="15"/>
      <c r="E332" s="23"/>
      <c r="F332" s="21"/>
      <c r="G332" s="21"/>
      <c r="H332" s="16"/>
      <c r="I332" s="15" t="str">
        <f t="shared" si="57"/>
        <v xml:space="preserve"> </v>
      </c>
      <c r="J332" s="15" t="str">
        <f t="shared" si="58"/>
        <v xml:space="preserve"> </v>
      </c>
      <c r="K332" s="15"/>
      <c r="L332" s="15">
        <f t="shared" si="64"/>
        <v>0</v>
      </c>
      <c r="M332" s="5" t="str">
        <f t="shared" si="59"/>
        <v/>
      </c>
      <c r="N332" s="25" t="str">
        <f>IF(ISBLANK($E332)," ", COUNTIF($M$4:$M332,$M332))</f>
        <v xml:space="preserve"> </v>
      </c>
      <c r="O332" s="25" t="str">
        <f t="shared" si="60"/>
        <v xml:space="preserve"> </v>
      </c>
      <c r="P332" s="5" t="str">
        <f t="shared" si="61"/>
        <v/>
      </c>
      <c r="Q332" s="5" t="str">
        <f t="shared" si="62"/>
        <v/>
      </c>
      <c r="R332" s="5" t="str">
        <f t="shared" si="63"/>
        <v/>
      </c>
    </row>
    <row r="333" spans="1:18" ht="20.25" x14ac:dyDescent="0.3">
      <c r="A333" s="14"/>
      <c r="B333" s="15">
        <v>329</v>
      </c>
      <c r="C333" s="22"/>
      <c r="D333" s="15"/>
      <c r="E333" s="23"/>
      <c r="F333" s="21"/>
      <c r="G333" s="21"/>
      <c r="H333" s="16"/>
      <c r="I333" s="15" t="str">
        <f t="shared" si="57"/>
        <v xml:space="preserve"> </v>
      </c>
      <c r="J333" s="15" t="str">
        <f t="shared" si="58"/>
        <v xml:space="preserve"> </v>
      </c>
      <c r="K333" s="15"/>
      <c r="L333" s="15">
        <f t="shared" si="64"/>
        <v>0</v>
      </c>
      <c r="M333" s="5" t="str">
        <f t="shared" si="59"/>
        <v/>
      </c>
      <c r="N333" s="25" t="str">
        <f>IF(ISBLANK($E333)," ", COUNTIF($M$4:$M333,$M333))</f>
        <v xml:space="preserve"> </v>
      </c>
      <c r="O333" s="25" t="str">
        <f t="shared" si="60"/>
        <v xml:space="preserve"> </v>
      </c>
      <c r="P333" s="5" t="str">
        <f t="shared" si="61"/>
        <v/>
      </c>
      <c r="Q333" s="5" t="str">
        <f t="shared" si="62"/>
        <v/>
      </c>
      <c r="R333" s="5" t="str">
        <f t="shared" si="63"/>
        <v/>
      </c>
    </row>
    <row r="334" spans="1:18" ht="20.25" x14ac:dyDescent="0.3">
      <c r="A334" s="14"/>
      <c r="B334" s="15">
        <v>330</v>
      </c>
      <c r="C334" s="22"/>
      <c r="D334" s="15"/>
      <c r="E334" s="23"/>
      <c r="F334" s="21"/>
      <c r="G334" s="21"/>
      <c r="H334" s="16"/>
      <c r="I334" s="15" t="str">
        <f t="shared" si="57"/>
        <v xml:space="preserve"> </v>
      </c>
      <c r="J334" s="15" t="str">
        <f t="shared" si="58"/>
        <v xml:space="preserve"> </v>
      </c>
      <c r="K334" s="15"/>
      <c r="L334" s="15">
        <f t="shared" si="64"/>
        <v>0</v>
      </c>
      <c r="M334" s="5" t="str">
        <f t="shared" si="59"/>
        <v/>
      </c>
      <c r="N334" s="25" t="str">
        <f>IF(ISBLANK($E334)," ", COUNTIF($M$4:$M334,$M334))</f>
        <v xml:space="preserve"> </v>
      </c>
      <c r="O334" s="25" t="str">
        <f t="shared" si="60"/>
        <v xml:space="preserve"> </v>
      </c>
      <c r="P334" s="5" t="str">
        <f t="shared" si="61"/>
        <v/>
      </c>
      <c r="Q334" s="5" t="str">
        <f t="shared" si="62"/>
        <v/>
      </c>
      <c r="R334" s="5" t="str">
        <f t="shared" si="63"/>
        <v/>
      </c>
    </row>
    <row r="335" spans="1:18" ht="20.25" x14ac:dyDescent="0.3">
      <c r="A335" s="14"/>
      <c r="B335" s="15">
        <v>331</v>
      </c>
      <c r="C335" s="22"/>
      <c r="D335" s="15"/>
      <c r="E335" s="23"/>
      <c r="F335" s="21"/>
      <c r="G335" s="21"/>
      <c r="H335" s="16"/>
      <c r="I335" s="15" t="str">
        <f t="shared" si="57"/>
        <v xml:space="preserve"> </v>
      </c>
      <c r="J335" s="15" t="str">
        <f t="shared" si="58"/>
        <v xml:space="preserve"> </v>
      </c>
      <c r="K335" s="15"/>
      <c r="L335" s="15">
        <f t="shared" si="64"/>
        <v>0</v>
      </c>
      <c r="M335" s="5" t="str">
        <f t="shared" si="59"/>
        <v/>
      </c>
      <c r="N335" s="25" t="str">
        <f>IF(ISBLANK($E335)," ", COUNTIF($M$4:$M335,$M335))</f>
        <v xml:space="preserve"> </v>
      </c>
      <c r="O335" s="25" t="str">
        <f t="shared" si="60"/>
        <v xml:space="preserve"> </v>
      </c>
      <c r="P335" s="5" t="str">
        <f t="shared" si="61"/>
        <v/>
      </c>
      <c r="Q335" s="5" t="str">
        <f t="shared" si="62"/>
        <v/>
      </c>
      <c r="R335" s="5" t="str">
        <f t="shared" si="63"/>
        <v/>
      </c>
    </row>
    <row r="336" spans="1:18" ht="20.25" x14ac:dyDescent="0.3">
      <c r="A336" s="14"/>
      <c r="B336" s="15">
        <v>332</v>
      </c>
      <c r="C336" s="22"/>
      <c r="D336" s="15"/>
      <c r="E336" s="23"/>
      <c r="F336" s="21"/>
      <c r="G336" s="21"/>
      <c r="H336" s="16"/>
      <c r="I336" s="15" t="str">
        <f t="shared" si="57"/>
        <v xml:space="preserve"> </v>
      </c>
      <c r="J336" s="15" t="str">
        <f t="shared" si="58"/>
        <v xml:space="preserve"> </v>
      </c>
      <c r="K336" s="15"/>
      <c r="L336" s="15">
        <f t="shared" si="64"/>
        <v>0</v>
      </c>
      <c r="M336" s="5" t="str">
        <f t="shared" si="59"/>
        <v/>
      </c>
      <c r="N336" s="25" t="str">
        <f>IF(ISBLANK($E336)," ", COUNTIF($M$4:$M336,$M336))</f>
        <v xml:space="preserve"> </v>
      </c>
      <c r="O336" s="25" t="str">
        <f t="shared" si="60"/>
        <v xml:space="preserve"> </v>
      </c>
      <c r="P336" s="5" t="str">
        <f t="shared" si="61"/>
        <v/>
      </c>
      <c r="Q336" s="5" t="str">
        <f t="shared" si="62"/>
        <v/>
      </c>
      <c r="R336" s="5" t="str">
        <f t="shared" si="63"/>
        <v/>
      </c>
    </row>
    <row r="337" spans="1:18" ht="20.25" x14ac:dyDescent="0.3">
      <c r="A337" s="14"/>
      <c r="B337" s="15">
        <v>333</v>
      </c>
      <c r="C337" s="22"/>
      <c r="D337" s="15"/>
      <c r="E337" s="23"/>
      <c r="F337" s="21"/>
      <c r="G337" s="21"/>
      <c r="H337" s="16"/>
      <c r="I337" s="15" t="str">
        <f t="shared" si="57"/>
        <v xml:space="preserve"> </v>
      </c>
      <c r="J337" s="15" t="str">
        <f t="shared" si="58"/>
        <v xml:space="preserve"> </v>
      </c>
      <c r="K337" s="15"/>
      <c r="L337" s="15">
        <f t="shared" si="64"/>
        <v>0</v>
      </c>
      <c r="M337" s="5" t="str">
        <f t="shared" si="59"/>
        <v/>
      </c>
      <c r="N337" s="25" t="str">
        <f>IF(ISBLANK($E337)," ", COUNTIF($M$4:$M337,$M337))</f>
        <v xml:space="preserve"> </v>
      </c>
      <c r="O337" s="25" t="str">
        <f t="shared" si="60"/>
        <v xml:space="preserve"> </v>
      </c>
      <c r="P337" s="5" t="str">
        <f t="shared" si="61"/>
        <v/>
      </c>
      <c r="Q337" s="5" t="str">
        <f t="shared" si="62"/>
        <v/>
      </c>
      <c r="R337" s="5" t="str">
        <f t="shared" si="63"/>
        <v/>
      </c>
    </row>
    <row r="338" spans="1:18" ht="20.25" x14ac:dyDescent="0.3">
      <c r="A338" s="14"/>
      <c r="B338" s="15">
        <v>334</v>
      </c>
      <c r="C338" s="22"/>
      <c r="D338" s="15"/>
      <c r="E338" s="23"/>
      <c r="F338" s="21"/>
      <c r="G338" s="21"/>
      <c r="H338" s="16"/>
      <c r="I338" s="15" t="str">
        <f t="shared" si="57"/>
        <v xml:space="preserve"> </v>
      </c>
      <c r="J338" s="15" t="str">
        <f t="shared" si="58"/>
        <v xml:space="preserve"> </v>
      </c>
      <c r="K338" s="15"/>
      <c r="L338" s="15">
        <f t="shared" si="64"/>
        <v>0</v>
      </c>
      <c r="M338" s="5" t="str">
        <f t="shared" si="59"/>
        <v/>
      </c>
      <c r="N338" s="25" t="str">
        <f>IF(ISBLANK($E338)," ", COUNTIF($M$4:$M338,$M338))</f>
        <v xml:space="preserve"> </v>
      </c>
      <c r="O338" s="25" t="str">
        <f t="shared" si="60"/>
        <v xml:space="preserve"> </v>
      </c>
      <c r="P338" s="5" t="str">
        <f t="shared" si="61"/>
        <v/>
      </c>
      <c r="Q338" s="5" t="str">
        <f t="shared" si="62"/>
        <v/>
      </c>
      <c r="R338" s="5" t="str">
        <f t="shared" si="63"/>
        <v/>
      </c>
    </row>
    <row r="339" spans="1:18" ht="20.25" x14ac:dyDescent="0.3">
      <c r="A339" s="14"/>
      <c r="B339" s="15">
        <v>335</v>
      </c>
      <c r="C339" s="22"/>
      <c r="D339" s="15"/>
      <c r="E339" s="23"/>
      <c r="F339" s="21"/>
      <c r="G339" s="21"/>
      <c r="H339" s="16"/>
      <c r="I339" s="15" t="str">
        <f t="shared" si="57"/>
        <v xml:space="preserve"> </v>
      </c>
      <c r="J339" s="15" t="str">
        <f t="shared" si="58"/>
        <v xml:space="preserve"> </v>
      </c>
      <c r="K339" s="15"/>
      <c r="L339" s="15">
        <f t="shared" si="64"/>
        <v>0</v>
      </c>
      <c r="M339" s="5" t="str">
        <f t="shared" si="59"/>
        <v/>
      </c>
      <c r="N339" s="25" t="str">
        <f>IF(ISBLANK($E339)," ", COUNTIF($M$4:$M339,$M339))</f>
        <v xml:space="preserve"> </v>
      </c>
      <c r="O339" s="25" t="str">
        <f t="shared" si="60"/>
        <v xml:space="preserve"> </v>
      </c>
      <c r="P339" s="5" t="str">
        <f t="shared" si="61"/>
        <v/>
      </c>
      <c r="Q339" s="5" t="str">
        <f t="shared" si="62"/>
        <v/>
      </c>
      <c r="R339" s="5" t="str">
        <f t="shared" si="63"/>
        <v/>
      </c>
    </row>
    <row r="340" spans="1:18" ht="20.25" x14ac:dyDescent="0.3">
      <c r="A340" s="14"/>
      <c r="B340" s="15">
        <v>336</v>
      </c>
      <c r="C340" s="22"/>
      <c r="D340" s="15"/>
      <c r="E340" s="23"/>
      <c r="F340" s="21"/>
      <c r="G340" s="21"/>
      <c r="H340" s="16"/>
      <c r="I340" s="15" t="str">
        <f t="shared" si="57"/>
        <v xml:space="preserve"> </v>
      </c>
      <c r="J340" s="15" t="str">
        <f t="shared" si="58"/>
        <v xml:space="preserve"> </v>
      </c>
      <c r="K340" s="15"/>
      <c r="L340" s="15">
        <f t="shared" si="64"/>
        <v>0</v>
      </c>
      <c r="M340" s="5" t="str">
        <f t="shared" si="59"/>
        <v/>
      </c>
      <c r="N340" s="25" t="str">
        <f>IF(ISBLANK($E340)," ", COUNTIF($M$4:$M340,$M340))</f>
        <v xml:space="preserve"> </v>
      </c>
      <c r="O340" s="25" t="str">
        <f t="shared" si="60"/>
        <v xml:space="preserve"> </v>
      </c>
      <c r="P340" s="5" t="str">
        <f t="shared" si="61"/>
        <v/>
      </c>
      <c r="Q340" s="5" t="str">
        <f t="shared" si="62"/>
        <v/>
      </c>
      <c r="R340" s="5" t="str">
        <f t="shared" si="63"/>
        <v/>
      </c>
    </row>
    <row r="341" spans="1:18" ht="20.25" x14ac:dyDescent="0.3">
      <c r="A341" s="14"/>
      <c r="B341" s="15">
        <v>337</v>
      </c>
      <c r="C341" s="22"/>
      <c r="D341" s="15"/>
      <c r="E341" s="23"/>
      <c r="F341" s="21"/>
      <c r="G341" s="21"/>
      <c r="H341" s="16"/>
      <c r="I341" s="15" t="str">
        <f t="shared" si="57"/>
        <v xml:space="preserve"> </v>
      </c>
      <c r="J341" s="15" t="str">
        <f t="shared" si="58"/>
        <v xml:space="preserve"> </v>
      </c>
      <c r="K341" s="15"/>
      <c r="L341" s="15">
        <f t="shared" si="64"/>
        <v>0</v>
      </c>
      <c r="M341" s="5" t="str">
        <f t="shared" si="59"/>
        <v/>
      </c>
      <c r="N341" s="25" t="str">
        <f>IF(ISBLANK($E341)," ", COUNTIF($M$4:$M341,$M341))</f>
        <v xml:space="preserve"> </v>
      </c>
      <c r="O341" s="25" t="str">
        <f t="shared" si="60"/>
        <v xml:space="preserve"> </v>
      </c>
      <c r="P341" s="5" t="str">
        <f t="shared" si="61"/>
        <v/>
      </c>
      <c r="Q341" s="5" t="str">
        <f t="shared" si="62"/>
        <v/>
      </c>
      <c r="R341" s="5" t="str">
        <f t="shared" si="63"/>
        <v/>
      </c>
    </row>
    <row r="342" spans="1:18" ht="20.25" x14ac:dyDescent="0.3">
      <c r="A342" s="14"/>
      <c r="B342" s="15">
        <v>338</v>
      </c>
      <c r="C342" s="22"/>
      <c r="D342" s="15"/>
      <c r="E342" s="23"/>
      <c r="F342" s="21"/>
      <c r="G342" s="21"/>
      <c r="H342" s="16"/>
      <c r="I342" s="15" t="str">
        <f t="shared" si="57"/>
        <v xml:space="preserve"> </v>
      </c>
      <c r="J342" s="15" t="str">
        <f t="shared" si="58"/>
        <v xml:space="preserve"> </v>
      </c>
      <c r="K342" s="15"/>
      <c r="L342" s="15">
        <f t="shared" si="64"/>
        <v>0</v>
      </c>
      <c r="M342" s="5" t="str">
        <f t="shared" si="59"/>
        <v/>
      </c>
      <c r="N342" s="25" t="str">
        <f>IF(ISBLANK($E342)," ", COUNTIF($M$4:$M342,$M342))</f>
        <v xml:space="preserve"> </v>
      </c>
      <c r="O342" s="25" t="str">
        <f t="shared" si="60"/>
        <v xml:space="preserve"> </v>
      </c>
      <c r="P342" s="5" t="str">
        <f t="shared" si="61"/>
        <v/>
      </c>
      <c r="Q342" s="5" t="str">
        <f t="shared" si="62"/>
        <v/>
      </c>
      <c r="R342" s="5" t="str">
        <f t="shared" si="63"/>
        <v/>
      </c>
    </row>
    <row r="343" spans="1:18" ht="20.25" x14ac:dyDescent="0.3">
      <c r="A343" s="14"/>
      <c r="B343" s="15">
        <v>339</v>
      </c>
      <c r="C343" s="22"/>
      <c r="D343" s="15"/>
      <c r="E343" s="23"/>
      <c r="F343" s="21"/>
      <c r="G343" s="21"/>
      <c r="H343" s="16"/>
      <c r="I343" s="15" t="str">
        <f t="shared" si="57"/>
        <v xml:space="preserve"> </v>
      </c>
      <c r="J343" s="15" t="str">
        <f t="shared" si="58"/>
        <v xml:space="preserve"> </v>
      </c>
      <c r="K343" s="15"/>
      <c r="L343" s="15">
        <f t="shared" si="64"/>
        <v>0</v>
      </c>
      <c r="M343" s="5" t="str">
        <f t="shared" si="59"/>
        <v/>
      </c>
      <c r="N343" s="25" t="str">
        <f>IF(ISBLANK($E343)," ", COUNTIF($M$4:$M343,$M343))</f>
        <v xml:space="preserve"> </v>
      </c>
      <c r="O343" s="25" t="str">
        <f t="shared" si="60"/>
        <v xml:space="preserve"> </v>
      </c>
      <c r="P343" s="5" t="str">
        <f t="shared" si="61"/>
        <v/>
      </c>
      <c r="Q343" s="5" t="str">
        <f t="shared" si="62"/>
        <v/>
      </c>
      <c r="R343" s="5" t="str">
        <f t="shared" si="63"/>
        <v/>
      </c>
    </row>
    <row r="344" spans="1:18" ht="20.25" x14ac:dyDescent="0.3">
      <c r="A344" s="14"/>
      <c r="B344" s="15">
        <v>340</v>
      </c>
      <c r="C344" s="22"/>
      <c r="D344" s="15"/>
      <c r="E344" s="23"/>
      <c r="F344" s="21"/>
      <c r="G344" s="21"/>
      <c r="H344" s="16"/>
      <c r="I344" s="15" t="str">
        <f t="shared" si="57"/>
        <v xml:space="preserve"> </v>
      </c>
      <c r="J344" s="15" t="str">
        <f t="shared" si="58"/>
        <v xml:space="preserve"> </v>
      </c>
      <c r="K344" s="15"/>
      <c r="L344" s="15">
        <f t="shared" si="64"/>
        <v>0</v>
      </c>
      <c r="M344" s="5" t="str">
        <f t="shared" si="59"/>
        <v/>
      </c>
      <c r="N344" s="25" t="str">
        <f>IF(ISBLANK($E344)," ", COUNTIF($M$4:$M344,$M344))</f>
        <v xml:space="preserve"> </v>
      </c>
      <c r="O344" s="25" t="str">
        <f t="shared" si="60"/>
        <v xml:space="preserve"> </v>
      </c>
      <c r="P344" s="5" t="str">
        <f t="shared" si="61"/>
        <v/>
      </c>
      <c r="Q344" s="5" t="str">
        <f t="shared" si="62"/>
        <v/>
      </c>
      <c r="R344" s="5" t="str">
        <f t="shared" si="63"/>
        <v/>
      </c>
    </row>
    <row r="345" spans="1:18" ht="20.25" x14ac:dyDescent="0.3">
      <c r="A345" s="14"/>
      <c r="B345" s="15">
        <v>341</v>
      </c>
      <c r="C345" s="22"/>
      <c r="D345" s="15"/>
      <c r="E345" s="23"/>
      <c r="F345" s="21"/>
      <c r="G345" s="21"/>
      <c r="H345" s="16"/>
      <c r="I345" s="15" t="str">
        <f t="shared" si="57"/>
        <v xml:space="preserve"> </v>
      </c>
      <c r="J345" s="15" t="str">
        <f t="shared" si="58"/>
        <v xml:space="preserve"> </v>
      </c>
      <c r="K345" s="15"/>
      <c r="L345" s="15">
        <f t="shared" si="64"/>
        <v>0</v>
      </c>
      <c r="M345" s="5" t="str">
        <f t="shared" si="59"/>
        <v/>
      </c>
      <c r="N345" s="25" t="str">
        <f>IF(ISBLANK($E345)," ", COUNTIF($M$4:$M345,$M345))</f>
        <v xml:space="preserve"> </v>
      </c>
      <c r="O345" s="25" t="str">
        <f t="shared" si="60"/>
        <v xml:space="preserve"> </v>
      </c>
      <c r="P345" s="5" t="str">
        <f t="shared" si="61"/>
        <v/>
      </c>
      <c r="Q345" s="5" t="str">
        <f t="shared" si="62"/>
        <v/>
      </c>
      <c r="R345" s="5" t="str">
        <f t="shared" si="63"/>
        <v/>
      </c>
    </row>
    <row r="346" spans="1:18" ht="20.25" x14ac:dyDescent="0.3">
      <c r="A346" s="14"/>
      <c r="B346" s="15">
        <v>342</v>
      </c>
      <c r="C346" s="22"/>
      <c r="D346" s="15"/>
      <c r="E346" s="23"/>
      <c r="F346" s="21"/>
      <c r="G346" s="21"/>
      <c r="H346" s="16"/>
      <c r="I346" s="15" t="str">
        <f t="shared" si="57"/>
        <v xml:space="preserve"> </v>
      </c>
      <c r="J346" s="15" t="str">
        <f t="shared" si="58"/>
        <v xml:space="preserve"> </v>
      </c>
      <c r="K346" s="15"/>
      <c r="L346" s="15">
        <f t="shared" si="64"/>
        <v>0</v>
      </c>
      <c r="M346" s="5" t="str">
        <f t="shared" si="59"/>
        <v/>
      </c>
      <c r="N346" s="25" t="str">
        <f>IF(ISBLANK($E346)," ", COUNTIF($M$4:$M346,$M346))</f>
        <v xml:space="preserve"> </v>
      </c>
      <c r="O346" s="25" t="str">
        <f t="shared" si="60"/>
        <v xml:space="preserve"> </v>
      </c>
      <c r="P346" s="5" t="str">
        <f t="shared" si="61"/>
        <v/>
      </c>
      <c r="Q346" s="5" t="str">
        <f t="shared" si="62"/>
        <v/>
      </c>
      <c r="R346" s="5" t="str">
        <f t="shared" si="63"/>
        <v/>
      </c>
    </row>
    <row r="347" spans="1:18" ht="20.25" x14ac:dyDescent="0.3">
      <c r="A347" s="14"/>
      <c r="B347" s="15">
        <v>343</v>
      </c>
      <c r="C347" s="22"/>
      <c r="D347" s="15"/>
      <c r="E347" s="23"/>
      <c r="F347" s="21"/>
      <c r="G347" s="21"/>
      <c r="H347" s="16"/>
      <c r="I347" s="15" t="str">
        <f t="shared" si="57"/>
        <v xml:space="preserve"> </v>
      </c>
      <c r="J347" s="15" t="str">
        <f t="shared" si="58"/>
        <v xml:space="preserve"> </v>
      </c>
      <c r="K347" s="15"/>
      <c r="L347" s="15">
        <f t="shared" si="64"/>
        <v>0</v>
      </c>
      <c r="M347" s="5" t="str">
        <f t="shared" si="59"/>
        <v/>
      </c>
      <c r="N347" s="25" t="str">
        <f>IF(ISBLANK($E347)," ", COUNTIF($M$4:$M347,$M347))</f>
        <v xml:space="preserve"> </v>
      </c>
      <c r="O347" s="25" t="str">
        <f t="shared" si="60"/>
        <v xml:space="preserve"> </v>
      </c>
      <c r="P347" s="5" t="str">
        <f t="shared" si="61"/>
        <v/>
      </c>
      <c r="Q347" s="5" t="str">
        <f t="shared" si="62"/>
        <v/>
      </c>
      <c r="R347" s="5" t="str">
        <f t="shared" si="63"/>
        <v/>
      </c>
    </row>
    <row r="348" spans="1:18" ht="20.25" x14ac:dyDescent="0.3">
      <c r="A348" s="14"/>
      <c r="B348" s="15">
        <v>344</v>
      </c>
      <c r="C348" s="22"/>
      <c r="D348" s="15"/>
      <c r="E348" s="23"/>
      <c r="F348" s="21"/>
      <c r="G348" s="21"/>
      <c r="H348" s="16"/>
      <c r="I348" s="15" t="str">
        <f t="shared" si="57"/>
        <v xml:space="preserve"> </v>
      </c>
      <c r="J348" s="15" t="str">
        <f t="shared" si="58"/>
        <v xml:space="preserve"> </v>
      </c>
      <c r="K348" s="15"/>
      <c r="L348" s="15">
        <f t="shared" si="64"/>
        <v>0</v>
      </c>
      <c r="M348" s="5" t="str">
        <f t="shared" si="59"/>
        <v/>
      </c>
      <c r="N348" s="25" t="str">
        <f>IF(ISBLANK($E348)," ", COUNTIF($M$4:$M348,$M348))</f>
        <v xml:space="preserve"> </v>
      </c>
      <c r="O348" s="25" t="str">
        <f t="shared" si="60"/>
        <v xml:space="preserve"> </v>
      </c>
      <c r="P348" s="5" t="str">
        <f t="shared" si="61"/>
        <v/>
      </c>
      <c r="Q348" s="5" t="str">
        <f t="shared" si="62"/>
        <v/>
      </c>
      <c r="R348" s="5" t="str">
        <f t="shared" si="63"/>
        <v/>
      </c>
    </row>
    <row r="349" spans="1:18" ht="20.25" x14ac:dyDescent="0.3">
      <c r="A349" s="14"/>
      <c r="B349" s="15">
        <v>345</v>
      </c>
      <c r="C349" s="22"/>
      <c r="D349" s="22"/>
      <c r="E349" s="23"/>
      <c r="F349" s="22"/>
      <c r="G349" s="22"/>
      <c r="H349" s="16"/>
      <c r="I349" s="15" t="str">
        <f t="shared" si="57"/>
        <v xml:space="preserve"> </v>
      </c>
      <c r="J349" s="15" t="str">
        <f t="shared" si="58"/>
        <v xml:space="preserve"> </v>
      </c>
      <c r="K349" s="15"/>
      <c r="L349" s="15">
        <f t="shared" si="64"/>
        <v>0</v>
      </c>
      <c r="M349" s="5" t="str">
        <f t="shared" si="59"/>
        <v/>
      </c>
      <c r="N349" s="25" t="str">
        <f>IF(ISBLANK($E349)," ", COUNTIF($M$4:$M349,$M349))</f>
        <v xml:space="preserve"> </v>
      </c>
      <c r="O349" s="25" t="str">
        <f t="shared" si="60"/>
        <v xml:space="preserve"> </v>
      </c>
      <c r="P349" s="5" t="str">
        <f t="shared" si="61"/>
        <v/>
      </c>
      <c r="Q349" s="5" t="str">
        <f t="shared" si="62"/>
        <v/>
      </c>
      <c r="R349" s="5" t="str">
        <f t="shared" si="63"/>
        <v/>
      </c>
    </row>
    <row r="350" spans="1:18" ht="20.25" x14ac:dyDescent="0.3">
      <c r="A350" s="14"/>
      <c r="B350" s="15">
        <v>346</v>
      </c>
      <c r="C350" s="22"/>
      <c r="D350" s="22"/>
      <c r="E350" s="23"/>
      <c r="F350" s="22"/>
      <c r="G350" s="22"/>
      <c r="H350" s="16"/>
      <c r="I350" s="15" t="str">
        <f t="shared" si="57"/>
        <v xml:space="preserve"> </v>
      </c>
      <c r="J350" s="15" t="str">
        <f t="shared" si="58"/>
        <v xml:space="preserve"> </v>
      </c>
      <c r="K350" s="15"/>
      <c r="L350" s="15">
        <f t="shared" si="64"/>
        <v>0</v>
      </c>
      <c r="M350" s="5" t="str">
        <f t="shared" si="59"/>
        <v/>
      </c>
      <c r="N350" s="25" t="str">
        <f>IF(ISBLANK($E350)," ", COUNTIF($M$4:$M350,$M350))</f>
        <v xml:space="preserve"> </v>
      </c>
      <c r="O350" s="25" t="str">
        <f t="shared" si="60"/>
        <v xml:space="preserve"> </v>
      </c>
      <c r="P350" s="5" t="str">
        <f t="shared" si="61"/>
        <v/>
      </c>
      <c r="Q350" s="5" t="str">
        <f t="shared" si="62"/>
        <v/>
      </c>
      <c r="R350" s="5" t="str">
        <f t="shared" si="63"/>
        <v/>
      </c>
    </row>
    <row r="351" spans="1:18" ht="20.25" x14ac:dyDescent="0.3">
      <c r="A351" s="14"/>
      <c r="B351" s="15">
        <v>347</v>
      </c>
      <c r="C351" s="22"/>
      <c r="D351" s="22"/>
      <c r="E351" s="23"/>
      <c r="F351" s="22"/>
      <c r="G351" s="22"/>
      <c r="H351" s="16"/>
      <c r="I351" s="15" t="str">
        <f t="shared" si="57"/>
        <v xml:space="preserve"> </v>
      </c>
      <c r="J351" s="15" t="str">
        <f t="shared" si="58"/>
        <v xml:space="preserve"> </v>
      </c>
      <c r="K351" s="15"/>
      <c r="L351" s="15">
        <f t="shared" si="64"/>
        <v>0</v>
      </c>
      <c r="M351" s="5" t="str">
        <f t="shared" si="59"/>
        <v/>
      </c>
      <c r="N351" s="25" t="str">
        <f>IF(ISBLANK($E351)," ", COUNTIF($M$4:$M351,$M351))</f>
        <v xml:space="preserve"> </v>
      </c>
      <c r="O351" s="25" t="str">
        <f t="shared" si="60"/>
        <v xml:space="preserve"> </v>
      </c>
      <c r="P351" s="5" t="str">
        <f t="shared" si="61"/>
        <v/>
      </c>
      <c r="Q351" s="5" t="str">
        <f t="shared" si="62"/>
        <v/>
      </c>
      <c r="R351" s="5" t="str">
        <f t="shared" si="63"/>
        <v/>
      </c>
    </row>
    <row r="352" spans="1:18" ht="20.25" x14ac:dyDescent="0.3">
      <c r="A352" s="14"/>
      <c r="B352" s="15">
        <v>348</v>
      </c>
      <c r="C352" s="22"/>
      <c r="D352" s="22"/>
      <c r="E352" s="23"/>
      <c r="F352" s="22"/>
      <c r="G352" s="22"/>
      <c r="H352" s="16"/>
      <c r="I352" s="15" t="str">
        <f t="shared" si="57"/>
        <v xml:space="preserve"> </v>
      </c>
      <c r="J352" s="15" t="str">
        <f t="shared" si="58"/>
        <v xml:space="preserve"> </v>
      </c>
      <c r="K352" s="15"/>
      <c r="L352" s="15">
        <f t="shared" si="64"/>
        <v>0</v>
      </c>
      <c r="M352" s="5" t="str">
        <f t="shared" si="59"/>
        <v/>
      </c>
      <c r="N352" s="25" t="str">
        <f>IF(ISBLANK($E352)," ", COUNTIF($M$4:$M352,$M352))</f>
        <v xml:space="preserve"> </v>
      </c>
      <c r="O352" s="25" t="str">
        <f t="shared" si="60"/>
        <v xml:space="preserve"> </v>
      </c>
      <c r="P352" s="5" t="str">
        <f t="shared" si="61"/>
        <v/>
      </c>
      <c r="Q352" s="5" t="str">
        <f t="shared" si="62"/>
        <v/>
      </c>
      <c r="R352" s="5" t="str">
        <f t="shared" si="63"/>
        <v/>
      </c>
    </row>
    <row r="353" spans="1:18" ht="20.25" x14ac:dyDescent="0.3">
      <c r="A353" s="14"/>
      <c r="B353" s="15">
        <v>349</v>
      </c>
      <c r="C353" s="22"/>
      <c r="D353" s="22"/>
      <c r="E353" s="23"/>
      <c r="F353" s="22"/>
      <c r="G353" s="22"/>
      <c r="H353" s="16"/>
      <c r="I353" s="15" t="str">
        <f t="shared" si="57"/>
        <v xml:space="preserve"> </v>
      </c>
      <c r="J353" s="15" t="str">
        <f t="shared" si="58"/>
        <v xml:space="preserve"> </v>
      </c>
      <c r="K353" s="15"/>
      <c r="L353" s="15">
        <f t="shared" si="64"/>
        <v>0</v>
      </c>
      <c r="M353" s="5" t="str">
        <f t="shared" si="59"/>
        <v/>
      </c>
      <c r="N353" s="25" t="str">
        <f>IF(ISBLANK($E353)," ", COUNTIF($M$4:$M353,$M353))</f>
        <v xml:space="preserve"> </v>
      </c>
      <c r="O353" s="25" t="str">
        <f t="shared" si="60"/>
        <v xml:space="preserve"> </v>
      </c>
      <c r="P353" s="5" t="str">
        <f t="shared" si="61"/>
        <v/>
      </c>
      <c r="Q353" s="5" t="str">
        <f t="shared" si="62"/>
        <v/>
      </c>
      <c r="R353" s="5" t="str">
        <f t="shared" si="63"/>
        <v/>
      </c>
    </row>
    <row r="354" spans="1:18" ht="20.25" x14ac:dyDescent="0.3">
      <c r="A354" s="14"/>
      <c r="B354" s="15">
        <v>350</v>
      </c>
      <c r="C354" s="22"/>
      <c r="D354" s="22"/>
      <c r="E354" s="23"/>
      <c r="F354" s="22"/>
      <c r="G354" s="22"/>
      <c r="H354" s="16"/>
      <c r="I354" s="15" t="str">
        <f t="shared" si="57"/>
        <v xml:space="preserve"> </v>
      </c>
      <c r="J354" s="15" t="str">
        <f t="shared" si="58"/>
        <v xml:space="preserve"> </v>
      </c>
      <c r="K354" s="15"/>
      <c r="L354" s="15">
        <f t="shared" si="64"/>
        <v>0</v>
      </c>
      <c r="M354" s="5" t="str">
        <f t="shared" si="59"/>
        <v/>
      </c>
      <c r="N354" s="25" t="str">
        <f>IF(ISBLANK($E354)," ", COUNTIF($M$4:$M354,$M354))</f>
        <v xml:space="preserve"> </v>
      </c>
      <c r="O354" s="25" t="str">
        <f t="shared" si="60"/>
        <v xml:space="preserve"> </v>
      </c>
      <c r="P354" s="5" t="str">
        <f t="shared" si="61"/>
        <v/>
      </c>
      <c r="Q354" s="5" t="str">
        <f t="shared" si="62"/>
        <v/>
      </c>
      <c r="R354" s="5" t="str">
        <f t="shared" si="63"/>
        <v/>
      </c>
    </row>
    <row r="355" spans="1:18" ht="20.25" x14ac:dyDescent="0.3">
      <c r="A355" s="14"/>
      <c r="B355" s="15">
        <v>351</v>
      </c>
      <c r="C355" s="22"/>
      <c r="D355" s="22"/>
      <c r="E355" s="23"/>
      <c r="F355" s="22"/>
      <c r="G355" s="22"/>
      <c r="H355" s="16"/>
      <c r="I355" s="15" t="str">
        <f t="shared" si="57"/>
        <v xml:space="preserve"> </v>
      </c>
      <c r="J355" s="15" t="str">
        <f t="shared" si="58"/>
        <v xml:space="preserve"> </v>
      </c>
      <c r="K355" s="15"/>
      <c r="L355" s="15">
        <f t="shared" si="64"/>
        <v>0</v>
      </c>
      <c r="M355" s="5" t="str">
        <f t="shared" si="59"/>
        <v/>
      </c>
      <c r="N355" s="25" t="str">
        <f>IF(ISBLANK($E355)," ", COUNTIF($M$4:$M355,$M355))</f>
        <v xml:space="preserve"> </v>
      </c>
      <c r="O355" s="25" t="str">
        <f t="shared" si="60"/>
        <v xml:space="preserve"> </v>
      </c>
      <c r="P355" s="5" t="str">
        <f t="shared" si="61"/>
        <v/>
      </c>
      <c r="Q355" s="5" t="str">
        <f t="shared" si="62"/>
        <v/>
      </c>
      <c r="R355" s="5" t="str">
        <f t="shared" si="63"/>
        <v/>
      </c>
    </row>
    <row r="356" spans="1:18" ht="20.25" x14ac:dyDescent="0.3">
      <c r="A356" s="14"/>
      <c r="B356" s="15">
        <v>352</v>
      </c>
      <c r="C356" s="22"/>
      <c r="D356" s="22"/>
      <c r="E356" s="23"/>
      <c r="F356" s="22"/>
      <c r="G356" s="22"/>
      <c r="H356" s="16"/>
      <c r="I356" s="15" t="str">
        <f t="shared" si="57"/>
        <v xml:space="preserve"> </v>
      </c>
      <c r="J356" s="15" t="str">
        <f t="shared" si="58"/>
        <v xml:space="preserve"> </v>
      </c>
      <c r="K356" s="15"/>
      <c r="L356" s="15">
        <f t="shared" si="64"/>
        <v>0</v>
      </c>
      <c r="M356" s="5" t="str">
        <f t="shared" si="59"/>
        <v/>
      </c>
      <c r="N356" s="25" t="str">
        <f>IF(ISBLANK($E356)," ", COUNTIF($M$4:$M356,$M356))</f>
        <v xml:space="preserve"> </v>
      </c>
      <c r="O356" s="25" t="str">
        <f t="shared" si="60"/>
        <v xml:space="preserve"> </v>
      </c>
      <c r="P356" s="5" t="str">
        <f t="shared" si="61"/>
        <v/>
      </c>
      <c r="Q356" s="5" t="str">
        <f t="shared" si="62"/>
        <v/>
      </c>
      <c r="R356" s="5" t="str">
        <f t="shared" si="63"/>
        <v/>
      </c>
    </row>
    <row r="357" spans="1:18" ht="20.25" x14ac:dyDescent="0.3">
      <c r="A357" s="14"/>
      <c r="B357" s="15">
        <v>353</v>
      </c>
      <c r="C357" s="22"/>
      <c r="D357" s="22"/>
      <c r="E357" s="23"/>
      <c r="F357" s="22"/>
      <c r="G357" s="22"/>
      <c r="H357" s="16"/>
      <c r="I357" s="15" t="str">
        <f t="shared" si="57"/>
        <v xml:space="preserve"> </v>
      </c>
      <c r="J357" s="15" t="str">
        <f t="shared" si="58"/>
        <v xml:space="preserve"> </v>
      </c>
      <c r="K357" s="15"/>
      <c r="L357" s="15">
        <f t="shared" si="64"/>
        <v>0</v>
      </c>
      <c r="M357" s="5" t="str">
        <f t="shared" si="59"/>
        <v/>
      </c>
      <c r="N357" s="25" t="str">
        <f>IF(ISBLANK($E357)," ", COUNTIF($M$4:$M357,$M357))</f>
        <v xml:space="preserve"> </v>
      </c>
      <c r="O357" s="25" t="str">
        <f t="shared" si="60"/>
        <v xml:space="preserve"> </v>
      </c>
      <c r="P357" s="5" t="str">
        <f t="shared" si="61"/>
        <v/>
      </c>
      <c r="Q357" s="5" t="str">
        <f t="shared" si="62"/>
        <v/>
      </c>
      <c r="R357" s="5" t="str">
        <f t="shared" si="63"/>
        <v/>
      </c>
    </row>
    <row r="358" spans="1:18" ht="20.25" x14ac:dyDescent="0.3">
      <c r="A358" s="14"/>
      <c r="B358" s="15">
        <v>354</v>
      </c>
      <c r="C358" s="22"/>
      <c r="D358" s="22"/>
      <c r="E358" s="23"/>
      <c r="F358" s="22"/>
      <c r="G358" s="22"/>
      <c r="H358" s="16"/>
      <c r="I358" s="15" t="str">
        <f t="shared" si="57"/>
        <v xml:space="preserve"> </v>
      </c>
      <c r="J358" s="15" t="str">
        <f t="shared" si="58"/>
        <v xml:space="preserve"> </v>
      </c>
      <c r="K358" s="15"/>
      <c r="L358" s="15">
        <f t="shared" si="64"/>
        <v>0</v>
      </c>
      <c r="M358" s="5" t="str">
        <f t="shared" si="59"/>
        <v/>
      </c>
      <c r="N358" s="25" t="str">
        <f>IF(ISBLANK($E358)," ", COUNTIF($M$4:$M358,$M358))</f>
        <v xml:space="preserve"> </v>
      </c>
      <c r="O358" s="25" t="str">
        <f t="shared" si="60"/>
        <v xml:space="preserve"> </v>
      </c>
      <c r="P358" s="5" t="str">
        <f t="shared" si="61"/>
        <v/>
      </c>
      <c r="Q358" s="5" t="str">
        <f t="shared" si="62"/>
        <v/>
      </c>
      <c r="R358" s="5" t="str">
        <f t="shared" si="63"/>
        <v/>
      </c>
    </row>
    <row r="359" spans="1:18" ht="20.25" x14ac:dyDescent="0.3">
      <c r="A359" s="14"/>
      <c r="B359" s="15">
        <v>355</v>
      </c>
      <c r="C359" s="22"/>
      <c r="D359" s="22"/>
      <c r="E359" s="23"/>
      <c r="F359" s="22"/>
      <c r="G359" s="22"/>
      <c r="H359" s="16"/>
      <c r="I359" s="15" t="str">
        <f t="shared" si="57"/>
        <v xml:space="preserve"> </v>
      </c>
      <c r="J359" s="15" t="str">
        <f t="shared" si="58"/>
        <v xml:space="preserve"> </v>
      </c>
      <c r="K359" s="15"/>
      <c r="L359" s="15">
        <f t="shared" si="64"/>
        <v>0</v>
      </c>
      <c r="M359" s="5" t="str">
        <f t="shared" si="59"/>
        <v/>
      </c>
      <c r="N359" s="25" t="str">
        <f>IF(ISBLANK($E359)," ", COUNTIF($M$4:$M359,$M359))</f>
        <v xml:space="preserve"> </v>
      </c>
      <c r="O359" s="25" t="str">
        <f t="shared" si="60"/>
        <v xml:space="preserve"> </v>
      </c>
      <c r="P359" s="5" t="str">
        <f t="shared" si="61"/>
        <v/>
      </c>
      <c r="Q359" s="5" t="str">
        <f t="shared" si="62"/>
        <v/>
      </c>
      <c r="R359" s="5" t="str">
        <f t="shared" si="63"/>
        <v/>
      </c>
    </row>
    <row r="360" spans="1:18" ht="20.25" x14ac:dyDescent="0.3">
      <c r="A360" s="14"/>
      <c r="B360" s="15">
        <v>356</v>
      </c>
      <c r="C360" s="22"/>
      <c r="D360" s="22"/>
      <c r="E360" s="23"/>
      <c r="F360" s="22"/>
      <c r="G360" s="22"/>
      <c r="H360" s="16"/>
      <c r="I360" s="15" t="str">
        <f t="shared" si="57"/>
        <v xml:space="preserve"> </v>
      </c>
      <c r="J360" s="15" t="str">
        <f t="shared" si="58"/>
        <v xml:space="preserve"> </v>
      </c>
      <c r="K360" s="15"/>
      <c r="L360" s="15">
        <f t="shared" si="64"/>
        <v>0</v>
      </c>
      <c r="M360" s="5" t="str">
        <f t="shared" si="59"/>
        <v/>
      </c>
      <c r="N360" s="25" t="str">
        <f>IF(ISBLANK($E360)," ", COUNTIF($M$4:$M360,$M360))</f>
        <v xml:space="preserve"> </v>
      </c>
      <c r="O360" s="25" t="str">
        <f t="shared" si="60"/>
        <v xml:space="preserve"> </v>
      </c>
      <c r="P360" s="5" t="str">
        <f t="shared" si="61"/>
        <v/>
      </c>
      <c r="Q360" s="5" t="str">
        <f t="shared" si="62"/>
        <v/>
      </c>
      <c r="R360" s="5" t="str">
        <f t="shared" si="63"/>
        <v/>
      </c>
    </row>
    <row r="361" spans="1:18" ht="20.25" x14ac:dyDescent="0.3">
      <c r="A361" s="14"/>
      <c r="B361" s="15">
        <v>357</v>
      </c>
      <c r="C361" s="22"/>
      <c r="D361" s="22"/>
      <c r="E361" s="23"/>
      <c r="F361" s="22"/>
      <c r="G361" s="22"/>
      <c r="H361" s="16"/>
      <c r="I361" s="15" t="str">
        <f t="shared" si="57"/>
        <v xml:space="preserve"> </v>
      </c>
      <c r="J361" s="15" t="str">
        <f t="shared" si="58"/>
        <v xml:space="preserve"> </v>
      </c>
      <c r="K361" s="15"/>
      <c r="L361" s="15">
        <f t="shared" si="64"/>
        <v>0</v>
      </c>
      <c r="M361" s="5" t="str">
        <f t="shared" si="59"/>
        <v/>
      </c>
      <c r="N361" s="25" t="str">
        <f>IF(ISBLANK($E361)," ", COUNTIF($M$4:$M361,$M361))</f>
        <v xml:space="preserve"> </v>
      </c>
      <c r="O361" s="25" t="str">
        <f t="shared" si="60"/>
        <v xml:space="preserve"> </v>
      </c>
      <c r="P361" s="5" t="str">
        <f t="shared" si="61"/>
        <v/>
      </c>
      <c r="Q361" s="5" t="str">
        <f t="shared" si="62"/>
        <v/>
      </c>
      <c r="R361" s="5" t="str">
        <f t="shared" si="63"/>
        <v/>
      </c>
    </row>
    <row r="362" spans="1:18" ht="20.25" x14ac:dyDescent="0.3">
      <c r="A362" s="14"/>
      <c r="B362" s="15">
        <v>358</v>
      </c>
      <c r="C362" s="22"/>
      <c r="D362" s="22"/>
      <c r="E362" s="23"/>
      <c r="F362" s="22"/>
      <c r="G362" s="22"/>
      <c r="H362" s="16"/>
      <c r="I362" s="15" t="str">
        <f t="shared" si="57"/>
        <v xml:space="preserve"> </v>
      </c>
      <c r="J362" s="15" t="str">
        <f t="shared" si="58"/>
        <v xml:space="preserve"> </v>
      </c>
      <c r="K362" s="15"/>
      <c r="L362" s="15">
        <f t="shared" si="64"/>
        <v>0</v>
      </c>
      <c r="M362" s="5" t="str">
        <f t="shared" si="59"/>
        <v/>
      </c>
      <c r="N362" s="25" t="str">
        <f>IF(ISBLANK($E362)," ", COUNTIF($M$4:$M362,$M362))</f>
        <v xml:space="preserve"> </v>
      </c>
      <c r="O362" s="25" t="str">
        <f t="shared" si="60"/>
        <v xml:space="preserve"> </v>
      </c>
      <c r="P362" s="5" t="str">
        <f t="shared" si="61"/>
        <v/>
      </c>
      <c r="Q362" s="5" t="str">
        <f t="shared" si="62"/>
        <v/>
      </c>
      <c r="R362" s="5" t="str">
        <f t="shared" si="63"/>
        <v/>
      </c>
    </row>
    <row r="363" spans="1:18" ht="20.25" x14ac:dyDescent="0.3">
      <c r="A363" s="14"/>
      <c r="B363" s="15">
        <v>359</v>
      </c>
      <c r="C363" s="22"/>
      <c r="D363" s="22"/>
      <c r="E363" s="23"/>
      <c r="F363" s="22"/>
      <c r="G363" s="22"/>
      <c r="H363" s="16"/>
      <c r="I363" s="15" t="str">
        <f t="shared" si="57"/>
        <v xml:space="preserve"> </v>
      </c>
      <c r="J363" s="15" t="str">
        <f t="shared" si="58"/>
        <v xml:space="preserve"> </v>
      </c>
      <c r="K363" s="15"/>
      <c r="L363" s="15">
        <f t="shared" si="64"/>
        <v>0</v>
      </c>
      <c r="M363" s="5" t="str">
        <f t="shared" si="59"/>
        <v/>
      </c>
      <c r="N363" s="25" t="str">
        <f>IF(ISBLANK($E363)," ", COUNTIF($M$4:$M363,$M363))</f>
        <v xml:space="preserve"> </v>
      </c>
      <c r="O363" s="25" t="str">
        <f t="shared" si="60"/>
        <v xml:space="preserve"> </v>
      </c>
      <c r="P363" s="5" t="str">
        <f t="shared" si="61"/>
        <v/>
      </c>
      <c r="Q363" s="5" t="str">
        <f t="shared" si="62"/>
        <v/>
      </c>
      <c r="R363" s="5" t="str">
        <f t="shared" si="63"/>
        <v/>
      </c>
    </row>
    <row r="364" spans="1:18" ht="20.25" x14ac:dyDescent="0.3">
      <c r="A364" s="14"/>
      <c r="B364" s="15">
        <v>360</v>
      </c>
      <c r="C364" s="22"/>
      <c r="D364" s="22"/>
      <c r="E364" s="23"/>
      <c r="F364" s="22"/>
      <c r="G364" s="22"/>
      <c r="H364" s="16"/>
      <c r="I364" s="15" t="str">
        <f t="shared" si="57"/>
        <v xml:space="preserve"> </v>
      </c>
      <c r="J364" s="15" t="str">
        <f t="shared" si="58"/>
        <v xml:space="preserve"> </v>
      </c>
      <c r="K364" s="15"/>
      <c r="L364" s="15">
        <f t="shared" si="64"/>
        <v>0</v>
      </c>
      <c r="M364" s="5" t="str">
        <f t="shared" si="59"/>
        <v/>
      </c>
      <c r="N364" s="25" t="str">
        <f>IF(ISBLANK($E364)," ", COUNTIF($M$4:$M364,$M364))</f>
        <v xml:space="preserve"> </v>
      </c>
      <c r="O364" s="25" t="str">
        <f t="shared" si="60"/>
        <v xml:space="preserve"> </v>
      </c>
      <c r="P364" s="5" t="str">
        <f t="shared" si="61"/>
        <v/>
      </c>
      <c r="Q364" s="5" t="str">
        <f t="shared" si="62"/>
        <v/>
      </c>
      <c r="R364" s="5" t="str">
        <f t="shared" si="63"/>
        <v/>
      </c>
    </row>
    <row r="365" spans="1:18" ht="20.25" x14ac:dyDescent="0.3">
      <c r="A365" s="14"/>
      <c r="B365" s="15">
        <v>361</v>
      </c>
      <c r="C365" s="22"/>
      <c r="D365" s="22"/>
      <c r="E365" s="23"/>
      <c r="F365" s="22"/>
      <c r="G365" s="22"/>
      <c r="H365" s="16"/>
      <c r="I365" s="15" t="str">
        <f t="shared" si="57"/>
        <v xml:space="preserve"> </v>
      </c>
      <c r="J365" s="15" t="str">
        <f t="shared" si="58"/>
        <v xml:space="preserve"> </v>
      </c>
      <c r="K365" s="15"/>
      <c r="L365" s="15">
        <f t="shared" si="64"/>
        <v>0</v>
      </c>
      <c r="M365" s="5" t="str">
        <f t="shared" si="59"/>
        <v/>
      </c>
      <c r="N365" s="25" t="str">
        <f>IF(ISBLANK($E365)," ", COUNTIF($M$4:$M365,$M365))</f>
        <v xml:space="preserve"> </v>
      </c>
      <c r="O365" s="25" t="str">
        <f t="shared" si="60"/>
        <v xml:space="preserve"> </v>
      </c>
      <c r="P365" s="5" t="str">
        <f t="shared" si="61"/>
        <v/>
      </c>
      <c r="Q365" s="5" t="str">
        <f t="shared" si="62"/>
        <v/>
      </c>
      <c r="R365" s="5" t="str">
        <f t="shared" si="63"/>
        <v/>
      </c>
    </row>
    <row r="366" spans="1:18" ht="20.25" x14ac:dyDescent="0.3">
      <c r="A366" s="14"/>
      <c r="B366" s="15">
        <v>362</v>
      </c>
      <c r="C366" s="22"/>
      <c r="D366" s="22"/>
      <c r="E366" s="23"/>
      <c r="F366" s="22"/>
      <c r="G366" s="22"/>
      <c r="H366" s="16"/>
      <c r="I366" s="15" t="str">
        <f t="shared" si="57"/>
        <v xml:space="preserve"> </v>
      </c>
      <c r="J366" s="15" t="str">
        <f t="shared" si="58"/>
        <v xml:space="preserve"> </v>
      </c>
      <c r="K366" s="15"/>
      <c r="L366" s="15">
        <f t="shared" si="64"/>
        <v>0</v>
      </c>
      <c r="M366" s="5" t="str">
        <f t="shared" si="59"/>
        <v/>
      </c>
      <c r="N366" s="25" t="str">
        <f>IF(ISBLANK($E366)," ", COUNTIF($M$4:$M366,$M366))</f>
        <v xml:space="preserve"> </v>
      </c>
      <c r="O366" s="25" t="str">
        <f t="shared" si="60"/>
        <v xml:space="preserve"> </v>
      </c>
      <c r="P366" s="5" t="str">
        <f t="shared" si="61"/>
        <v/>
      </c>
      <c r="Q366" s="5" t="str">
        <f t="shared" si="62"/>
        <v/>
      </c>
      <c r="R366" s="5" t="str">
        <f t="shared" si="63"/>
        <v/>
      </c>
    </row>
    <row r="367" spans="1:18" ht="20.25" x14ac:dyDescent="0.3">
      <c r="A367" s="14"/>
      <c r="B367" s="15">
        <v>363</v>
      </c>
      <c r="C367" s="22"/>
      <c r="D367" s="22"/>
      <c r="E367" s="23"/>
      <c r="F367" s="22"/>
      <c r="G367" s="22"/>
      <c r="H367" s="16"/>
      <c r="I367" s="15" t="str">
        <f t="shared" si="57"/>
        <v xml:space="preserve"> </v>
      </c>
      <c r="J367" s="15" t="str">
        <f t="shared" si="58"/>
        <v xml:space="preserve"> </v>
      </c>
      <c r="K367" s="15"/>
      <c r="L367" s="15">
        <f t="shared" si="64"/>
        <v>0</v>
      </c>
      <c r="M367" s="5" t="str">
        <f t="shared" si="59"/>
        <v/>
      </c>
      <c r="N367" s="25" t="str">
        <f>IF(ISBLANK($E367)," ", COUNTIF($M$4:$M367,$M367))</f>
        <v xml:space="preserve"> </v>
      </c>
      <c r="O367" s="25" t="str">
        <f t="shared" si="60"/>
        <v xml:space="preserve"> </v>
      </c>
      <c r="P367" s="5" t="str">
        <f t="shared" si="61"/>
        <v/>
      </c>
      <c r="Q367" s="5" t="str">
        <f t="shared" si="62"/>
        <v/>
      </c>
      <c r="R367" s="5" t="str">
        <f t="shared" si="63"/>
        <v/>
      </c>
    </row>
    <row r="368" spans="1:18" ht="20.25" x14ac:dyDescent="0.3">
      <c r="A368" s="14"/>
      <c r="B368" s="15">
        <v>364</v>
      </c>
      <c r="C368" s="22"/>
      <c r="D368" s="22"/>
      <c r="E368" s="23"/>
      <c r="F368" s="22"/>
      <c r="G368" s="22"/>
      <c r="H368" s="16"/>
      <c r="I368" s="15" t="str">
        <f t="shared" si="57"/>
        <v xml:space="preserve"> </v>
      </c>
      <c r="J368" s="15" t="str">
        <f t="shared" si="58"/>
        <v xml:space="preserve"> </v>
      </c>
      <c r="K368" s="15"/>
      <c r="L368" s="15">
        <f t="shared" si="64"/>
        <v>0</v>
      </c>
      <c r="M368" s="5" t="str">
        <f t="shared" si="59"/>
        <v/>
      </c>
      <c r="N368" s="25" t="str">
        <f>IF(ISBLANK($E368)," ", COUNTIF($M$4:$M368,$M368))</f>
        <v xml:space="preserve"> </v>
      </c>
      <c r="O368" s="25" t="str">
        <f t="shared" si="60"/>
        <v xml:space="preserve"> </v>
      </c>
      <c r="P368" s="5" t="str">
        <f t="shared" si="61"/>
        <v/>
      </c>
      <c r="Q368" s="5" t="str">
        <f t="shared" si="62"/>
        <v/>
      </c>
      <c r="R368" s="5" t="str">
        <f t="shared" si="63"/>
        <v/>
      </c>
    </row>
    <row r="369" spans="1:18" ht="20.25" x14ac:dyDescent="0.3">
      <c r="A369" s="14"/>
      <c r="B369" s="15">
        <v>365</v>
      </c>
      <c r="C369" s="22"/>
      <c r="D369" s="22"/>
      <c r="E369" s="23"/>
      <c r="F369" s="22"/>
      <c r="G369" s="22"/>
      <c r="H369" s="16"/>
      <c r="I369" s="15" t="str">
        <f t="shared" si="57"/>
        <v xml:space="preserve"> </v>
      </c>
      <c r="J369" s="15" t="str">
        <f t="shared" si="58"/>
        <v xml:space="preserve"> </v>
      </c>
      <c r="K369" s="15"/>
      <c r="L369" s="15">
        <f t="shared" si="64"/>
        <v>0</v>
      </c>
      <c r="M369" s="5" t="str">
        <f t="shared" si="59"/>
        <v/>
      </c>
      <c r="N369" s="25" t="str">
        <f>IF(ISBLANK($E369)," ", COUNTIF($M$4:$M369,$M369))</f>
        <v xml:space="preserve"> </v>
      </c>
      <c r="O369" s="25" t="str">
        <f t="shared" si="60"/>
        <v xml:space="preserve"> </v>
      </c>
      <c r="P369" s="5" t="str">
        <f t="shared" si="61"/>
        <v/>
      </c>
      <c r="Q369" s="5" t="str">
        <f t="shared" si="62"/>
        <v/>
      </c>
      <c r="R369" s="5" t="str">
        <f t="shared" si="63"/>
        <v/>
      </c>
    </row>
    <row r="370" spans="1:18" ht="20.25" x14ac:dyDescent="0.3">
      <c r="A370" s="14"/>
      <c r="B370" s="15">
        <v>366</v>
      </c>
      <c r="C370" s="22"/>
      <c r="D370" s="22"/>
      <c r="E370" s="23"/>
      <c r="F370" s="22"/>
      <c r="G370" s="22"/>
      <c r="H370" s="16"/>
      <c r="I370" s="15" t="str">
        <f t="shared" si="57"/>
        <v xml:space="preserve"> </v>
      </c>
      <c r="J370" s="15" t="str">
        <f t="shared" si="58"/>
        <v xml:space="preserve"> </v>
      </c>
      <c r="K370" s="15"/>
      <c r="L370" s="15">
        <f t="shared" si="64"/>
        <v>0</v>
      </c>
      <c r="M370" s="5" t="str">
        <f t="shared" si="59"/>
        <v/>
      </c>
      <c r="N370" s="25" t="str">
        <f>IF(ISBLANK($E370)," ", COUNTIF($M$4:$M370,$M370))</f>
        <v xml:space="preserve"> </v>
      </c>
      <c r="O370" s="25" t="str">
        <f t="shared" si="60"/>
        <v xml:space="preserve"> </v>
      </c>
      <c r="P370" s="5" t="str">
        <f t="shared" si="61"/>
        <v/>
      </c>
      <c r="Q370" s="5" t="str">
        <f t="shared" si="62"/>
        <v/>
      </c>
      <c r="R370" s="5" t="str">
        <f t="shared" si="63"/>
        <v/>
      </c>
    </row>
    <row r="371" spans="1:18" ht="20.25" x14ac:dyDescent="0.3">
      <c r="A371" s="14"/>
      <c r="B371" s="15">
        <v>367</v>
      </c>
      <c r="C371" s="22"/>
      <c r="D371" s="22"/>
      <c r="E371" s="23"/>
      <c r="F371" s="22"/>
      <c r="G371" s="22"/>
      <c r="H371" s="16"/>
      <c r="I371" s="15" t="str">
        <f t="shared" si="57"/>
        <v xml:space="preserve"> </v>
      </c>
      <c r="J371" s="15" t="str">
        <f t="shared" si="58"/>
        <v xml:space="preserve"> </v>
      </c>
      <c r="K371" s="15"/>
      <c r="L371" s="15">
        <f t="shared" si="64"/>
        <v>0</v>
      </c>
      <c r="M371" s="5" t="str">
        <f t="shared" si="59"/>
        <v/>
      </c>
      <c r="N371" s="25" t="str">
        <f>IF(ISBLANK($E371)," ", COUNTIF($M$4:$M371,$M371))</f>
        <v xml:space="preserve"> </v>
      </c>
      <c r="O371" s="25" t="str">
        <f t="shared" si="60"/>
        <v xml:space="preserve"> </v>
      </c>
      <c r="P371" s="5" t="str">
        <f t="shared" si="61"/>
        <v/>
      </c>
      <c r="Q371" s="5" t="str">
        <f t="shared" si="62"/>
        <v/>
      </c>
      <c r="R371" s="5" t="str">
        <f t="shared" si="63"/>
        <v/>
      </c>
    </row>
    <row r="372" spans="1:18" ht="20.25" x14ac:dyDescent="0.3">
      <c r="A372" s="14"/>
      <c r="B372" s="15">
        <v>368</v>
      </c>
      <c r="C372" s="22"/>
      <c r="D372" s="22"/>
      <c r="E372" s="23"/>
      <c r="F372" s="22"/>
      <c r="G372" s="22"/>
      <c r="H372" s="16"/>
      <c r="I372" s="15" t="str">
        <f t="shared" si="57"/>
        <v xml:space="preserve"> </v>
      </c>
      <c r="J372" s="15" t="str">
        <f t="shared" si="58"/>
        <v xml:space="preserve"> </v>
      </c>
      <c r="K372" s="15"/>
      <c r="L372" s="15">
        <f t="shared" si="64"/>
        <v>0</v>
      </c>
      <c r="M372" s="5" t="str">
        <f t="shared" si="59"/>
        <v/>
      </c>
      <c r="N372" s="25" t="str">
        <f>IF(ISBLANK($E372)," ", COUNTIF($M$4:$M372,$M372))</f>
        <v xml:space="preserve"> </v>
      </c>
      <c r="O372" s="25" t="str">
        <f t="shared" si="60"/>
        <v xml:space="preserve"> </v>
      </c>
      <c r="P372" s="5" t="str">
        <f t="shared" si="61"/>
        <v/>
      </c>
      <c r="Q372" s="5" t="str">
        <f t="shared" si="62"/>
        <v/>
      </c>
      <c r="R372" s="5" t="str">
        <f t="shared" si="63"/>
        <v/>
      </c>
    </row>
    <row r="373" spans="1:18" ht="20.25" x14ac:dyDescent="0.3">
      <c r="A373" s="14"/>
      <c r="B373" s="15">
        <v>369</v>
      </c>
      <c r="C373" s="22"/>
      <c r="D373" s="22"/>
      <c r="E373" s="23"/>
      <c r="F373" s="22"/>
      <c r="G373" s="22"/>
      <c r="H373" s="16"/>
      <c r="I373" s="15" t="str">
        <f t="shared" si="57"/>
        <v xml:space="preserve"> </v>
      </c>
      <c r="J373" s="15" t="str">
        <f t="shared" si="58"/>
        <v xml:space="preserve"> </v>
      </c>
      <c r="K373" s="15"/>
      <c r="L373" s="15">
        <f t="shared" si="64"/>
        <v>0</v>
      </c>
      <c r="M373" s="5" t="str">
        <f t="shared" si="59"/>
        <v/>
      </c>
      <c r="N373" s="25" t="str">
        <f>IF(ISBLANK($E373)," ", COUNTIF($M$4:$M373,$M373))</f>
        <v xml:space="preserve"> </v>
      </c>
      <c r="O373" s="25" t="str">
        <f t="shared" si="60"/>
        <v xml:space="preserve"> </v>
      </c>
      <c r="P373" s="5" t="str">
        <f t="shared" si="61"/>
        <v/>
      </c>
      <c r="Q373" s="5" t="str">
        <f t="shared" si="62"/>
        <v/>
      </c>
      <c r="R373" s="5" t="str">
        <f t="shared" si="63"/>
        <v/>
      </c>
    </row>
    <row r="374" spans="1:18" ht="20.25" x14ac:dyDescent="0.3">
      <c r="A374" s="14"/>
      <c r="B374" s="15">
        <v>370</v>
      </c>
      <c r="C374" s="22"/>
      <c r="D374" s="22"/>
      <c r="E374" s="23"/>
      <c r="F374" s="22"/>
      <c r="G374" s="22"/>
      <c r="H374" s="16"/>
      <c r="I374" s="15" t="str">
        <f t="shared" si="57"/>
        <v xml:space="preserve"> </v>
      </c>
      <c r="J374" s="15" t="str">
        <f t="shared" si="58"/>
        <v xml:space="preserve"> </v>
      </c>
      <c r="K374" s="15"/>
      <c r="L374" s="15">
        <f t="shared" si="64"/>
        <v>0</v>
      </c>
      <c r="M374" s="5" t="str">
        <f t="shared" si="59"/>
        <v/>
      </c>
      <c r="N374" s="25" t="str">
        <f>IF(ISBLANK($E374)," ", COUNTIF($M$4:$M374,$M374))</f>
        <v xml:space="preserve"> </v>
      </c>
      <c r="O374" s="25" t="str">
        <f t="shared" si="60"/>
        <v xml:space="preserve"> </v>
      </c>
      <c r="P374" s="5" t="str">
        <f t="shared" si="61"/>
        <v/>
      </c>
      <c r="Q374" s="5" t="str">
        <f t="shared" si="62"/>
        <v/>
      </c>
      <c r="R374" s="5" t="str">
        <f t="shared" si="63"/>
        <v/>
      </c>
    </row>
    <row r="375" spans="1:18" ht="20.25" x14ac:dyDescent="0.3">
      <c r="A375" s="14"/>
      <c r="B375" s="15">
        <v>371</v>
      </c>
      <c r="C375" s="22"/>
      <c r="D375" s="22"/>
      <c r="E375" s="23"/>
      <c r="F375" s="22"/>
      <c r="G375" s="22"/>
      <c r="H375" s="16"/>
      <c r="I375" s="15" t="str">
        <f t="shared" si="57"/>
        <v xml:space="preserve"> </v>
      </c>
      <c r="J375" s="15" t="str">
        <f t="shared" si="58"/>
        <v xml:space="preserve"> </v>
      </c>
      <c r="K375" s="15"/>
      <c r="L375" s="15">
        <f t="shared" si="64"/>
        <v>0</v>
      </c>
      <c r="M375" s="5" t="str">
        <f t="shared" si="59"/>
        <v/>
      </c>
      <c r="N375" s="25" t="str">
        <f>IF(ISBLANK($E375)," ", COUNTIF($M$4:$M375,$M375))</f>
        <v xml:space="preserve"> </v>
      </c>
      <c r="O375" s="25" t="str">
        <f t="shared" si="60"/>
        <v xml:space="preserve"> </v>
      </c>
      <c r="P375" s="5" t="str">
        <f t="shared" si="61"/>
        <v/>
      </c>
      <c r="Q375" s="5" t="str">
        <f t="shared" si="62"/>
        <v/>
      </c>
      <c r="R375" s="5" t="str">
        <f t="shared" si="63"/>
        <v/>
      </c>
    </row>
    <row r="376" spans="1:18" ht="20.25" x14ac:dyDescent="0.3">
      <c r="A376" s="14"/>
      <c r="B376" s="15">
        <v>372</v>
      </c>
      <c r="C376" s="22"/>
      <c r="D376" s="22"/>
      <c r="E376" s="23"/>
      <c r="F376" s="22"/>
      <c r="G376" s="22"/>
      <c r="H376" s="16"/>
      <c r="I376" s="15" t="str">
        <f t="shared" si="57"/>
        <v xml:space="preserve"> </v>
      </c>
      <c r="J376" s="15" t="str">
        <f t="shared" si="58"/>
        <v xml:space="preserve"> </v>
      </c>
      <c r="K376" s="15"/>
      <c r="L376" s="15">
        <f t="shared" si="64"/>
        <v>0</v>
      </c>
      <c r="M376" s="5" t="str">
        <f t="shared" si="59"/>
        <v/>
      </c>
      <c r="N376" s="25" t="str">
        <f>IF(ISBLANK($E376)," ", COUNTIF($M$4:$M376,$M376))</f>
        <v xml:space="preserve"> </v>
      </c>
      <c r="O376" s="25" t="str">
        <f t="shared" si="60"/>
        <v xml:space="preserve"> </v>
      </c>
      <c r="P376" s="5" t="str">
        <f t="shared" si="61"/>
        <v/>
      </c>
      <c r="Q376" s="5" t="str">
        <f t="shared" si="62"/>
        <v/>
      </c>
      <c r="R376" s="5" t="str">
        <f t="shared" si="63"/>
        <v/>
      </c>
    </row>
    <row r="377" spans="1:18" ht="20.25" x14ac:dyDescent="0.3">
      <c r="A377" s="14"/>
      <c r="B377" s="15">
        <v>373</v>
      </c>
      <c r="C377" s="22"/>
      <c r="D377" s="22"/>
      <c r="E377" s="23"/>
      <c r="F377" s="22"/>
      <c r="G377" s="22"/>
      <c r="H377" s="16"/>
      <c r="I377" s="15" t="str">
        <f t="shared" si="57"/>
        <v xml:space="preserve"> </v>
      </c>
      <c r="J377" s="15" t="str">
        <f t="shared" si="58"/>
        <v xml:space="preserve"> </v>
      </c>
      <c r="K377" s="15"/>
      <c r="L377" s="15">
        <f t="shared" si="64"/>
        <v>0</v>
      </c>
      <c r="M377" s="5" t="str">
        <f t="shared" si="59"/>
        <v/>
      </c>
      <c r="N377" s="25" t="str">
        <f>IF(ISBLANK($E377)," ", COUNTIF($M$4:$M377,$M377))</f>
        <v xml:space="preserve"> </v>
      </c>
      <c r="O377" s="25" t="str">
        <f t="shared" si="60"/>
        <v xml:space="preserve"> </v>
      </c>
      <c r="P377" s="5" t="str">
        <f t="shared" si="61"/>
        <v/>
      </c>
      <c r="Q377" s="5" t="str">
        <f t="shared" si="62"/>
        <v/>
      </c>
      <c r="R377" s="5" t="str">
        <f t="shared" si="63"/>
        <v/>
      </c>
    </row>
    <row r="378" spans="1:18" ht="20.25" x14ac:dyDescent="0.3">
      <c r="A378" s="14"/>
      <c r="B378" s="15">
        <v>374</v>
      </c>
      <c r="C378" s="22"/>
      <c r="D378" s="22"/>
      <c r="E378" s="23"/>
      <c r="F378" s="22"/>
      <c r="G378" s="22"/>
      <c r="H378" s="16"/>
      <c r="I378" s="15" t="str">
        <f t="shared" si="57"/>
        <v xml:space="preserve"> </v>
      </c>
      <c r="J378" s="15" t="str">
        <f t="shared" si="58"/>
        <v xml:space="preserve"> </v>
      </c>
      <c r="K378" s="15"/>
      <c r="L378" s="15">
        <f t="shared" si="64"/>
        <v>0</v>
      </c>
      <c r="M378" s="5" t="str">
        <f t="shared" si="59"/>
        <v/>
      </c>
      <c r="N378" s="25" t="str">
        <f>IF(ISBLANK($E378)," ", COUNTIF($M$4:$M378,$M378))</f>
        <v xml:space="preserve"> </v>
      </c>
      <c r="O378" s="25" t="str">
        <f t="shared" si="60"/>
        <v xml:space="preserve"> </v>
      </c>
      <c r="P378" s="5" t="str">
        <f t="shared" si="61"/>
        <v/>
      </c>
      <c r="Q378" s="5" t="str">
        <f t="shared" si="62"/>
        <v/>
      </c>
      <c r="R378" s="5" t="str">
        <f t="shared" si="63"/>
        <v/>
      </c>
    </row>
    <row r="379" spans="1:18" ht="20.25" x14ac:dyDescent="0.3">
      <c r="A379" s="14"/>
      <c r="B379" s="15">
        <v>375</v>
      </c>
      <c r="C379" s="22"/>
      <c r="D379" s="22"/>
      <c r="E379" s="23"/>
      <c r="F379" s="22"/>
      <c r="G379" s="22"/>
      <c r="H379" s="16"/>
      <c r="I379" s="15" t="str">
        <f t="shared" si="57"/>
        <v xml:space="preserve"> </v>
      </c>
      <c r="J379" s="15" t="str">
        <f t="shared" si="58"/>
        <v xml:space="preserve"> </v>
      </c>
      <c r="K379" s="15"/>
      <c r="L379" s="15">
        <f t="shared" si="64"/>
        <v>0</v>
      </c>
      <c r="M379" s="5" t="str">
        <f t="shared" si="59"/>
        <v/>
      </c>
      <c r="N379" s="25" t="str">
        <f>IF(ISBLANK($E379)," ", COUNTIF($M$4:$M379,$M379))</f>
        <v xml:space="preserve"> </v>
      </c>
      <c r="O379" s="25" t="str">
        <f t="shared" si="60"/>
        <v xml:space="preserve"> </v>
      </c>
      <c r="P379" s="5" t="str">
        <f t="shared" si="61"/>
        <v/>
      </c>
      <c r="Q379" s="5" t="str">
        <f t="shared" si="62"/>
        <v/>
      </c>
      <c r="R379" s="5" t="str">
        <f t="shared" si="63"/>
        <v/>
      </c>
    </row>
    <row r="380" spans="1:18" ht="20.25" x14ac:dyDescent="0.3">
      <c r="A380" s="14"/>
      <c r="B380" s="15">
        <v>376</v>
      </c>
      <c r="C380" s="22"/>
      <c r="D380" s="22"/>
      <c r="E380" s="23"/>
      <c r="F380" s="22"/>
      <c r="G380" s="22"/>
      <c r="H380" s="16"/>
      <c r="I380" s="15" t="str">
        <f t="shared" si="57"/>
        <v xml:space="preserve"> </v>
      </c>
      <c r="J380" s="15" t="str">
        <f t="shared" si="58"/>
        <v xml:space="preserve"> </v>
      </c>
      <c r="K380" s="15"/>
      <c r="L380" s="15">
        <f t="shared" si="64"/>
        <v>0</v>
      </c>
      <c r="M380" s="5" t="str">
        <f t="shared" si="59"/>
        <v/>
      </c>
      <c r="N380" s="25" t="str">
        <f>IF(ISBLANK($E380)," ", COUNTIF($M$4:$M380,$M380))</f>
        <v xml:space="preserve"> </v>
      </c>
      <c r="O380" s="25" t="str">
        <f t="shared" si="60"/>
        <v xml:space="preserve"> </v>
      </c>
      <c r="P380" s="5" t="str">
        <f t="shared" si="61"/>
        <v/>
      </c>
      <c r="Q380" s="5" t="str">
        <f t="shared" si="62"/>
        <v/>
      </c>
      <c r="R380" s="5" t="str">
        <f t="shared" si="63"/>
        <v/>
      </c>
    </row>
    <row r="381" spans="1:18" ht="20.25" x14ac:dyDescent="0.3">
      <c r="A381" s="14"/>
      <c r="B381" s="15">
        <v>377</v>
      </c>
      <c r="C381" s="22"/>
      <c r="D381" s="22"/>
      <c r="E381" s="23"/>
      <c r="F381" s="22"/>
      <c r="G381" s="22"/>
      <c r="H381" s="16"/>
      <c r="I381" s="15" t="str">
        <f t="shared" si="57"/>
        <v xml:space="preserve"> </v>
      </c>
      <c r="J381" s="15" t="str">
        <f t="shared" si="58"/>
        <v xml:space="preserve"> </v>
      </c>
      <c r="K381" s="15"/>
      <c r="L381" s="15">
        <f t="shared" si="64"/>
        <v>0</v>
      </c>
      <c r="M381" s="5" t="str">
        <f t="shared" si="59"/>
        <v/>
      </c>
      <c r="N381" s="25" t="str">
        <f>IF(ISBLANK($E381)," ", COUNTIF($M$4:$M381,$M381))</f>
        <v xml:space="preserve"> </v>
      </c>
      <c r="O381" s="25" t="str">
        <f t="shared" si="60"/>
        <v xml:space="preserve"> </v>
      </c>
      <c r="P381" s="5" t="str">
        <f t="shared" si="61"/>
        <v/>
      </c>
      <c r="Q381" s="5" t="str">
        <f t="shared" si="62"/>
        <v/>
      </c>
      <c r="R381" s="5" t="str">
        <f t="shared" si="63"/>
        <v/>
      </c>
    </row>
    <row r="382" spans="1:18" ht="20.25" x14ac:dyDescent="0.3">
      <c r="A382" s="14"/>
      <c r="B382" s="15">
        <v>378</v>
      </c>
      <c r="C382" s="22"/>
      <c r="D382" s="22"/>
      <c r="E382" s="23"/>
      <c r="F382" s="22"/>
      <c r="G382" s="22"/>
      <c r="H382" s="16"/>
      <c r="I382" s="15" t="str">
        <f t="shared" si="57"/>
        <v xml:space="preserve"> </v>
      </c>
      <c r="J382" s="15" t="str">
        <f t="shared" si="58"/>
        <v xml:space="preserve"> </v>
      </c>
      <c r="K382" s="15"/>
      <c r="L382" s="15">
        <f t="shared" si="64"/>
        <v>0</v>
      </c>
      <c r="M382" s="5" t="str">
        <f t="shared" si="59"/>
        <v/>
      </c>
      <c r="N382" s="25" t="str">
        <f>IF(ISBLANK($E382)," ", COUNTIF($M$4:$M382,$M382))</f>
        <v xml:space="preserve"> </v>
      </c>
      <c r="O382" s="25" t="str">
        <f t="shared" si="60"/>
        <v xml:space="preserve"> </v>
      </c>
      <c r="P382" s="5" t="str">
        <f t="shared" si="61"/>
        <v/>
      </c>
      <c r="Q382" s="5" t="str">
        <f t="shared" si="62"/>
        <v/>
      </c>
      <c r="R382" s="5" t="str">
        <f t="shared" si="63"/>
        <v/>
      </c>
    </row>
    <row r="383" spans="1:18" ht="20.25" x14ac:dyDescent="0.3">
      <c r="A383" s="14"/>
      <c r="B383" s="15">
        <v>379</v>
      </c>
      <c r="C383" s="22"/>
      <c r="D383" s="22"/>
      <c r="E383" s="23"/>
      <c r="F383" s="22"/>
      <c r="G383" s="22"/>
      <c r="H383" s="16"/>
      <c r="I383" s="15" t="str">
        <f t="shared" si="57"/>
        <v xml:space="preserve"> </v>
      </c>
      <c r="J383" s="15" t="str">
        <f t="shared" si="58"/>
        <v xml:space="preserve"> </v>
      </c>
      <c r="K383" s="15"/>
      <c r="L383" s="15">
        <f t="shared" si="64"/>
        <v>0</v>
      </c>
      <c r="M383" s="5" t="str">
        <f t="shared" si="59"/>
        <v/>
      </c>
      <c r="N383" s="25" t="str">
        <f>IF(ISBLANK($E383)," ", COUNTIF($M$4:$M383,$M383))</f>
        <v xml:space="preserve"> </v>
      </c>
      <c r="O383" s="25" t="str">
        <f t="shared" si="60"/>
        <v xml:space="preserve"> </v>
      </c>
      <c r="P383" s="5" t="str">
        <f t="shared" si="61"/>
        <v/>
      </c>
      <c r="Q383" s="5" t="str">
        <f t="shared" si="62"/>
        <v/>
      </c>
      <c r="R383" s="5" t="str">
        <f t="shared" si="63"/>
        <v/>
      </c>
    </row>
    <row r="384" spans="1:18" ht="20.25" x14ac:dyDescent="0.3">
      <c r="A384" s="14"/>
      <c r="B384" s="15">
        <v>380</v>
      </c>
      <c r="C384" s="22"/>
      <c r="D384" s="22"/>
      <c r="E384" s="23"/>
      <c r="F384" s="22"/>
      <c r="G384" s="22"/>
      <c r="H384" s="16"/>
      <c r="I384" s="15" t="str">
        <f t="shared" si="57"/>
        <v xml:space="preserve"> </v>
      </c>
      <c r="J384" s="15" t="str">
        <f t="shared" si="58"/>
        <v xml:space="preserve"> </v>
      </c>
      <c r="K384" s="15"/>
      <c r="L384" s="15">
        <f t="shared" si="64"/>
        <v>0</v>
      </c>
      <c r="M384" s="5" t="str">
        <f t="shared" si="59"/>
        <v/>
      </c>
      <c r="N384" s="25" t="str">
        <f>IF(ISBLANK($E384)," ", COUNTIF($M$4:$M384,$M384))</f>
        <v xml:space="preserve"> </v>
      </c>
      <c r="O384" s="25" t="str">
        <f t="shared" si="60"/>
        <v xml:space="preserve"> </v>
      </c>
      <c r="P384" s="5" t="str">
        <f t="shared" si="61"/>
        <v/>
      </c>
      <c r="Q384" s="5" t="str">
        <f t="shared" si="62"/>
        <v/>
      </c>
      <c r="R384" s="5" t="str">
        <f t="shared" si="63"/>
        <v/>
      </c>
    </row>
    <row r="385" spans="1:18" ht="20.25" x14ac:dyDescent="0.3">
      <c r="A385" s="14"/>
      <c r="B385" s="15">
        <v>381</v>
      </c>
      <c r="C385" s="22"/>
      <c r="D385" s="22"/>
      <c r="E385" s="23"/>
      <c r="F385" s="22"/>
      <c r="G385" s="22"/>
      <c r="H385" s="16"/>
      <c r="I385" s="15" t="str">
        <f t="shared" ref="I385:I448" si="65">IF(ISBLANK($E385)," ",IF($E385&gt;$H385,$C385,$F385))</f>
        <v xml:space="preserve"> </v>
      </c>
      <c r="J385" s="15" t="str">
        <f t="shared" ref="J385:J448" si="66">IF(ISBLANK($E385)," ",IF($E385&gt;$H385,$D385,$G385))</f>
        <v xml:space="preserve"> </v>
      </c>
      <c r="K385" s="15"/>
      <c r="L385" s="15">
        <f t="shared" si="64"/>
        <v>0</v>
      </c>
      <c r="M385" s="5" t="str">
        <f t="shared" ref="M385:M391" si="67">IF(ISBLANK($E385),"",VLOOKUP($I385,PLAYERS_IDS,2,FALSE)*VLOOKUP($J385,PLAYERS_IDS,2,FALSE))</f>
        <v/>
      </c>
      <c r="N385" s="25" t="str">
        <f>IF(ISBLANK($E385)," ", COUNTIF($M$4:$M385,$M385))</f>
        <v xml:space="preserve"> </v>
      </c>
      <c r="O385" s="25" t="str">
        <f t="shared" ref="O385:O448" si="68">IF(N385 =" ", " ", IF(N385=1,15,(IF(N385=2,15,(IF(N385=3,15,15))))))</f>
        <v xml:space="preserve"> </v>
      </c>
      <c r="P385" s="5" t="str">
        <f t="shared" ref="P385:P391" si="69">IF(ISBLANK($F385),"",VLOOKUP($C385,PLAYERS_IDS,2,FALSE)*VLOOKUP($D385,PLAYERS_IDS,2,FALSE))</f>
        <v/>
      </c>
      <c r="Q385" s="5" t="str">
        <f t="shared" ref="Q385:Q391" si="70">IF(ISBLANK($F385), "",VLOOKUP($F385,PLAYERS_IDS,2,FALSE)*VLOOKUP($G385,PLAYERS_IDS,2,FALSE))</f>
        <v/>
      </c>
      <c r="R385" s="5" t="str">
        <f t="shared" ref="R385:R448" si="71">IFERROR((P385*100000)+Q385,"")</f>
        <v/>
      </c>
    </row>
    <row r="386" spans="1:18" ht="20.25" x14ac:dyDescent="0.3">
      <c r="A386" s="14"/>
      <c r="B386" s="15">
        <v>382</v>
      </c>
      <c r="C386" s="22"/>
      <c r="D386" s="22"/>
      <c r="E386" s="23"/>
      <c r="F386" s="22"/>
      <c r="G386" s="22"/>
      <c r="H386" s="16"/>
      <c r="I386" s="15" t="str">
        <f t="shared" si="65"/>
        <v xml:space="preserve"> </v>
      </c>
      <c r="J386" s="15" t="str">
        <f t="shared" si="66"/>
        <v xml:space="preserve"> </v>
      </c>
      <c r="K386" s="15"/>
      <c r="L386" s="15">
        <f t="shared" ref="L386:L449" si="72">E386-H386</f>
        <v>0</v>
      </c>
      <c r="M386" s="5" t="str">
        <f t="shared" si="67"/>
        <v/>
      </c>
      <c r="N386" s="25" t="str">
        <f>IF(ISBLANK($E386)," ", COUNTIF($M$4:$M386,$M386))</f>
        <v xml:space="preserve"> </v>
      </c>
      <c r="O386" s="25" t="str">
        <f t="shared" si="68"/>
        <v xml:space="preserve"> </v>
      </c>
      <c r="P386" s="5" t="str">
        <f t="shared" si="69"/>
        <v/>
      </c>
      <c r="Q386" s="5" t="str">
        <f t="shared" si="70"/>
        <v/>
      </c>
      <c r="R386" s="5" t="str">
        <f t="shared" si="71"/>
        <v/>
      </c>
    </row>
    <row r="387" spans="1:18" ht="20.25" x14ac:dyDescent="0.3">
      <c r="A387" s="14"/>
      <c r="B387" s="15">
        <v>383</v>
      </c>
      <c r="C387" s="22"/>
      <c r="D387" s="22"/>
      <c r="E387" s="23"/>
      <c r="F387" s="22"/>
      <c r="G387" s="22"/>
      <c r="H387" s="16"/>
      <c r="I387" s="15" t="str">
        <f t="shared" si="65"/>
        <v xml:space="preserve"> </v>
      </c>
      <c r="J387" s="15" t="str">
        <f t="shared" si="66"/>
        <v xml:space="preserve"> </v>
      </c>
      <c r="K387" s="15"/>
      <c r="L387" s="15">
        <f t="shared" si="72"/>
        <v>0</v>
      </c>
      <c r="M387" s="5" t="str">
        <f t="shared" si="67"/>
        <v/>
      </c>
      <c r="N387" s="25" t="str">
        <f>IF(ISBLANK($E387)," ", COUNTIF($M$4:$M387,$M387))</f>
        <v xml:space="preserve"> </v>
      </c>
      <c r="O387" s="25" t="str">
        <f t="shared" si="68"/>
        <v xml:space="preserve"> </v>
      </c>
      <c r="P387" s="5" t="str">
        <f t="shared" si="69"/>
        <v/>
      </c>
      <c r="Q387" s="5" t="str">
        <f t="shared" si="70"/>
        <v/>
      </c>
      <c r="R387" s="5" t="str">
        <f t="shared" si="71"/>
        <v/>
      </c>
    </row>
    <row r="388" spans="1:18" ht="20.25" x14ac:dyDescent="0.3">
      <c r="A388" s="14"/>
      <c r="B388" s="15">
        <v>384</v>
      </c>
      <c r="C388" s="22"/>
      <c r="D388" s="22"/>
      <c r="E388" s="23"/>
      <c r="F388" s="22"/>
      <c r="G388" s="22"/>
      <c r="H388" s="16"/>
      <c r="I388" s="15" t="str">
        <f t="shared" si="65"/>
        <v xml:space="preserve"> </v>
      </c>
      <c r="J388" s="15" t="str">
        <f t="shared" si="66"/>
        <v xml:space="preserve"> </v>
      </c>
      <c r="K388" s="15"/>
      <c r="L388" s="15">
        <f t="shared" si="72"/>
        <v>0</v>
      </c>
      <c r="M388" s="5" t="str">
        <f t="shared" si="67"/>
        <v/>
      </c>
      <c r="N388" s="25" t="str">
        <f>IF(ISBLANK($E388)," ", COUNTIF($M$4:$M388,$M388))</f>
        <v xml:space="preserve"> </v>
      </c>
      <c r="O388" s="25" t="str">
        <f t="shared" si="68"/>
        <v xml:space="preserve"> </v>
      </c>
      <c r="P388" s="5" t="str">
        <f t="shared" si="69"/>
        <v/>
      </c>
      <c r="Q388" s="5" t="str">
        <f t="shared" si="70"/>
        <v/>
      </c>
      <c r="R388" s="5" t="str">
        <f t="shared" si="71"/>
        <v/>
      </c>
    </row>
    <row r="389" spans="1:18" ht="20.25" x14ac:dyDescent="0.3">
      <c r="A389" s="14"/>
      <c r="B389" s="15">
        <v>385</v>
      </c>
      <c r="C389" s="22"/>
      <c r="D389" s="22"/>
      <c r="E389" s="23"/>
      <c r="F389" s="22"/>
      <c r="G389" s="22"/>
      <c r="H389" s="16"/>
      <c r="I389" s="15" t="str">
        <f t="shared" si="65"/>
        <v xml:space="preserve"> </v>
      </c>
      <c r="J389" s="15" t="str">
        <f t="shared" si="66"/>
        <v xml:space="preserve"> </v>
      </c>
      <c r="K389" s="15"/>
      <c r="L389" s="15">
        <f t="shared" si="72"/>
        <v>0</v>
      </c>
      <c r="M389" s="5" t="str">
        <f t="shared" si="67"/>
        <v/>
      </c>
      <c r="N389" s="25" t="str">
        <f>IF(ISBLANK($E389)," ", COUNTIF($M$4:$M389,$M389))</f>
        <v xml:space="preserve"> </v>
      </c>
      <c r="O389" s="25" t="str">
        <f t="shared" si="68"/>
        <v xml:space="preserve"> </v>
      </c>
      <c r="P389" s="5" t="str">
        <f t="shared" si="69"/>
        <v/>
      </c>
      <c r="Q389" s="5" t="str">
        <f t="shared" si="70"/>
        <v/>
      </c>
      <c r="R389" s="5" t="str">
        <f t="shared" si="71"/>
        <v/>
      </c>
    </row>
    <row r="390" spans="1:18" ht="20.25" x14ac:dyDescent="0.3">
      <c r="A390" s="14"/>
      <c r="B390" s="15">
        <v>386</v>
      </c>
      <c r="C390" s="22"/>
      <c r="D390" s="22"/>
      <c r="E390" s="23"/>
      <c r="F390" s="22"/>
      <c r="G390" s="22"/>
      <c r="H390" s="16"/>
      <c r="I390" s="15" t="str">
        <f t="shared" si="65"/>
        <v xml:space="preserve"> </v>
      </c>
      <c r="J390" s="15" t="str">
        <f t="shared" si="66"/>
        <v xml:space="preserve"> </v>
      </c>
      <c r="K390" s="15"/>
      <c r="L390" s="15">
        <f t="shared" si="72"/>
        <v>0</v>
      </c>
      <c r="M390" s="5" t="str">
        <f t="shared" si="67"/>
        <v/>
      </c>
      <c r="N390" s="25" t="str">
        <f>IF(ISBLANK($E390)," ", COUNTIF($M$4:$M390,$M390))</f>
        <v xml:space="preserve"> </v>
      </c>
      <c r="O390" s="25" t="str">
        <f t="shared" si="68"/>
        <v xml:space="preserve"> </v>
      </c>
      <c r="P390" s="5" t="str">
        <f t="shared" si="69"/>
        <v/>
      </c>
      <c r="Q390" s="5" t="str">
        <f t="shared" si="70"/>
        <v/>
      </c>
      <c r="R390" s="5" t="str">
        <f t="shared" si="71"/>
        <v/>
      </c>
    </row>
    <row r="391" spans="1:18" ht="20.25" x14ac:dyDescent="0.3">
      <c r="A391" s="14"/>
      <c r="B391" s="15">
        <v>387</v>
      </c>
      <c r="C391" s="22"/>
      <c r="D391" s="22"/>
      <c r="E391" s="23"/>
      <c r="F391" s="22"/>
      <c r="G391" s="22"/>
      <c r="H391" s="16"/>
      <c r="I391" s="15" t="str">
        <f t="shared" si="65"/>
        <v xml:space="preserve"> </v>
      </c>
      <c r="J391" s="15" t="str">
        <f t="shared" si="66"/>
        <v xml:space="preserve"> </v>
      </c>
      <c r="K391" s="15"/>
      <c r="L391" s="15">
        <f t="shared" si="72"/>
        <v>0</v>
      </c>
      <c r="M391" s="5" t="str">
        <f t="shared" si="67"/>
        <v/>
      </c>
      <c r="N391" s="25" t="str">
        <f>IF(ISBLANK($E391)," ", COUNTIF($M$4:$M391,$M391))</f>
        <v xml:space="preserve"> </v>
      </c>
      <c r="O391" s="25" t="str">
        <f t="shared" si="68"/>
        <v xml:space="preserve"> </v>
      </c>
      <c r="P391" s="5" t="str">
        <f t="shared" si="69"/>
        <v/>
      </c>
      <c r="Q391" s="5" t="str">
        <f t="shared" si="70"/>
        <v/>
      </c>
      <c r="R391" s="5" t="str">
        <f t="shared" si="71"/>
        <v/>
      </c>
    </row>
    <row r="392" spans="1:18" ht="20.25" x14ac:dyDescent="0.3">
      <c r="A392" s="14"/>
      <c r="B392" s="15">
        <v>388</v>
      </c>
      <c r="C392" s="22"/>
      <c r="D392" s="22"/>
      <c r="E392" s="23"/>
      <c r="F392" s="22"/>
      <c r="G392" s="22"/>
      <c r="H392" s="16"/>
      <c r="I392" s="15" t="str">
        <f t="shared" si="65"/>
        <v xml:space="preserve"> </v>
      </c>
      <c r="J392" s="15" t="str">
        <f t="shared" si="66"/>
        <v xml:space="preserve"> </v>
      </c>
      <c r="K392" s="15"/>
      <c r="L392" s="15">
        <f t="shared" si="72"/>
        <v>0</v>
      </c>
      <c r="M392" s="5" t="str">
        <f t="shared" ref="M392:M423" si="73">IF(ISBLANK($E392),"",VLOOKUP($I392,PLAYERS_IDS,2,FALSE)*VLOOKUP($J392,PLAYERS_IDS,2,FALSE))</f>
        <v/>
      </c>
      <c r="N392" s="25" t="str">
        <f>IF(ISBLANK($E392)," ", COUNTIF($M$4:$M392,$M392))</f>
        <v xml:space="preserve"> </v>
      </c>
      <c r="O392" s="25" t="str">
        <f t="shared" si="68"/>
        <v xml:space="preserve"> </v>
      </c>
      <c r="P392" s="5" t="str">
        <f t="shared" ref="P392:P423" si="74">IF(ISBLANK($F392),"",VLOOKUP($C392,PLAYERS_IDS,2,FALSE)*VLOOKUP($D392,PLAYERS_IDS,2,FALSE))</f>
        <v/>
      </c>
      <c r="Q392" s="5" t="str">
        <f t="shared" ref="Q392:Q423" si="75">IF(ISBLANK($F392), "",VLOOKUP($F392,PLAYERS_IDS,2,FALSE)*VLOOKUP($G392,PLAYERS_IDS,2,FALSE))</f>
        <v/>
      </c>
      <c r="R392" s="5" t="str">
        <f t="shared" si="71"/>
        <v/>
      </c>
    </row>
    <row r="393" spans="1:18" ht="20.25" x14ac:dyDescent="0.3">
      <c r="A393" s="14"/>
      <c r="B393" s="15">
        <v>389</v>
      </c>
      <c r="C393" s="22"/>
      <c r="D393" s="22"/>
      <c r="E393" s="23"/>
      <c r="F393" s="22"/>
      <c r="G393" s="22"/>
      <c r="H393" s="16"/>
      <c r="I393" s="15" t="str">
        <f t="shared" si="65"/>
        <v xml:space="preserve"> </v>
      </c>
      <c r="J393" s="15" t="str">
        <f t="shared" si="66"/>
        <v xml:space="preserve"> </v>
      </c>
      <c r="K393" s="15"/>
      <c r="L393" s="15">
        <f t="shared" si="72"/>
        <v>0</v>
      </c>
      <c r="M393" s="5" t="str">
        <f t="shared" si="73"/>
        <v/>
      </c>
      <c r="N393" s="25" t="str">
        <f>IF(ISBLANK($E393)," ", COUNTIF($M$4:$M393,$M393))</f>
        <v xml:space="preserve"> </v>
      </c>
      <c r="O393" s="25" t="str">
        <f t="shared" si="68"/>
        <v xml:space="preserve"> </v>
      </c>
      <c r="P393" s="5" t="str">
        <f t="shared" si="74"/>
        <v/>
      </c>
      <c r="Q393" s="5" t="str">
        <f t="shared" si="75"/>
        <v/>
      </c>
      <c r="R393" s="5" t="str">
        <f t="shared" si="71"/>
        <v/>
      </c>
    </row>
    <row r="394" spans="1:18" ht="20.25" x14ac:dyDescent="0.3">
      <c r="A394" s="14"/>
      <c r="B394" s="15">
        <v>390</v>
      </c>
      <c r="C394" s="22"/>
      <c r="D394" s="22"/>
      <c r="E394" s="23"/>
      <c r="F394" s="22"/>
      <c r="G394" s="22"/>
      <c r="H394" s="16"/>
      <c r="I394" s="15" t="str">
        <f t="shared" si="65"/>
        <v xml:space="preserve"> </v>
      </c>
      <c r="J394" s="15" t="str">
        <f t="shared" si="66"/>
        <v xml:space="preserve"> </v>
      </c>
      <c r="K394" s="15"/>
      <c r="L394" s="15">
        <f t="shared" si="72"/>
        <v>0</v>
      </c>
      <c r="M394" s="5" t="str">
        <f t="shared" si="73"/>
        <v/>
      </c>
      <c r="N394" s="25" t="str">
        <f>IF(ISBLANK($E394)," ", COUNTIF($M$4:$M394,$M394))</f>
        <v xml:space="preserve"> </v>
      </c>
      <c r="O394" s="25" t="str">
        <f t="shared" si="68"/>
        <v xml:space="preserve"> </v>
      </c>
      <c r="P394" s="5" t="str">
        <f t="shared" si="74"/>
        <v/>
      </c>
      <c r="Q394" s="5" t="str">
        <f t="shared" si="75"/>
        <v/>
      </c>
      <c r="R394" s="5" t="str">
        <f t="shared" si="71"/>
        <v/>
      </c>
    </row>
    <row r="395" spans="1:18" ht="20.25" x14ac:dyDescent="0.3">
      <c r="A395" s="14"/>
      <c r="B395" s="15">
        <v>391</v>
      </c>
      <c r="C395" s="22"/>
      <c r="D395" s="22"/>
      <c r="E395" s="23"/>
      <c r="F395" s="22"/>
      <c r="G395" s="22"/>
      <c r="H395" s="16"/>
      <c r="I395" s="15" t="str">
        <f t="shared" si="65"/>
        <v xml:space="preserve"> </v>
      </c>
      <c r="J395" s="15" t="str">
        <f t="shared" si="66"/>
        <v xml:space="preserve"> </v>
      </c>
      <c r="K395" s="15"/>
      <c r="L395" s="15">
        <f t="shared" si="72"/>
        <v>0</v>
      </c>
      <c r="M395" s="5" t="str">
        <f t="shared" si="73"/>
        <v/>
      </c>
      <c r="N395" s="25" t="str">
        <f>IF(ISBLANK($E395)," ", COUNTIF($M$4:$M395,$M395))</f>
        <v xml:space="preserve"> </v>
      </c>
      <c r="O395" s="25" t="str">
        <f t="shared" si="68"/>
        <v xml:space="preserve"> </v>
      </c>
      <c r="P395" s="5" t="str">
        <f t="shared" si="74"/>
        <v/>
      </c>
      <c r="Q395" s="5" t="str">
        <f t="shared" si="75"/>
        <v/>
      </c>
      <c r="R395" s="5" t="str">
        <f t="shared" si="71"/>
        <v/>
      </c>
    </row>
    <row r="396" spans="1:18" ht="20.25" x14ac:dyDescent="0.3">
      <c r="A396" s="14"/>
      <c r="B396" s="15">
        <v>392</v>
      </c>
      <c r="C396" s="22"/>
      <c r="D396" s="22"/>
      <c r="E396" s="23"/>
      <c r="F396" s="22"/>
      <c r="G396" s="22"/>
      <c r="H396" s="16"/>
      <c r="I396" s="15" t="str">
        <f t="shared" si="65"/>
        <v xml:space="preserve"> </v>
      </c>
      <c r="J396" s="15" t="str">
        <f t="shared" si="66"/>
        <v xml:space="preserve"> </v>
      </c>
      <c r="K396" s="15"/>
      <c r="L396" s="15">
        <f t="shared" si="72"/>
        <v>0</v>
      </c>
      <c r="M396" s="5" t="str">
        <f t="shared" si="73"/>
        <v/>
      </c>
      <c r="N396" s="25" t="str">
        <f>IF(ISBLANK($E396)," ", COUNTIF($M$4:$M396,$M396))</f>
        <v xml:space="preserve"> </v>
      </c>
      <c r="O396" s="25" t="str">
        <f t="shared" si="68"/>
        <v xml:space="preserve"> </v>
      </c>
      <c r="P396" s="5" t="str">
        <f t="shared" si="74"/>
        <v/>
      </c>
      <c r="Q396" s="5" t="str">
        <f t="shared" si="75"/>
        <v/>
      </c>
      <c r="R396" s="5" t="str">
        <f t="shared" si="71"/>
        <v/>
      </c>
    </row>
    <row r="397" spans="1:18" ht="20.25" x14ac:dyDescent="0.3">
      <c r="A397" s="14"/>
      <c r="B397" s="15">
        <v>393</v>
      </c>
      <c r="C397" s="22"/>
      <c r="D397" s="22"/>
      <c r="E397" s="23"/>
      <c r="F397" s="22"/>
      <c r="G397" s="22"/>
      <c r="H397" s="16"/>
      <c r="I397" s="15" t="str">
        <f t="shared" si="65"/>
        <v xml:space="preserve"> </v>
      </c>
      <c r="J397" s="15" t="str">
        <f t="shared" si="66"/>
        <v xml:space="preserve"> </v>
      </c>
      <c r="K397" s="15"/>
      <c r="L397" s="15">
        <f t="shared" si="72"/>
        <v>0</v>
      </c>
      <c r="M397" s="5" t="str">
        <f t="shared" si="73"/>
        <v/>
      </c>
      <c r="N397" s="25" t="str">
        <f>IF(ISBLANK($E397)," ", COUNTIF($M$4:$M397,$M397))</f>
        <v xml:space="preserve"> </v>
      </c>
      <c r="O397" s="25" t="str">
        <f t="shared" si="68"/>
        <v xml:space="preserve"> </v>
      </c>
      <c r="P397" s="5" t="str">
        <f t="shared" si="74"/>
        <v/>
      </c>
      <c r="Q397" s="5" t="str">
        <f t="shared" si="75"/>
        <v/>
      </c>
      <c r="R397" s="5" t="str">
        <f t="shared" si="71"/>
        <v/>
      </c>
    </row>
    <row r="398" spans="1:18" ht="20.25" x14ac:dyDescent="0.3">
      <c r="A398" s="14"/>
      <c r="B398" s="15">
        <v>394</v>
      </c>
      <c r="C398" s="22"/>
      <c r="D398" s="22"/>
      <c r="E398" s="23"/>
      <c r="F398" s="22"/>
      <c r="G398" s="22"/>
      <c r="H398" s="16"/>
      <c r="I398" s="15" t="str">
        <f t="shared" si="65"/>
        <v xml:space="preserve"> </v>
      </c>
      <c r="J398" s="15" t="str">
        <f t="shared" si="66"/>
        <v xml:space="preserve"> </v>
      </c>
      <c r="K398" s="15"/>
      <c r="L398" s="15">
        <f t="shared" si="72"/>
        <v>0</v>
      </c>
      <c r="M398" s="5" t="str">
        <f t="shared" si="73"/>
        <v/>
      </c>
      <c r="N398" s="25" t="str">
        <f>IF(ISBLANK($E398)," ", COUNTIF($M$4:$M398,$M398))</f>
        <v xml:space="preserve"> </v>
      </c>
      <c r="O398" s="25" t="str">
        <f t="shared" si="68"/>
        <v xml:space="preserve"> </v>
      </c>
      <c r="P398" s="5" t="str">
        <f t="shared" si="74"/>
        <v/>
      </c>
      <c r="Q398" s="5" t="str">
        <f t="shared" si="75"/>
        <v/>
      </c>
      <c r="R398" s="5" t="str">
        <f t="shared" si="71"/>
        <v/>
      </c>
    </row>
    <row r="399" spans="1:18" ht="20.25" x14ac:dyDescent="0.3">
      <c r="A399" s="14"/>
      <c r="B399" s="15">
        <v>395</v>
      </c>
      <c r="C399" s="22"/>
      <c r="D399" s="22"/>
      <c r="E399" s="23"/>
      <c r="F399" s="22"/>
      <c r="G399" s="22"/>
      <c r="H399" s="16"/>
      <c r="I399" s="15" t="str">
        <f t="shared" si="65"/>
        <v xml:space="preserve"> </v>
      </c>
      <c r="J399" s="15" t="str">
        <f t="shared" si="66"/>
        <v xml:space="preserve"> </v>
      </c>
      <c r="K399" s="15"/>
      <c r="L399" s="15">
        <f t="shared" si="72"/>
        <v>0</v>
      </c>
      <c r="M399" s="5" t="str">
        <f t="shared" si="73"/>
        <v/>
      </c>
      <c r="N399" s="25" t="str">
        <f>IF(ISBLANK($E399)," ", COUNTIF($M$4:$M399,$M399))</f>
        <v xml:space="preserve"> </v>
      </c>
      <c r="O399" s="25" t="str">
        <f t="shared" si="68"/>
        <v xml:space="preserve"> </v>
      </c>
      <c r="P399" s="5" t="str">
        <f t="shared" si="74"/>
        <v/>
      </c>
      <c r="Q399" s="5" t="str">
        <f t="shared" si="75"/>
        <v/>
      </c>
      <c r="R399" s="5" t="str">
        <f t="shared" si="71"/>
        <v/>
      </c>
    </row>
    <row r="400" spans="1:18" ht="20.25" x14ac:dyDescent="0.3">
      <c r="A400" s="14"/>
      <c r="B400" s="15">
        <v>396</v>
      </c>
      <c r="C400" s="22"/>
      <c r="D400" s="22"/>
      <c r="E400" s="23"/>
      <c r="F400" s="22"/>
      <c r="G400" s="22"/>
      <c r="H400" s="16"/>
      <c r="I400" s="15" t="str">
        <f t="shared" si="65"/>
        <v xml:space="preserve"> </v>
      </c>
      <c r="J400" s="15" t="str">
        <f t="shared" si="66"/>
        <v xml:space="preserve"> </v>
      </c>
      <c r="K400" s="15"/>
      <c r="L400" s="15">
        <f t="shared" si="72"/>
        <v>0</v>
      </c>
      <c r="M400" s="5" t="str">
        <f t="shared" si="73"/>
        <v/>
      </c>
      <c r="N400" s="25" t="str">
        <f>IF(ISBLANK($E400)," ", COUNTIF($M$4:$M400,$M400))</f>
        <v xml:space="preserve"> </v>
      </c>
      <c r="O400" s="25" t="str">
        <f t="shared" si="68"/>
        <v xml:space="preserve"> </v>
      </c>
      <c r="P400" s="5" t="str">
        <f t="shared" si="74"/>
        <v/>
      </c>
      <c r="Q400" s="5" t="str">
        <f t="shared" si="75"/>
        <v/>
      </c>
      <c r="R400" s="5" t="str">
        <f t="shared" si="71"/>
        <v/>
      </c>
    </row>
    <row r="401" spans="1:18" ht="20.25" x14ac:dyDescent="0.3">
      <c r="A401" s="14"/>
      <c r="B401" s="15">
        <v>397</v>
      </c>
      <c r="C401" s="22"/>
      <c r="D401" s="22"/>
      <c r="E401" s="23"/>
      <c r="F401" s="22"/>
      <c r="G401" s="22"/>
      <c r="H401" s="16"/>
      <c r="I401" s="15" t="str">
        <f t="shared" si="65"/>
        <v xml:space="preserve"> </v>
      </c>
      <c r="J401" s="15" t="str">
        <f t="shared" si="66"/>
        <v xml:space="preserve"> </v>
      </c>
      <c r="K401" s="15"/>
      <c r="L401" s="15">
        <f t="shared" si="72"/>
        <v>0</v>
      </c>
      <c r="M401" s="5" t="str">
        <f t="shared" si="73"/>
        <v/>
      </c>
      <c r="N401" s="25" t="str">
        <f>IF(ISBLANK($E401)," ", COUNTIF($M$4:$M401,$M401))</f>
        <v xml:space="preserve"> </v>
      </c>
      <c r="O401" s="25" t="str">
        <f t="shared" si="68"/>
        <v xml:space="preserve"> </v>
      </c>
      <c r="P401" s="5" t="str">
        <f t="shared" si="74"/>
        <v/>
      </c>
      <c r="Q401" s="5" t="str">
        <f t="shared" si="75"/>
        <v/>
      </c>
      <c r="R401" s="5" t="str">
        <f t="shared" si="71"/>
        <v/>
      </c>
    </row>
    <row r="402" spans="1:18" ht="20.25" x14ac:dyDescent="0.3">
      <c r="A402" s="14"/>
      <c r="B402" s="15">
        <v>398</v>
      </c>
      <c r="C402" s="22"/>
      <c r="D402" s="22"/>
      <c r="E402" s="23"/>
      <c r="F402" s="22"/>
      <c r="G402" s="22"/>
      <c r="H402" s="16"/>
      <c r="I402" s="15" t="str">
        <f t="shared" si="65"/>
        <v xml:space="preserve"> </v>
      </c>
      <c r="J402" s="15" t="str">
        <f t="shared" si="66"/>
        <v xml:space="preserve"> </v>
      </c>
      <c r="K402" s="15"/>
      <c r="L402" s="15">
        <f t="shared" si="72"/>
        <v>0</v>
      </c>
      <c r="M402" s="5" t="str">
        <f t="shared" si="73"/>
        <v/>
      </c>
      <c r="N402" s="25" t="str">
        <f>IF(ISBLANK($E402)," ", COUNTIF($M$4:$M402,$M402))</f>
        <v xml:space="preserve"> </v>
      </c>
      <c r="O402" s="25" t="str">
        <f t="shared" si="68"/>
        <v xml:space="preserve"> </v>
      </c>
      <c r="P402" s="5" t="str">
        <f t="shared" si="74"/>
        <v/>
      </c>
      <c r="Q402" s="5" t="str">
        <f t="shared" si="75"/>
        <v/>
      </c>
      <c r="R402" s="5" t="str">
        <f t="shared" si="71"/>
        <v/>
      </c>
    </row>
    <row r="403" spans="1:18" ht="20.25" x14ac:dyDescent="0.3">
      <c r="A403" s="14"/>
      <c r="B403" s="15">
        <v>399</v>
      </c>
      <c r="C403" s="22"/>
      <c r="D403" s="22"/>
      <c r="E403" s="23"/>
      <c r="F403" s="22"/>
      <c r="G403" s="22"/>
      <c r="H403" s="16"/>
      <c r="I403" s="15" t="str">
        <f t="shared" si="65"/>
        <v xml:space="preserve"> </v>
      </c>
      <c r="J403" s="15" t="str">
        <f t="shared" si="66"/>
        <v xml:space="preserve"> </v>
      </c>
      <c r="K403" s="15"/>
      <c r="L403" s="15">
        <f t="shared" si="72"/>
        <v>0</v>
      </c>
      <c r="M403" s="5" t="str">
        <f t="shared" si="73"/>
        <v/>
      </c>
      <c r="N403" s="25" t="str">
        <f>IF(ISBLANK($E403)," ", COUNTIF($M$4:$M403,$M403))</f>
        <v xml:space="preserve"> </v>
      </c>
      <c r="O403" s="25" t="str">
        <f t="shared" si="68"/>
        <v xml:space="preserve"> </v>
      </c>
      <c r="P403" s="5" t="str">
        <f t="shared" si="74"/>
        <v/>
      </c>
      <c r="Q403" s="5" t="str">
        <f t="shared" si="75"/>
        <v/>
      </c>
      <c r="R403" s="5" t="str">
        <f t="shared" si="71"/>
        <v/>
      </c>
    </row>
    <row r="404" spans="1:18" ht="20.25" x14ac:dyDescent="0.3">
      <c r="A404" s="14"/>
      <c r="B404" s="15">
        <v>400</v>
      </c>
      <c r="C404" s="22"/>
      <c r="D404" s="22"/>
      <c r="E404" s="23"/>
      <c r="F404" s="22"/>
      <c r="G404" s="22"/>
      <c r="H404" s="16"/>
      <c r="I404" s="15" t="str">
        <f t="shared" si="65"/>
        <v xml:space="preserve"> </v>
      </c>
      <c r="J404" s="15" t="str">
        <f t="shared" si="66"/>
        <v xml:space="preserve"> </v>
      </c>
      <c r="K404" s="15"/>
      <c r="L404" s="15">
        <f t="shared" si="72"/>
        <v>0</v>
      </c>
      <c r="M404" s="5" t="str">
        <f t="shared" si="73"/>
        <v/>
      </c>
      <c r="N404" s="25" t="str">
        <f>IF(ISBLANK($E404)," ", COUNTIF($M$4:$M404,$M404))</f>
        <v xml:space="preserve"> </v>
      </c>
      <c r="O404" s="25" t="str">
        <f t="shared" si="68"/>
        <v xml:space="preserve"> </v>
      </c>
      <c r="P404" s="5" t="str">
        <f t="shared" si="74"/>
        <v/>
      </c>
      <c r="Q404" s="5" t="str">
        <f t="shared" si="75"/>
        <v/>
      </c>
      <c r="R404" s="5" t="str">
        <f t="shared" si="71"/>
        <v/>
      </c>
    </row>
    <row r="405" spans="1:18" ht="20.25" x14ac:dyDescent="0.3">
      <c r="A405" s="14"/>
      <c r="B405" s="15">
        <v>401</v>
      </c>
      <c r="C405" s="22"/>
      <c r="D405" s="22"/>
      <c r="E405" s="23"/>
      <c r="F405" s="22"/>
      <c r="G405" s="22"/>
      <c r="H405" s="16"/>
      <c r="I405" s="15" t="str">
        <f t="shared" si="65"/>
        <v xml:space="preserve"> </v>
      </c>
      <c r="J405" s="15" t="str">
        <f t="shared" si="66"/>
        <v xml:space="preserve"> </v>
      </c>
      <c r="K405" s="15"/>
      <c r="L405" s="15">
        <f t="shared" si="72"/>
        <v>0</v>
      </c>
      <c r="M405" s="5" t="str">
        <f t="shared" si="73"/>
        <v/>
      </c>
      <c r="N405" s="25" t="str">
        <f>IF(ISBLANK($E405)," ", COUNTIF($M$4:$M405,$M405))</f>
        <v xml:space="preserve"> </v>
      </c>
      <c r="O405" s="25" t="str">
        <f t="shared" si="68"/>
        <v xml:space="preserve"> </v>
      </c>
      <c r="P405" s="5" t="str">
        <f t="shared" si="74"/>
        <v/>
      </c>
      <c r="Q405" s="5" t="str">
        <f t="shared" si="75"/>
        <v/>
      </c>
      <c r="R405" s="5" t="str">
        <f t="shared" si="71"/>
        <v/>
      </c>
    </row>
    <row r="406" spans="1:18" ht="20.25" x14ac:dyDescent="0.3">
      <c r="A406" s="14"/>
      <c r="B406" s="15">
        <v>402</v>
      </c>
      <c r="C406" s="22"/>
      <c r="D406" s="22"/>
      <c r="E406" s="23"/>
      <c r="F406" s="22"/>
      <c r="G406" s="22"/>
      <c r="H406" s="16"/>
      <c r="I406" s="15" t="str">
        <f t="shared" si="65"/>
        <v xml:space="preserve"> </v>
      </c>
      <c r="J406" s="15" t="str">
        <f t="shared" si="66"/>
        <v xml:space="preserve"> </v>
      </c>
      <c r="K406" s="15"/>
      <c r="L406" s="15">
        <f t="shared" si="72"/>
        <v>0</v>
      </c>
      <c r="M406" s="5" t="str">
        <f t="shared" si="73"/>
        <v/>
      </c>
      <c r="N406" s="25" t="str">
        <f>IF(ISBLANK($E406)," ", COUNTIF($M$4:$M406,$M406))</f>
        <v xml:space="preserve"> </v>
      </c>
      <c r="O406" s="25" t="str">
        <f t="shared" si="68"/>
        <v xml:space="preserve"> </v>
      </c>
      <c r="P406" s="5" t="str">
        <f t="shared" si="74"/>
        <v/>
      </c>
      <c r="Q406" s="5" t="str">
        <f t="shared" si="75"/>
        <v/>
      </c>
      <c r="R406" s="5" t="str">
        <f t="shared" si="71"/>
        <v/>
      </c>
    </row>
    <row r="407" spans="1:18" ht="20.25" x14ac:dyDescent="0.3">
      <c r="A407" s="14"/>
      <c r="B407" s="15">
        <v>403</v>
      </c>
      <c r="C407" s="22"/>
      <c r="D407" s="22"/>
      <c r="E407" s="23"/>
      <c r="F407" s="22"/>
      <c r="G407" s="22"/>
      <c r="H407" s="16"/>
      <c r="I407" s="15" t="str">
        <f t="shared" si="65"/>
        <v xml:space="preserve"> </v>
      </c>
      <c r="J407" s="15" t="str">
        <f t="shared" si="66"/>
        <v xml:space="preserve"> </v>
      </c>
      <c r="K407" s="15"/>
      <c r="L407" s="15">
        <f t="shared" si="72"/>
        <v>0</v>
      </c>
      <c r="M407" s="5" t="str">
        <f t="shared" si="73"/>
        <v/>
      </c>
      <c r="N407" s="25" t="str">
        <f>IF(ISBLANK($E407)," ", COUNTIF($M$4:$M407,$M407))</f>
        <v xml:space="preserve"> </v>
      </c>
      <c r="O407" s="25" t="str">
        <f t="shared" si="68"/>
        <v xml:space="preserve"> </v>
      </c>
      <c r="P407" s="5" t="str">
        <f t="shared" si="74"/>
        <v/>
      </c>
      <c r="Q407" s="5" t="str">
        <f t="shared" si="75"/>
        <v/>
      </c>
      <c r="R407" s="5" t="str">
        <f t="shared" si="71"/>
        <v/>
      </c>
    </row>
    <row r="408" spans="1:18" ht="20.25" x14ac:dyDescent="0.3">
      <c r="A408" s="14"/>
      <c r="B408" s="15">
        <v>404</v>
      </c>
      <c r="C408" s="22"/>
      <c r="D408" s="22"/>
      <c r="E408" s="23"/>
      <c r="F408" s="22"/>
      <c r="G408" s="22"/>
      <c r="H408" s="16"/>
      <c r="I408" s="15" t="str">
        <f t="shared" si="65"/>
        <v xml:space="preserve"> </v>
      </c>
      <c r="J408" s="15" t="str">
        <f t="shared" si="66"/>
        <v xml:space="preserve"> </v>
      </c>
      <c r="K408" s="15"/>
      <c r="L408" s="15">
        <f t="shared" si="72"/>
        <v>0</v>
      </c>
      <c r="M408" s="5" t="str">
        <f t="shared" si="73"/>
        <v/>
      </c>
      <c r="N408" s="25" t="str">
        <f>IF(ISBLANK($E408)," ", COUNTIF($M$4:$M408,$M408))</f>
        <v xml:space="preserve"> </v>
      </c>
      <c r="O408" s="25" t="str">
        <f t="shared" si="68"/>
        <v xml:space="preserve"> </v>
      </c>
      <c r="P408" s="5" t="str">
        <f t="shared" si="74"/>
        <v/>
      </c>
      <c r="Q408" s="5" t="str">
        <f t="shared" si="75"/>
        <v/>
      </c>
      <c r="R408" s="5" t="str">
        <f t="shared" si="71"/>
        <v/>
      </c>
    </row>
    <row r="409" spans="1:18" ht="20.25" x14ac:dyDescent="0.3">
      <c r="A409" s="14"/>
      <c r="B409" s="15">
        <v>405</v>
      </c>
      <c r="C409" s="22"/>
      <c r="D409" s="22"/>
      <c r="E409" s="23"/>
      <c r="F409" s="22"/>
      <c r="G409" s="22"/>
      <c r="H409" s="16"/>
      <c r="I409" s="15" t="str">
        <f t="shared" si="65"/>
        <v xml:space="preserve"> </v>
      </c>
      <c r="J409" s="15" t="str">
        <f t="shared" si="66"/>
        <v xml:space="preserve"> </v>
      </c>
      <c r="K409" s="15"/>
      <c r="L409" s="15">
        <f t="shared" si="72"/>
        <v>0</v>
      </c>
      <c r="M409" s="5" t="str">
        <f t="shared" si="73"/>
        <v/>
      </c>
      <c r="N409" s="25" t="str">
        <f>IF(ISBLANK($E409)," ", COUNTIF($M$4:$M409,$M409))</f>
        <v xml:space="preserve"> </v>
      </c>
      <c r="O409" s="25" t="str">
        <f t="shared" si="68"/>
        <v xml:space="preserve"> </v>
      </c>
      <c r="P409" s="5" t="str">
        <f t="shared" si="74"/>
        <v/>
      </c>
      <c r="Q409" s="5" t="str">
        <f t="shared" si="75"/>
        <v/>
      </c>
      <c r="R409" s="5" t="str">
        <f t="shared" si="71"/>
        <v/>
      </c>
    </row>
    <row r="410" spans="1:18" ht="20.25" x14ac:dyDescent="0.3">
      <c r="A410" s="14"/>
      <c r="B410" s="15">
        <v>406</v>
      </c>
      <c r="C410" s="22"/>
      <c r="D410" s="22"/>
      <c r="E410" s="23"/>
      <c r="F410" s="22"/>
      <c r="G410" s="22"/>
      <c r="H410" s="16"/>
      <c r="I410" s="15" t="str">
        <f t="shared" si="65"/>
        <v xml:space="preserve"> </v>
      </c>
      <c r="J410" s="15" t="str">
        <f t="shared" si="66"/>
        <v xml:space="preserve"> </v>
      </c>
      <c r="K410" s="15"/>
      <c r="L410" s="15">
        <f t="shared" si="72"/>
        <v>0</v>
      </c>
      <c r="M410" s="5" t="str">
        <f t="shared" si="73"/>
        <v/>
      </c>
      <c r="N410" s="25" t="str">
        <f>IF(ISBLANK($E410)," ", COUNTIF($M$4:$M410,$M410))</f>
        <v xml:space="preserve"> </v>
      </c>
      <c r="O410" s="25" t="str">
        <f t="shared" si="68"/>
        <v xml:space="preserve"> </v>
      </c>
      <c r="P410" s="5" t="str">
        <f t="shared" si="74"/>
        <v/>
      </c>
      <c r="Q410" s="5" t="str">
        <f t="shared" si="75"/>
        <v/>
      </c>
      <c r="R410" s="5" t="str">
        <f t="shared" si="71"/>
        <v/>
      </c>
    </row>
    <row r="411" spans="1:18" ht="20.25" x14ac:dyDescent="0.3">
      <c r="A411" s="14"/>
      <c r="B411" s="15">
        <v>407</v>
      </c>
      <c r="C411" s="22"/>
      <c r="D411" s="22"/>
      <c r="E411" s="23"/>
      <c r="F411" s="22"/>
      <c r="G411" s="22"/>
      <c r="H411" s="16"/>
      <c r="I411" s="15" t="str">
        <f t="shared" si="65"/>
        <v xml:space="preserve"> </v>
      </c>
      <c r="J411" s="15" t="str">
        <f t="shared" si="66"/>
        <v xml:space="preserve"> </v>
      </c>
      <c r="K411" s="15"/>
      <c r="L411" s="15">
        <f t="shared" si="72"/>
        <v>0</v>
      </c>
      <c r="M411" s="5" t="str">
        <f t="shared" si="73"/>
        <v/>
      </c>
      <c r="N411" s="25" t="str">
        <f>IF(ISBLANK($E411)," ", COUNTIF($M$4:$M411,$M411))</f>
        <v xml:space="preserve"> </v>
      </c>
      <c r="O411" s="25" t="str">
        <f t="shared" si="68"/>
        <v xml:space="preserve"> </v>
      </c>
      <c r="P411" s="5" t="str">
        <f t="shared" si="74"/>
        <v/>
      </c>
      <c r="Q411" s="5" t="str">
        <f t="shared" si="75"/>
        <v/>
      </c>
      <c r="R411" s="5" t="str">
        <f t="shared" si="71"/>
        <v/>
      </c>
    </row>
    <row r="412" spans="1:18" ht="20.25" x14ac:dyDescent="0.3">
      <c r="A412" s="14"/>
      <c r="B412" s="15">
        <v>408</v>
      </c>
      <c r="C412" s="22"/>
      <c r="D412" s="22"/>
      <c r="E412" s="23"/>
      <c r="F412" s="22"/>
      <c r="G412" s="22"/>
      <c r="H412" s="16"/>
      <c r="I412" s="15" t="str">
        <f t="shared" si="65"/>
        <v xml:space="preserve"> </v>
      </c>
      <c r="J412" s="15" t="str">
        <f t="shared" si="66"/>
        <v xml:space="preserve"> </v>
      </c>
      <c r="K412" s="15"/>
      <c r="L412" s="15">
        <f t="shared" si="72"/>
        <v>0</v>
      </c>
      <c r="M412" s="5" t="str">
        <f t="shared" si="73"/>
        <v/>
      </c>
      <c r="N412" s="25" t="str">
        <f>IF(ISBLANK($E412)," ", COUNTIF($M$4:$M412,$M412))</f>
        <v xml:space="preserve"> </v>
      </c>
      <c r="O412" s="25" t="str">
        <f t="shared" si="68"/>
        <v xml:space="preserve"> </v>
      </c>
      <c r="P412" s="5" t="str">
        <f t="shared" si="74"/>
        <v/>
      </c>
      <c r="Q412" s="5" t="str">
        <f t="shared" si="75"/>
        <v/>
      </c>
      <c r="R412" s="5" t="str">
        <f t="shared" si="71"/>
        <v/>
      </c>
    </row>
    <row r="413" spans="1:18" ht="20.25" x14ac:dyDescent="0.3">
      <c r="A413" s="14"/>
      <c r="B413" s="15">
        <v>409</v>
      </c>
      <c r="C413" s="22"/>
      <c r="D413" s="22"/>
      <c r="E413" s="23"/>
      <c r="F413" s="22"/>
      <c r="G413" s="22"/>
      <c r="H413" s="16"/>
      <c r="I413" s="15" t="str">
        <f t="shared" si="65"/>
        <v xml:space="preserve"> </v>
      </c>
      <c r="J413" s="15" t="str">
        <f t="shared" si="66"/>
        <v xml:space="preserve"> </v>
      </c>
      <c r="K413" s="15"/>
      <c r="L413" s="15">
        <f t="shared" si="72"/>
        <v>0</v>
      </c>
      <c r="M413" s="5" t="str">
        <f t="shared" si="73"/>
        <v/>
      </c>
      <c r="N413" s="25" t="str">
        <f>IF(ISBLANK($E413)," ", COUNTIF($M$4:$M413,$M413))</f>
        <v xml:space="preserve"> </v>
      </c>
      <c r="O413" s="25" t="str">
        <f t="shared" si="68"/>
        <v xml:space="preserve"> </v>
      </c>
      <c r="P413" s="5" t="str">
        <f t="shared" si="74"/>
        <v/>
      </c>
      <c r="Q413" s="5" t="str">
        <f t="shared" si="75"/>
        <v/>
      </c>
      <c r="R413" s="5" t="str">
        <f t="shared" si="71"/>
        <v/>
      </c>
    </row>
    <row r="414" spans="1:18" ht="20.25" x14ac:dyDescent="0.3">
      <c r="A414" s="14"/>
      <c r="B414" s="15">
        <v>410</v>
      </c>
      <c r="C414" s="22"/>
      <c r="D414" s="22"/>
      <c r="E414" s="23"/>
      <c r="F414" s="22"/>
      <c r="G414" s="22"/>
      <c r="H414" s="16"/>
      <c r="I414" s="15" t="str">
        <f t="shared" si="65"/>
        <v xml:space="preserve"> </v>
      </c>
      <c r="J414" s="15" t="str">
        <f t="shared" si="66"/>
        <v xml:space="preserve"> </v>
      </c>
      <c r="K414" s="15"/>
      <c r="L414" s="15">
        <f t="shared" si="72"/>
        <v>0</v>
      </c>
      <c r="M414" s="5" t="str">
        <f t="shared" si="73"/>
        <v/>
      </c>
      <c r="N414" s="25" t="str">
        <f>IF(ISBLANK($E414)," ", COUNTIF($M$4:$M414,$M414))</f>
        <v xml:space="preserve"> </v>
      </c>
      <c r="O414" s="25" t="str">
        <f t="shared" si="68"/>
        <v xml:space="preserve"> </v>
      </c>
      <c r="P414" s="5" t="str">
        <f t="shared" si="74"/>
        <v/>
      </c>
      <c r="Q414" s="5" t="str">
        <f t="shared" si="75"/>
        <v/>
      </c>
      <c r="R414" s="5" t="str">
        <f t="shared" si="71"/>
        <v/>
      </c>
    </row>
    <row r="415" spans="1:18" ht="20.25" x14ac:dyDescent="0.3">
      <c r="A415" s="14"/>
      <c r="B415" s="15">
        <v>411</v>
      </c>
      <c r="C415" s="22"/>
      <c r="D415" s="22"/>
      <c r="E415" s="23"/>
      <c r="F415" s="22"/>
      <c r="G415" s="22"/>
      <c r="H415" s="16"/>
      <c r="I415" s="15" t="str">
        <f t="shared" si="65"/>
        <v xml:space="preserve"> </v>
      </c>
      <c r="J415" s="15" t="str">
        <f t="shared" si="66"/>
        <v xml:space="preserve"> </v>
      </c>
      <c r="K415" s="15"/>
      <c r="L415" s="15">
        <f t="shared" si="72"/>
        <v>0</v>
      </c>
      <c r="M415" s="5" t="str">
        <f t="shared" si="73"/>
        <v/>
      </c>
      <c r="N415" s="25" t="str">
        <f>IF(ISBLANK($E415)," ", COUNTIF($M$4:$M415,$M415))</f>
        <v xml:space="preserve"> </v>
      </c>
      <c r="O415" s="25" t="str">
        <f t="shared" si="68"/>
        <v xml:space="preserve"> </v>
      </c>
      <c r="P415" s="5" t="str">
        <f t="shared" si="74"/>
        <v/>
      </c>
      <c r="Q415" s="5" t="str">
        <f t="shared" si="75"/>
        <v/>
      </c>
      <c r="R415" s="5" t="str">
        <f t="shared" si="71"/>
        <v/>
      </c>
    </row>
    <row r="416" spans="1:18" ht="20.25" x14ac:dyDescent="0.3">
      <c r="A416" s="14"/>
      <c r="B416" s="15">
        <v>412</v>
      </c>
      <c r="C416" s="22"/>
      <c r="D416" s="22"/>
      <c r="E416" s="23"/>
      <c r="F416" s="22"/>
      <c r="G416" s="22"/>
      <c r="H416" s="16"/>
      <c r="I416" s="15" t="str">
        <f t="shared" si="65"/>
        <v xml:space="preserve"> </v>
      </c>
      <c r="J416" s="15" t="str">
        <f t="shared" si="66"/>
        <v xml:space="preserve"> </v>
      </c>
      <c r="K416" s="15"/>
      <c r="L416" s="15">
        <f t="shared" si="72"/>
        <v>0</v>
      </c>
      <c r="M416" s="5" t="str">
        <f t="shared" si="73"/>
        <v/>
      </c>
      <c r="N416" s="25" t="str">
        <f>IF(ISBLANK($E416)," ", COUNTIF($M$4:$M416,$M416))</f>
        <v xml:space="preserve"> </v>
      </c>
      <c r="O416" s="25" t="str">
        <f t="shared" si="68"/>
        <v xml:space="preserve"> </v>
      </c>
      <c r="P416" s="5" t="str">
        <f t="shared" si="74"/>
        <v/>
      </c>
      <c r="Q416" s="5" t="str">
        <f t="shared" si="75"/>
        <v/>
      </c>
      <c r="R416" s="5" t="str">
        <f t="shared" si="71"/>
        <v/>
      </c>
    </row>
    <row r="417" spans="1:18" ht="20.25" x14ac:dyDescent="0.3">
      <c r="A417" s="14"/>
      <c r="B417" s="15">
        <v>413</v>
      </c>
      <c r="C417" s="22"/>
      <c r="D417" s="22"/>
      <c r="E417" s="23"/>
      <c r="F417" s="22"/>
      <c r="G417" s="22"/>
      <c r="H417" s="16"/>
      <c r="I417" s="15" t="str">
        <f t="shared" si="65"/>
        <v xml:space="preserve"> </v>
      </c>
      <c r="J417" s="15" t="str">
        <f t="shared" si="66"/>
        <v xml:space="preserve"> </v>
      </c>
      <c r="K417" s="15"/>
      <c r="L417" s="15">
        <f t="shared" si="72"/>
        <v>0</v>
      </c>
      <c r="M417" s="5" t="str">
        <f t="shared" si="73"/>
        <v/>
      </c>
      <c r="N417" s="25" t="str">
        <f>IF(ISBLANK($E417)," ", COUNTIF($M$4:$M417,$M417))</f>
        <v xml:space="preserve"> </v>
      </c>
      <c r="O417" s="25" t="str">
        <f t="shared" si="68"/>
        <v xml:space="preserve"> </v>
      </c>
      <c r="P417" s="5" t="str">
        <f t="shared" si="74"/>
        <v/>
      </c>
      <c r="Q417" s="5" t="str">
        <f t="shared" si="75"/>
        <v/>
      </c>
      <c r="R417" s="5" t="str">
        <f t="shared" si="71"/>
        <v/>
      </c>
    </row>
    <row r="418" spans="1:18" ht="20.25" x14ac:dyDescent="0.3">
      <c r="A418" s="14"/>
      <c r="B418" s="15">
        <v>414</v>
      </c>
      <c r="C418" s="22"/>
      <c r="D418" s="22"/>
      <c r="E418" s="23"/>
      <c r="F418" s="22"/>
      <c r="G418" s="22"/>
      <c r="H418" s="16"/>
      <c r="I418" s="15" t="str">
        <f t="shared" si="65"/>
        <v xml:space="preserve"> </v>
      </c>
      <c r="J418" s="15" t="str">
        <f t="shared" si="66"/>
        <v xml:space="preserve"> </v>
      </c>
      <c r="K418" s="15"/>
      <c r="L418" s="15">
        <f t="shared" si="72"/>
        <v>0</v>
      </c>
      <c r="M418" s="5" t="str">
        <f t="shared" si="73"/>
        <v/>
      </c>
      <c r="N418" s="25" t="str">
        <f>IF(ISBLANK($E418)," ", COUNTIF($M$4:$M418,$M418))</f>
        <v xml:space="preserve"> </v>
      </c>
      <c r="O418" s="25" t="str">
        <f t="shared" si="68"/>
        <v xml:space="preserve"> </v>
      </c>
      <c r="P418" s="5" t="str">
        <f t="shared" si="74"/>
        <v/>
      </c>
      <c r="Q418" s="5" t="str">
        <f t="shared" si="75"/>
        <v/>
      </c>
      <c r="R418" s="5" t="str">
        <f t="shared" si="71"/>
        <v/>
      </c>
    </row>
    <row r="419" spans="1:18" ht="20.25" x14ac:dyDescent="0.3">
      <c r="A419" s="14"/>
      <c r="B419" s="15">
        <v>415</v>
      </c>
      <c r="C419" s="22"/>
      <c r="D419" s="22"/>
      <c r="E419" s="23"/>
      <c r="F419" s="22"/>
      <c r="G419" s="22"/>
      <c r="H419" s="16"/>
      <c r="I419" s="15" t="str">
        <f t="shared" si="65"/>
        <v xml:space="preserve"> </v>
      </c>
      <c r="J419" s="15" t="str">
        <f t="shared" si="66"/>
        <v xml:space="preserve"> </v>
      </c>
      <c r="K419" s="15"/>
      <c r="L419" s="15">
        <f t="shared" si="72"/>
        <v>0</v>
      </c>
      <c r="M419" s="5" t="str">
        <f t="shared" si="73"/>
        <v/>
      </c>
      <c r="N419" s="25" t="str">
        <f>IF(ISBLANK($E419)," ", COUNTIF($M$4:$M419,$M419))</f>
        <v xml:space="preserve"> </v>
      </c>
      <c r="O419" s="25" t="str">
        <f t="shared" si="68"/>
        <v xml:space="preserve"> </v>
      </c>
      <c r="P419" s="5" t="str">
        <f t="shared" si="74"/>
        <v/>
      </c>
      <c r="Q419" s="5" t="str">
        <f t="shared" si="75"/>
        <v/>
      </c>
      <c r="R419" s="5" t="str">
        <f t="shared" si="71"/>
        <v/>
      </c>
    </row>
    <row r="420" spans="1:18" ht="20.25" x14ac:dyDescent="0.3">
      <c r="A420" s="14"/>
      <c r="B420" s="15">
        <v>416</v>
      </c>
      <c r="C420" s="22"/>
      <c r="D420" s="22"/>
      <c r="E420" s="23"/>
      <c r="F420" s="22"/>
      <c r="G420" s="22"/>
      <c r="H420" s="16"/>
      <c r="I420" s="15" t="str">
        <f t="shared" si="65"/>
        <v xml:space="preserve"> </v>
      </c>
      <c r="J420" s="15" t="str">
        <f t="shared" si="66"/>
        <v xml:space="preserve"> </v>
      </c>
      <c r="K420" s="15"/>
      <c r="L420" s="15">
        <f t="shared" si="72"/>
        <v>0</v>
      </c>
      <c r="M420" s="5" t="str">
        <f t="shared" si="73"/>
        <v/>
      </c>
      <c r="N420" s="25" t="str">
        <f>IF(ISBLANK($E420)," ", COUNTIF($M$4:$M420,$M420))</f>
        <v xml:space="preserve"> </v>
      </c>
      <c r="O420" s="25" t="str">
        <f t="shared" si="68"/>
        <v xml:space="preserve"> </v>
      </c>
      <c r="P420" s="5" t="str">
        <f t="shared" si="74"/>
        <v/>
      </c>
      <c r="Q420" s="5" t="str">
        <f t="shared" si="75"/>
        <v/>
      </c>
      <c r="R420" s="5" t="str">
        <f t="shared" si="71"/>
        <v/>
      </c>
    </row>
    <row r="421" spans="1:18" ht="20.25" x14ac:dyDescent="0.3">
      <c r="A421" s="14"/>
      <c r="B421" s="15">
        <v>417</v>
      </c>
      <c r="C421" s="22"/>
      <c r="D421" s="22"/>
      <c r="E421" s="23"/>
      <c r="F421" s="22"/>
      <c r="G421" s="22"/>
      <c r="H421" s="16"/>
      <c r="I421" s="15" t="str">
        <f t="shared" si="65"/>
        <v xml:space="preserve"> </v>
      </c>
      <c r="J421" s="15" t="str">
        <f t="shared" si="66"/>
        <v xml:space="preserve"> </v>
      </c>
      <c r="K421" s="15"/>
      <c r="L421" s="15">
        <f t="shared" si="72"/>
        <v>0</v>
      </c>
      <c r="M421" s="5" t="str">
        <f t="shared" si="73"/>
        <v/>
      </c>
      <c r="N421" s="25" t="str">
        <f>IF(ISBLANK($E421)," ", COUNTIF($M$4:$M421,$M421))</f>
        <v xml:space="preserve"> </v>
      </c>
      <c r="O421" s="25" t="str">
        <f t="shared" si="68"/>
        <v xml:space="preserve"> </v>
      </c>
      <c r="P421" s="5" t="str">
        <f t="shared" si="74"/>
        <v/>
      </c>
      <c r="Q421" s="5" t="str">
        <f t="shared" si="75"/>
        <v/>
      </c>
      <c r="R421" s="5" t="str">
        <f t="shared" si="71"/>
        <v/>
      </c>
    </row>
    <row r="422" spans="1:18" ht="20.25" x14ac:dyDescent="0.3">
      <c r="A422" s="14"/>
      <c r="B422" s="15">
        <v>418</v>
      </c>
      <c r="C422" s="22"/>
      <c r="D422" s="22"/>
      <c r="E422" s="23"/>
      <c r="F422" s="22"/>
      <c r="G422" s="22"/>
      <c r="H422" s="16"/>
      <c r="I422" s="15" t="str">
        <f t="shared" si="65"/>
        <v xml:space="preserve"> </v>
      </c>
      <c r="J422" s="15" t="str">
        <f t="shared" si="66"/>
        <v xml:space="preserve"> </v>
      </c>
      <c r="K422" s="15"/>
      <c r="L422" s="15">
        <f t="shared" si="72"/>
        <v>0</v>
      </c>
      <c r="M422" s="5" t="str">
        <f t="shared" si="73"/>
        <v/>
      </c>
      <c r="N422" s="25" t="str">
        <f>IF(ISBLANK($E422)," ", COUNTIF($M$4:$M422,$M422))</f>
        <v xml:space="preserve"> </v>
      </c>
      <c r="O422" s="25" t="str">
        <f t="shared" si="68"/>
        <v xml:space="preserve"> </v>
      </c>
      <c r="P422" s="5" t="str">
        <f t="shared" si="74"/>
        <v/>
      </c>
      <c r="Q422" s="5" t="str">
        <f t="shared" si="75"/>
        <v/>
      </c>
      <c r="R422" s="5" t="str">
        <f t="shared" si="71"/>
        <v/>
      </c>
    </row>
    <row r="423" spans="1:18" ht="20.25" x14ac:dyDescent="0.3">
      <c r="A423" s="14"/>
      <c r="B423" s="15">
        <v>419</v>
      </c>
      <c r="C423" s="22"/>
      <c r="D423" s="22"/>
      <c r="E423" s="23"/>
      <c r="F423" s="22"/>
      <c r="G423" s="22"/>
      <c r="H423" s="16"/>
      <c r="I423" s="15" t="str">
        <f t="shared" si="65"/>
        <v xml:space="preserve"> </v>
      </c>
      <c r="J423" s="15" t="str">
        <f t="shared" si="66"/>
        <v xml:space="preserve"> </v>
      </c>
      <c r="K423" s="15"/>
      <c r="L423" s="15">
        <f t="shared" si="72"/>
        <v>0</v>
      </c>
      <c r="M423" s="5" t="str">
        <f t="shared" si="73"/>
        <v/>
      </c>
      <c r="N423" s="25" t="str">
        <f>IF(ISBLANK($E423)," ", COUNTIF($M$4:$M423,$M423))</f>
        <v xml:space="preserve"> </v>
      </c>
      <c r="O423" s="25" t="str">
        <f t="shared" si="68"/>
        <v xml:space="preserve"> </v>
      </c>
      <c r="P423" s="5" t="str">
        <f t="shared" si="74"/>
        <v/>
      </c>
      <c r="Q423" s="5" t="str">
        <f t="shared" si="75"/>
        <v/>
      </c>
      <c r="R423" s="5" t="str">
        <f t="shared" si="71"/>
        <v/>
      </c>
    </row>
    <row r="424" spans="1:18" ht="20.25" x14ac:dyDescent="0.3">
      <c r="A424" s="14"/>
      <c r="B424" s="15">
        <v>420</v>
      </c>
      <c r="C424" s="22"/>
      <c r="D424" s="22"/>
      <c r="E424" s="23"/>
      <c r="F424" s="22"/>
      <c r="G424" s="22"/>
      <c r="H424" s="16"/>
      <c r="I424" s="15" t="str">
        <f t="shared" si="65"/>
        <v xml:space="preserve"> </v>
      </c>
      <c r="J424" s="15" t="str">
        <f t="shared" si="66"/>
        <v xml:space="preserve"> </v>
      </c>
      <c r="K424" s="15"/>
      <c r="L424" s="15">
        <f t="shared" si="72"/>
        <v>0</v>
      </c>
      <c r="M424" s="5" t="str">
        <f t="shared" ref="M424:M455" si="76">IF(ISBLANK($E424),"",VLOOKUP($I424,PLAYERS_IDS,2,FALSE)*VLOOKUP($J424,PLAYERS_IDS,2,FALSE))</f>
        <v/>
      </c>
      <c r="N424" s="25" t="str">
        <f>IF(ISBLANK($E424)," ", COUNTIF($M$4:$M424,$M424))</f>
        <v xml:space="preserve"> </v>
      </c>
      <c r="O424" s="25" t="str">
        <f t="shared" si="68"/>
        <v xml:space="preserve"> </v>
      </c>
      <c r="P424" s="5" t="str">
        <f t="shared" ref="P424:P455" si="77">IF(ISBLANK($F424),"",VLOOKUP($C424,PLAYERS_IDS,2,FALSE)*VLOOKUP($D424,PLAYERS_IDS,2,FALSE))</f>
        <v/>
      </c>
      <c r="Q424" s="5" t="str">
        <f t="shared" ref="Q424:Q455" si="78">IF(ISBLANK($F424), "",VLOOKUP($F424,PLAYERS_IDS,2,FALSE)*VLOOKUP($G424,PLAYERS_IDS,2,FALSE))</f>
        <v/>
      </c>
      <c r="R424" s="5" t="str">
        <f t="shared" si="71"/>
        <v/>
      </c>
    </row>
    <row r="425" spans="1:18" ht="20.25" x14ac:dyDescent="0.3">
      <c r="A425" s="14"/>
      <c r="B425" s="15">
        <v>421</v>
      </c>
      <c r="C425" s="22"/>
      <c r="D425" s="22"/>
      <c r="E425" s="23"/>
      <c r="F425" s="22"/>
      <c r="G425" s="22"/>
      <c r="H425" s="16"/>
      <c r="I425" s="15" t="str">
        <f t="shared" si="65"/>
        <v xml:space="preserve"> </v>
      </c>
      <c r="J425" s="15" t="str">
        <f t="shared" si="66"/>
        <v xml:space="preserve"> </v>
      </c>
      <c r="K425" s="15"/>
      <c r="L425" s="15">
        <f t="shared" si="72"/>
        <v>0</v>
      </c>
      <c r="M425" s="5" t="str">
        <f t="shared" si="76"/>
        <v/>
      </c>
      <c r="N425" s="25" t="str">
        <f>IF(ISBLANK($E425)," ", COUNTIF($M$4:$M425,$M425))</f>
        <v xml:space="preserve"> </v>
      </c>
      <c r="O425" s="25" t="str">
        <f t="shared" si="68"/>
        <v xml:space="preserve"> </v>
      </c>
      <c r="P425" s="5" t="str">
        <f t="shared" si="77"/>
        <v/>
      </c>
      <c r="Q425" s="5" t="str">
        <f t="shared" si="78"/>
        <v/>
      </c>
      <c r="R425" s="5" t="str">
        <f t="shared" si="71"/>
        <v/>
      </c>
    </row>
    <row r="426" spans="1:18" ht="20.25" x14ac:dyDescent="0.3">
      <c r="A426" s="14"/>
      <c r="B426" s="15">
        <v>422</v>
      </c>
      <c r="C426" s="22"/>
      <c r="D426" s="22"/>
      <c r="E426" s="23"/>
      <c r="F426" s="22"/>
      <c r="G426" s="22"/>
      <c r="H426" s="16"/>
      <c r="I426" s="15" t="str">
        <f t="shared" si="65"/>
        <v xml:space="preserve"> </v>
      </c>
      <c r="J426" s="15" t="str">
        <f t="shared" si="66"/>
        <v xml:space="preserve"> </v>
      </c>
      <c r="K426" s="15"/>
      <c r="L426" s="15">
        <f t="shared" si="72"/>
        <v>0</v>
      </c>
      <c r="M426" s="5" t="str">
        <f t="shared" si="76"/>
        <v/>
      </c>
      <c r="N426" s="25" t="str">
        <f>IF(ISBLANK($E426)," ", COUNTIF($M$4:$M426,$M426))</f>
        <v xml:space="preserve"> </v>
      </c>
      <c r="O426" s="25" t="str">
        <f t="shared" si="68"/>
        <v xml:space="preserve"> </v>
      </c>
      <c r="P426" s="5" t="str">
        <f t="shared" si="77"/>
        <v/>
      </c>
      <c r="Q426" s="5" t="str">
        <f t="shared" si="78"/>
        <v/>
      </c>
      <c r="R426" s="5" t="str">
        <f t="shared" si="71"/>
        <v/>
      </c>
    </row>
    <row r="427" spans="1:18" ht="20.25" x14ac:dyDescent="0.3">
      <c r="A427" s="14"/>
      <c r="B427" s="15">
        <v>423</v>
      </c>
      <c r="C427" s="22"/>
      <c r="D427" s="22"/>
      <c r="E427" s="23"/>
      <c r="F427" s="22"/>
      <c r="G427" s="22"/>
      <c r="H427" s="16"/>
      <c r="I427" s="15" t="str">
        <f t="shared" si="65"/>
        <v xml:space="preserve"> </v>
      </c>
      <c r="J427" s="15" t="str">
        <f t="shared" si="66"/>
        <v xml:space="preserve"> </v>
      </c>
      <c r="K427" s="15"/>
      <c r="L427" s="15">
        <f t="shared" si="72"/>
        <v>0</v>
      </c>
      <c r="M427" s="5" t="str">
        <f t="shared" si="76"/>
        <v/>
      </c>
      <c r="N427" s="25" t="str">
        <f>IF(ISBLANK($E427)," ", COUNTIF($M$4:$M427,$M427))</f>
        <v xml:space="preserve"> </v>
      </c>
      <c r="O427" s="25" t="str">
        <f t="shared" si="68"/>
        <v xml:space="preserve"> </v>
      </c>
      <c r="P427" s="5" t="str">
        <f t="shared" si="77"/>
        <v/>
      </c>
      <c r="Q427" s="5" t="str">
        <f t="shared" si="78"/>
        <v/>
      </c>
      <c r="R427" s="5" t="str">
        <f t="shared" si="71"/>
        <v/>
      </c>
    </row>
    <row r="428" spans="1:18" ht="20.25" x14ac:dyDescent="0.3">
      <c r="A428" s="14"/>
      <c r="B428" s="15">
        <v>424</v>
      </c>
      <c r="C428" s="22"/>
      <c r="D428" s="22"/>
      <c r="E428" s="23"/>
      <c r="F428" s="22"/>
      <c r="G428" s="22"/>
      <c r="H428" s="16"/>
      <c r="I428" s="15" t="str">
        <f t="shared" si="65"/>
        <v xml:space="preserve"> </v>
      </c>
      <c r="J428" s="15" t="str">
        <f t="shared" si="66"/>
        <v xml:space="preserve"> </v>
      </c>
      <c r="K428" s="15"/>
      <c r="L428" s="15">
        <f t="shared" si="72"/>
        <v>0</v>
      </c>
      <c r="M428" s="5" t="str">
        <f t="shared" si="76"/>
        <v/>
      </c>
      <c r="N428" s="25" t="str">
        <f>IF(ISBLANK($E428)," ", COUNTIF($M$4:$M428,$M428))</f>
        <v xml:space="preserve"> </v>
      </c>
      <c r="O428" s="25" t="str">
        <f t="shared" si="68"/>
        <v xml:space="preserve"> </v>
      </c>
      <c r="P428" s="5" t="str">
        <f t="shared" si="77"/>
        <v/>
      </c>
      <c r="Q428" s="5" t="str">
        <f t="shared" si="78"/>
        <v/>
      </c>
      <c r="R428" s="5" t="str">
        <f t="shared" si="71"/>
        <v/>
      </c>
    </row>
    <row r="429" spans="1:18" ht="20.25" x14ac:dyDescent="0.3">
      <c r="A429" s="14"/>
      <c r="B429" s="15">
        <v>425</v>
      </c>
      <c r="C429" s="22"/>
      <c r="D429" s="22"/>
      <c r="E429" s="23"/>
      <c r="F429" s="22"/>
      <c r="G429" s="22"/>
      <c r="H429" s="16"/>
      <c r="I429" s="15" t="str">
        <f t="shared" si="65"/>
        <v xml:space="preserve"> </v>
      </c>
      <c r="J429" s="15" t="str">
        <f t="shared" si="66"/>
        <v xml:space="preserve"> </v>
      </c>
      <c r="K429" s="15"/>
      <c r="L429" s="15">
        <f t="shared" si="72"/>
        <v>0</v>
      </c>
      <c r="M429" s="5" t="str">
        <f t="shared" si="76"/>
        <v/>
      </c>
      <c r="N429" s="25" t="str">
        <f>IF(ISBLANK($E429)," ", COUNTIF($M$4:$M429,$M429))</f>
        <v xml:space="preserve"> </v>
      </c>
      <c r="O429" s="25" t="str">
        <f t="shared" si="68"/>
        <v xml:space="preserve"> </v>
      </c>
      <c r="P429" s="5" t="str">
        <f t="shared" si="77"/>
        <v/>
      </c>
      <c r="Q429" s="5" t="str">
        <f t="shared" si="78"/>
        <v/>
      </c>
      <c r="R429" s="5" t="str">
        <f t="shared" si="71"/>
        <v/>
      </c>
    </row>
    <row r="430" spans="1:18" ht="20.25" x14ac:dyDescent="0.3">
      <c r="A430" s="14"/>
      <c r="B430" s="15">
        <v>426</v>
      </c>
      <c r="C430" s="22"/>
      <c r="D430" s="22"/>
      <c r="E430" s="23"/>
      <c r="F430" s="22"/>
      <c r="G430" s="22"/>
      <c r="H430" s="16"/>
      <c r="I430" s="15" t="str">
        <f t="shared" si="65"/>
        <v xml:space="preserve"> </v>
      </c>
      <c r="J430" s="15" t="str">
        <f t="shared" si="66"/>
        <v xml:space="preserve"> </v>
      </c>
      <c r="K430" s="15"/>
      <c r="L430" s="15">
        <f t="shared" si="72"/>
        <v>0</v>
      </c>
      <c r="M430" s="5" t="str">
        <f t="shared" si="76"/>
        <v/>
      </c>
      <c r="N430" s="25" t="str">
        <f>IF(ISBLANK($E430)," ", COUNTIF($M$4:$M430,$M430))</f>
        <v xml:space="preserve"> </v>
      </c>
      <c r="O430" s="25" t="str">
        <f t="shared" si="68"/>
        <v xml:space="preserve"> </v>
      </c>
      <c r="P430" s="5" t="str">
        <f t="shared" si="77"/>
        <v/>
      </c>
      <c r="Q430" s="5" t="str">
        <f t="shared" si="78"/>
        <v/>
      </c>
      <c r="R430" s="5" t="str">
        <f t="shared" si="71"/>
        <v/>
      </c>
    </row>
    <row r="431" spans="1:18" ht="20.25" x14ac:dyDescent="0.3">
      <c r="A431" s="14"/>
      <c r="B431" s="15">
        <v>427</v>
      </c>
      <c r="C431" s="22"/>
      <c r="D431" s="22"/>
      <c r="E431" s="23"/>
      <c r="F431" s="22"/>
      <c r="G431" s="22"/>
      <c r="H431" s="16"/>
      <c r="I431" s="15" t="str">
        <f t="shared" si="65"/>
        <v xml:space="preserve"> </v>
      </c>
      <c r="J431" s="15" t="str">
        <f t="shared" si="66"/>
        <v xml:space="preserve"> </v>
      </c>
      <c r="K431" s="15"/>
      <c r="L431" s="15">
        <f t="shared" si="72"/>
        <v>0</v>
      </c>
      <c r="M431" s="5" t="str">
        <f t="shared" si="76"/>
        <v/>
      </c>
      <c r="N431" s="25" t="str">
        <f>IF(ISBLANK($E431)," ", COUNTIF($M$4:$M431,$M431))</f>
        <v xml:space="preserve"> </v>
      </c>
      <c r="O431" s="25" t="str">
        <f t="shared" si="68"/>
        <v xml:space="preserve"> </v>
      </c>
      <c r="P431" s="5" t="str">
        <f t="shared" si="77"/>
        <v/>
      </c>
      <c r="Q431" s="5" t="str">
        <f t="shared" si="78"/>
        <v/>
      </c>
      <c r="R431" s="5" t="str">
        <f t="shared" si="71"/>
        <v/>
      </c>
    </row>
    <row r="432" spans="1:18" ht="20.25" x14ac:dyDescent="0.3">
      <c r="A432" s="14"/>
      <c r="B432" s="15">
        <v>428</v>
      </c>
      <c r="C432" s="22"/>
      <c r="D432" s="22"/>
      <c r="E432" s="23"/>
      <c r="F432" s="22"/>
      <c r="G432" s="22"/>
      <c r="H432" s="16"/>
      <c r="I432" s="15" t="str">
        <f t="shared" si="65"/>
        <v xml:space="preserve"> </v>
      </c>
      <c r="J432" s="15" t="str">
        <f t="shared" si="66"/>
        <v xml:space="preserve"> </v>
      </c>
      <c r="K432" s="15"/>
      <c r="L432" s="15">
        <f t="shared" si="72"/>
        <v>0</v>
      </c>
      <c r="M432" s="5" t="str">
        <f t="shared" si="76"/>
        <v/>
      </c>
      <c r="N432" s="25" t="str">
        <f>IF(ISBLANK($E432)," ", COUNTIF($M$4:$M432,$M432))</f>
        <v xml:space="preserve"> </v>
      </c>
      <c r="O432" s="25" t="str">
        <f t="shared" si="68"/>
        <v xml:space="preserve"> </v>
      </c>
      <c r="P432" s="5" t="str">
        <f t="shared" si="77"/>
        <v/>
      </c>
      <c r="Q432" s="5" t="str">
        <f t="shared" si="78"/>
        <v/>
      </c>
      <c r="R432" s="5" t="str">
        <f t="shared" si="71"/>
        <v/>
      </c>
    </row>
    <row r="433" spans="1:18" ht="20.25" x14ac:dyDescent="0.3">
      <c r="A433" s="14"/>
      <c r="B433" s="15">
        <v>429</v>
      </c>
      <c r="C433" s="22"/>
      <c r="D433" s="22"/>
      <c r="E433" s="23"/>
      <c r="F433" s="22"/>
      <c r="G433" s="22"/>
      <c r="H433" s="16"/>
      <c r="I433" s="15" t="str">
        <f t="shared" si="65"/>
        <v xml:space="preserve"> </v>
      </c>
      <c r="J433" s="15" t="str">
        <f t="shared" si="66"/>
        <v xml:space="preserve"> </v>
      </c>
      <c r="K433" s="15"/>
      <c r="L433" s="15">
        <f t="shared" si="72"/>
        <v>0</v>
      </c>
      <c r="M433" s="5" t="str">
        <f t="shared" si="76"/>
        <v/>
      </c>
      <c r="N433" s="25" t="str">
        <f>IF(ISBLANK($E433)," ", COUNTIF($M$4:$M433,$M433))</f>
        <v xml:space="preserve"> </v>
      </c>
      <c r="O433" s="25" t="str">
        <f t="shared" si="68"/>
        <v xml:space="preserve"> </v>
      </c>
      <c r="P433" s="5" t="str">
        <f t="shared" si="77"/>
        <v/>
      </c>
      <c r="Q433" s="5" t="str">
        <f t="shared" si="78"/>
        <v/>
      </c>
      <c r="R433" s="5" t="str">
        <f t="shared" si="71"/>
        <v/>
      </c>
    </row>
    <row r="434" spans="1:18" ht="20.25" x14ac:dyDescent="0.3">
      <c r="A434" s="14"/>
      <c r="B434" s="15">
        <v>430</v>
      </c>
      <c r="C434" s="22"/>
      <c r="D434" s="22"/>
      <c r="E434" s="23"/>
      <c r="F434" s="22"/>
      <c r="G434" s="22"/>
      <c r="H434" s="16"/>
      <c r="I434" s="15" t="str">
        <f t="shared" si="65"/>
        <v xml:space="preserve"> </v>
      </c>
      <c r="J434" s="15" t="str">
        <f t="shared" si="66"/>
        <v xml:space="preserve"> </v>
      </c>
      <c r="K434" s="15"/>
      <c r="L434" s="15">
        <f t="shared" si="72"/>
        <v>0</v>
      </c>
      <c r="M434" s="5" t="str">
        <f t="shared" si="76"/>
        <v/>
      </c>
      <c r="N434" s="25" t="str">
        <f>IF(ISBLANK($E434)," ", COUNTIF($M$4:$M434,$M434))</f>
        <v xml:space="preserve"> </v>
      </c>
      <c r="O434" s="25" t="str">
        <f t="shared" si="68"/>
        <v xml:space="preserve"> </v>
      </c>
      <c r="P434" s="5" t="str">
        <f t="shared" si="77"/>
        <v/>
      </c>
      <c r="Q434" s="5" t="str">
        <f t="shared" si="78"/>
        <v/>
      </c>
      <c r="R434" s="5" t="str">
        <f t="shared" si="71"/>
        <v/>
      </c>
    </row>
    <row r="435" spans="1:18" ht="20.25" x14ac:dyDescent="0.3">
      <c r="A435" s="14"/>
      <c r="B435" s="15">
        <v>431</v>
      </c>
      <c r="C435" s="22"/>
      <c r="D435" s="22"/>
      <c r="E435" s="23"/>
      <c r="F435" s="22"/>
      <c r="G435" s="22"/>
      <c r="H435" s="16"/>
      <c r="I435" s="15" t="str">
        <f t="shared" si="65"/>
        <v xml:space="preserve"> </v>
      </c>
      <c r="J435" s="15" t="str">
        <f t="shared" si="66"/>
        <v xml:space="preserve"> </v>
      </c>
      <c r="K435" s="15"/>
      <c r="L435" s="15">
        <f t="shared" si="72"/>
        <v>0</v>
      </c>
      <c r="M435" s="5" t="str">
        <f t="shared" si="76"/>
        <v/>
      </c>
      <c r="N435" s="25" t="str">
        <f>IF(ISBLANK($E435)," ", COUNTIF($M$4:$M435,$M435))</f>
        <v xml:space="preserve"> </v>
      </c>
      <c r="O435" s="25" t="str">
        <f t="shared" si="68"/>
        <v xml:space="preserve"> </v>
      </c>
      <c r="P435" s="5" t="str">
        <f t="shared" si="77"/>
        <v/>
      </c>
      <c r="Q435" s="5" t="str">
        <f t="shared" si="78"/>
        <v/>
      </c>
      <c r="R435" s="5" t="str">
        <f t="shared" si="71"/>
        <v/>
      </c>
    </row>
    <row r="436" spans="1:18" ht="20.25" x14ac:dyDescent="0.3">
      <c r="A436" s="14"/>
      <c r="B436" s="15">
        <v>432</v>
      </c>
      <c r="C436" s="22"/>
      <c r="D436" s="22"/>
      <c r="E436" s="23"/>
      <c r="F436" s="22"/>
      <c r="G436" s="22"/>
      <c r="H436" s="16"/>
      <c r="I436" s="15" t="str">
        <f t="shared" si="65"/>
        <v xml:space="preserve"> </v>
      </c>
      <c r="J436" s="15" t="str">
        <f t="shared" si="66"/>
        <v xml:space="preserve"> </v>
      </c>
      <c r="K436" s="15"/>
      <c r="L436" s="15">
        <f t="shared" si="72"/>
        <v>0</v>
      </c>
      <c r="M436" s="5" t="str">
        <f t="shared" si="76"/>
        <v/>
      </c>
      <c r="N436" s="25" t="str">
        <f>IF(ISBLANK($E436)," ", COUNTIF($M$4:$M436,$M436))</f>
        <v xml:space="preserve"> </v>
      </c>
      <c r="O436" s="25" t="str">
        <f t="shared" si="68"/>
        <v xml:space="preserve"> </v>
      </c>
      <c r="P436" s="5" t="str">
        <f t="shared" si="77"/>
        <v/>
      </c>
      <c r="Q436" s="5" t="str">
        <f t="shared" si="78"/>
        <v/>
      </c>
      <c r="R436" s="5" t="str">
        <f t="shared" si="71"/>
        <v/>
      </c>
    </row>
    <row r="437" spans="1:18" ht="20.25" x14ac:dyDescent="0.3">
      <c r="A437" s="14"/>
      <c r="B437" s="15">
        <v>433</v>
      </c>
      <c r="C437" s="22"/>
      <c r="D437" s="22"/>
      <c r="E437" s="23"/>
      <c r="F437" s="22"/>
      <c r="G437" s="22"/>
      <c r="H437" s="16"/>
      <c r="I437" s="15" t="str">
        <f t="shared" si="65"/>
        <v xml:space="preserve"> </v>
      </c>
      <c r="J437" s="15" t="str">
        <f t="shared" si="66"/>
        <v xml:space="preserve"> </v>
      </c>
      <c r="K437" s="15"/>
      <c r="L437" s="15">
        <f t="shared" si="72"/>
        <v>0</v>
      </c>
      <c r="M437" s="5" t="str">
        <f t="shared" si="76"/>
        <v/>
      </c>
      <c r="N437" s="25" t="str">
        <f>IF(ISBLANK($E437)," ", COUNTIF($M$4:$M437,$M437))</f>
        <v xml:space="preserve"> </v>
      </c>
      <c r="O437" s="25" t="str">
        <f t="shared" si="68"/>
        <v xml:space="preserve"> </v>
      </c>
      <c r="P437" s="5" t="str">
        <f t="shared" si="77"/>
        <v/>
      </c>
      <c r="Q437" s="5" t="str">
        <f t="shared" si="78"/>
        <v/>
      </c>
      <c r="R437" s="5" t="str">
        <f t="shared" si="71"/>
        <v/>
      </c>
    </row>
    <row r="438" spans="1:18" ht="20.25" x14ac:dyDescent="0.3">
      <c r="A438" s="14"/>
      <c r="B438" s="15">
        <v>434</v>
      </c>
      <c r="C438" s="22"/>
      <c r="D438" s="22"/>
      <c r="E438" s="23"/>
      <c r="F438" s="22"/>
      <c r="G438" s="22"/>
      <c r="H438" s="16"/>
      <c r="I438" s="15" t="str">
        <f t="shared" si="65"/>
        <v xml:space="preserve"> </v>
      </c>
      <c r="J438" s="15" t="str">
        <f t="shared" si="66"/>
        <v xml:space="preserve"> </v>
      </c>
      <c r="K438" s="15"/>
      <c r="L438" s="15">
        <f t="shared" si="72"/>
        <v>0</v>
      </c>
      <c r="M438" s="5" t="str">
        <f t="shared" si="76"/>
        <v/>
      </c>
      <c r="N438" s="25" t="str">
        <f>IF(ISBLANK($E438)," ", COUNTIF($M$4:$M438,$M438))</f>
        <v xml:space="preserve"> </v>
      </c>
      <c r="O438" s="25" t="str">
        <f t="shared" si="68"/>
        <v xml:space="preserve"> </v>
      </c>
      <c r="P438" s="5" t="str">
        <f t="shared" si="77"/>
        <v/>
      </c>
      <c r="Q438" s="5" t="str">
        <f t="shared" si="78"/>
        <v/>
      </c>
      <c r="R438" s="5" t="str">
        <f t="shared" si="71"/>
        <v/>
      </c>
    </row>
    <row r="439" spans="1:18" ht="20.25" x14ac:dyDescent="0.3">
      <c r="A439" s="14"/>
      <c r="B439" s="15">
        <v>435</v>
      </c>
      <c r="C439" s="22"/>
      <c r="D439" s="22"/>
      <c r="E439" s="23"/>
      <c r="F439" s="22"/>
      <c r="G439" s="22"/>
      <c r="H439" s="16"/>
      <c r="I439" s="15" t="str">
        <f t="shared" si="65"/>
        <v xml:space="preserve"> </v>
      </c>
      <c r="J439" s="15" t="str">
        <f t="shared" si="66"/>
        <v xml:space="preserve"> </v>
      </c>
      <c r="K439" s="15"/>
      <c r="L439" s="15">
        <f t="shared" si="72"/>
        <v>0</v>
      </c>
      <c r="M439" s="5" t="str">
        <f t="shared" si="76"/>
        <v/>
      </c>
      <c r="N439" s="25" t="str">
        <f>IF(ISBLANK($E439)," ", COUNTIF($M$4:$M439,$M439))</f>
        <v xml:space="preserve"> </v>
      </c>
      <c r="O439" s="25" t="str">
        <f t="shared" si="68"/>
        <v xml:space="preserve"> </v>
      </c>
      <c r="P439" s="5" t="str">
        <f t="shared" si="77"/>
        <v/>
      </c>
      <c r="Q439" s="5" t="str">
        <f t="shared" si="78"/>
        <v/>
      </c>
      <c r="R439" s="5" t="str">
        <f t="shared" si="71"/>
        <v/>
      </c>
    </row>
    <row r="440" spans="1:18" ht="20.25" x14ac:dyDescent="0.3">
      <c r="A440" s="14"/>
      <c r="B440" s="15">
        <v>436</v>
      </c>
      <c r="C440" s="22"/>
      <c r="D440" s="22"/>
      <c r="E440" s="23"/>
      <c r="F440" s="22"/>
      <c r="G440" s="22"/>
      <c r="H440" s="16"/>
      <c r="I440" s="15" t="str">
        <f t="shared" si="65"/>
        <v xml:space="preserve"> </v>
      </c>
      <c r="J440" s="15" t="str">
        <f t="shared" si="66"/>
        <v xml:space="preserve"> </v>
      </c>
      <c r="K440" s="15"/>
      <c r="L440" s="15">
        <f t="shared" si="72"/>
        <v>0</v>
      </c>
      <c r="M440" s="5" t="str">
        <f t="shared" si="76"/>
        <v/>
      </c>
      <c r="N440" s="25" t="str">
        <f>IF(ISBLANK($E440)," ", COUNTIF($M$4:$M440,$M440))</f>
        <v xml:space="preserve"> </v>
      </c>
      <c r="O440" s="25" t="str">
        <f t="shared" si="68"/>
        <v xml:space="preserve"> </v>
      </c>
      <c r="P440" s="5" t="str">
        <f t="shared" si="77"/>
        <v/>
      </c>
      <c r="Q440" s="5" t="str">
        <f t="shared" si="78"/>
        <v/>
      </c>
      <c r="R440" s="5" t="str">
        <f t="shared" si="71"/>
        <v/>
      </c>
    </row>
    <row r="441" spans="1:18" ht="20.25" x14ac:dyDescent="0.3">
      <c r="A441" s="14"/>
      <c r="B441" s="15">
        <v>437</v>
      </c>
      <c r="C441" s="22"/>
      <c r="D441" s="22"/>
      <c r="E441" s="23"/>
      <c r="F441" s="22"/>
      <c r="G441" s="22"/>
      <c r="H441" s="16"/>
      <c r="I441" s="15" t="str">
        <f t="shared" si="65"/>
        <v xml:space="preserve"> </v>
      </c>
      <c r="J441" s="15" t="str">
        <f t="shared" si="66"/>
        <v xml:space="preserve"> </v>
      </c>
      <c r="K441" s="15"/>
      <c r="L441" s="15">
        <f t="shared" si="72"/>
        <v>0</v>
      </c>
      <c r="M441" s="5" t="str">
        <f t="shared" si="76"/>
        <v/>
      </c>
      <c r="N441" s="25" t="str">
        <f>IF(ISBLANK($E441)," ", COUNTIF($M$4:$M441,$M441))</f>
        <v xml:space="preserve"> </v>
      </c>
      <c r="O441" s="25" t="str">
        <f t="shared" si="68"/>
        <v xml:space="preserve"> </v>
      </c>
      <c r="P441" s="5" t="str">
        <f t="shared" si="77"/>
        <v/>
      </c>
      <c r="Q441" s="5" t="str">
        <f t="shared" si="78"/>
        <v/>
      </c>
      <c r="R441" s="5" t="str">
        <f t="shared" si="71"/>
        <v/>
      </c>
    </row>
    <row r="442" spans="1:18" ht="20.25" x14ac:dyDescent="0.3">
      <c r="A442" s="14"/>
      <c r="B442" s="15">
        <v>438</v>
      </c>
      <c r="C442" s="22"/>
      <c r="D442" s="22"/>
      <c r="E442" s="23"/>
      <c r="F442" s="22"/>
      <c r="G442" s="22"/>
      <c r="H442" s="16"/>
      <c r="I442" s="15" t="str">
        <f t="shared" si="65"/>
        <v xml:space="preserve"> </v>
      </c>
      <c r="J442" s="15" t="str">
        <f t="shared" si="66"/>
        <v xml:space="preserve"> </v>
      </c>
      <c r="K442" s="15"/>
      <c r="L442" s="15">
        <f t="shared" si="72"/>
        <v>0</v>
      </c>
      <c r="M442" s="5" t="str">
        <f t="shared" si="76"/>
        <v/>
      </c>
      <c r="N442" s="25" t="str">
        <f>IF(ISBLANK($E442)," ", COUNTIF($M$4:$M442,$M442))</f>
        <v xml:space="preserve"> </v>
      </c>
      <c r="O442" s="25" t="str">
        <f t="shared" si="68"/>
        <v xml:space="preserve"> </v>
      </c>
      <c r="P442" s="5" t="str">
        <f t="shared" si="77"/>
        <v/>
      </c>
      <c r="Q442" s="5" t="str">
        <f t="shared" si="78"/>
        <v/>
      </c>
      <c r="R442" s="5" t="str">
        <f t="shared" si="71"/>
        <v/>
      </c>
    </row>
    <row r="443" spans="1:18" ht="20.25" x14ac:dyDescent="0.3">
      <c r="A443" s="14"/>
      <c r="B443" s="15">
        <v>439</v>
      </c>
      <c r="C443" s="22"/>
      <c r="D443" s="22"/>
      <c r="E443" s="23"/>
      <c r="F443" s="22"/>
      <c r="G443" s="22"/>
      <c r="H443" s="16"/>
      <c r="I443" s="15" t="str">
        <f t="shared" si="65"/>
        <v xml:space="preserve"> </v>
      </c>
      <c r="J443" s="15" t="str">
        <f t="shared" si="66"/>
        <v xml:space="preserve"> </v>
      </c>
      <c r="K443" s="15"/>
      <c r="L443" s="15">
        <f t="shared" si="72"/>
        <v>0</v>
      </c>
      <c r="M443" s="5" t="str">
        <f t="shared" si="76"/>
        <v/>
      </c>
      <c r="N443" s="25" t="str">
        <f>IF(ISBLANK($E443)," ", COUNTIF($M$4:$M443,$M443))</f>
        <v xml:space="preserve"> </v>
      </c>
      <c r="O443" s="25" t="str">
        <f t="shared" si="68"/>
        <v xml:space="preserve"> </v>
      </c>
      <c r="P443" s="5" t="str">
        <f t="shared" si="77"/>
        <v/>
      </c>
      <c r="Q443" s="5" t="str">
        <f t="shared" si="78"/>
        <v/>
      </c>
      <c r="R443" s="5" t="str">
        <f t="shared" si="71"/>
        <v/>
      </c>
    </row>
    <row r="444" spans="1:18" ht="20.25" x14ac:dyDescent="0.3">
      <c r="A444" s="14"/>
      <c r="B444" s="15">
        <v>440</v>
      </c>
      <c r="C444" s="22"/>
      <c r="D444" s="22"/>
      <c r="E444" s="23"/>
      <c r="F444" s="22"/>
      <c r="G444" s="22"/>
      <c r="H444" s="16"/>
      <c r="I444" s="15" t="str">
        <f t="shared" si="65"/>
        <v xml:space="preserve"> </v>
      </c>
      <c r="J444" s="15" t="str">
        <f t="shared" si="66"/>
        <v xml:space="preserve"> </v>
      </c>
      <c r="K444" s="15"/>
      <c r="L444" s="15">
        <f t="shared" si="72"/>
        <v>0</v>
      </c>
      <c r="M444" s="5" t="str">
        <f t="shared" si="76"/>
        <v/>
      </c>
      <c r="N444" s="25" t="str">
        <f>IF(ISBLANK($E444)," ", COUNTIF($M$4:$M444,$M444))</f>
        <v xml:space="preserve"> </v>
      </c>
      <c r="O444" s="25" t="str">
        <f t="shared" si="68"/>
        <v xml:space="preserve"> </v>
      </c>
      <c r="P444" s="5" t="str">
        <f t="shared" si="77"/>
        <v/>
      </c>
      <c r="Q444" s="5" t="str">
        <f t="shared" si="78"/>
        <v/>
      </c>
      <c r="R444" s="5" t="str">
        <f t="shared" si="71"/>
        <v/>
      </c>
    </row>
    <row r="445" spans="1:18" ht="20.25" x14ac:dyDescent="0.3">
      <c r="A445" s="14"/>
      <c r="B445" s="15">
        <v>441</v>
      </c>
      <c r="C445" s="22"/>
      <c r="D445" s="22"/>
      <c r="E445" s="23"/>
      <c r="F445" s="22"/>
      <c r="G445" s="22"/>
      <c r="H445" s="16"/>
      <c r="I445" s="15" t="str">
        <f t="shared" si="65"/>
        <v xml:space="preserve"> </v>
      </c>
      <c r="J445" s="15" t="str">
        <f t="shared" si="66"/>
        <v xml:space="preserve"> </v>
      </c>
      <c r="K445" s="15"/>
      <c r="L445" s="15">
        <f t="shared" si="72"/>
        <v>0</v>
      </c>
      <c r="M445" s="5" t="str">
        <f t="shared" si="76"/>
        <v/>
      </c>
      <c r="N445" s="25" t="str">
        <f>IF(ISBLANK($E445)," ", COUNTIF($M$4:$M445,$M445))</f>
        <v xml:space="preserve"> </v>
      </c>
      <c r="O445" s="25" t="str">
        <f t="shared" si="68"/>
        <v xml:space="preserve"> </v>
      </c>
      <c r="P445" s="5" t="str">
        <f t="shared" si="77"/>
        <v/>
      </c>
      <c r="Q445" s="5" t="str">
        <f t="shared" si="78"/>
        <v/>
      </c>
      <c r="R445" s="5" t="str">
        <f t="shared" si="71"/>
        <v/>
      </c>
    </row>
    <row r="446" spans="1:18" ht="20.25" x14ac:dyDescent="0.3">
      <c r="A446" s="14"/>
      <c r="B446" s="15">
        <v>442</v>
      </c>
      <c r="C446" s="22"/>
      <c r="D446" s="22"/>
      <c r="E446" s="23"/>
      <c r="F446" s="22"/>
      <c r="G446" s="22"/>
      <c r="H446" s="16"/>
      <c r="I446" s="15" t="str">
        <f t="shared" si="65"/>
        <v xml:space="preserve"> </v>
      </c>
      <c r="J446" s="15" t="str">
        <f t="shared" si="66"/>
        <v xml:space="preserve"> </v>
      </c>
      <c r="K446" s="15"/>
      <c r="L446" s="15">
        <f t="shared" si="72"/>
        <v>0</v>
      </c>
      <c r="M446" s="5" t="str">
        <f t="shared" si="76"/>
        <v/>
      </c>
      <c r="N446" s="25" t="str">
        <f>IF(ISBLANK($E446)," ", COUNTIF($M$4:$M446,$M446))</f>
        <v xml:space="preserve"> </v>
      </c>
      <c r="O446" s="25" t="str">
        <f t="shared" si="68"/>
        <v xml:space="preserve"> </v>
      </c>
      <c r="P446" s="5" t="str">
        <f t="shared" si="77"/>
        <v/>
      </c>
      <c r="Q446" s="5" t="str">
        <f t="shared" si="78"/>
        <v/>
      </c>
      <c r="R446" s="5" t="str">
        <f t="shared" si="71"/>
        <v/>
      </c>
    </row>
    <row r="447" spans="1:18" ht="20.25" x14ac:dyDescent="0.3">
      <c r="A447" s="14"/>
      <c r="B447" s="15">
        <v>443</v>
      </c>
      <c r="C447" s="22"/>
      <c r="D447" s="22"/>
      <c r="E447" s="23"/>
      <c r="F447" s="22"/>
      <c r="G447" s="22"/>
      <c r="H447" s="16"/>
      <c r="I447" s="15" t="str">
        <f t="shared" si="65"/>
        <v xml:space="preserve"> </v>
      </c>
      <c r="J447" s="15" t="str">
        <f t="shared" si="66"/>
        <v xml:space="preserve"> </v>
      </c>
      <c r="K447" s="15"/>
      <c r="L447" s="15">
        <f t="shared" si="72"/>
        <v>0</v>
      </c>
      <c r="M447" s="5" t="str">
        <f t="shared" si="76"/>
        <v/>
      </c>
      <c r="N447" s="25" t="str">
        <f>IF(ISBLANK($E447)," ", COUNTIF($M$4:$M447,$M447))</f>
        <v xml:space="preserve"> </v>
      </c>
      <c r="O447" s="25" t="str">
        <f t="shared" si="68"/>
        <v xml:space="preserve"> </v>
      </c>
      <c r="P447" s="5" t="str">
        <f t="shared" si="77"/>
        <v/>
      </c>
      <c r="Q447" s="5" t="str">
        <f t="shared" si="78"/>
        <v/>
      </c>
      <c r="R447" s="5" t="str">
        <f t="shared" si="71"/>
        <v/>
      </c>
    </row>
    <row r="448" spans="1:18" ht="20.25" x14ac:dyDescent="0.3">
      <c r="A448" s="14"/>
      <c r="B448" s="15">
        <v>444</v>
      </c>
      <c r="C448" s="22"/>
      <c r="D448" s="22"/>
      <c r="E448" s="23"/>
      <c r="F448" s="22"/>
      <c r="G448" s="22"/>
      <c r="H448" s="16"/>
      <c r="I448" s="15" t="str">
        <f t="shared" si="65"/>
        <v xml:space="preserve"> </v>
      </c>
      <c r="J448" s="15" t="str">
        <f t="shared" si="66"/>
        <v xml:space="preserve"> </v>
      </c>
      <c r="K448" s="15"/>
      <c r="L448" s="15">
        <f t="shared" si="72"/>
        <v>0</v>
      </c>
      <c r="M448" s="5" t="str">
        <f t="shared" si="76"/>
        <v/>
      </c>
      <c r="N448" s="25" t="str">
        <f>IF(ISBLANK($E448)," ", COUNTIF($M$4:$M448,$M448))</f>
        <v xml:space="preserve"> </v>
      </c>
      <c r="O448" s="25" t="str">
        <f t="shared" si="68"/>
        <v xml:space="preserve"> </v>
      </c>
      <c r="P448" s="5" t="str">
        <f t="shared" si="77"/>
        <v/>
      </c>
      <c r="Q448" s="5" t="str">
        <f t="shared" si="78"/>
        <v/>
      </c>
      <c r="R448" s="5" t="str">
        <f t="shared" si="71"/>
        <v/>
      </c>
    </row>
    <row r="449" spans="1:18" ht="20.25" x14ac:dyDescent="0.3">
      <c r="A449" s="14"/>
      <c r="B449" s="15">
        <v>445</v>
      </c>
      <c r="C449" s="22"/>
      <c r="D449" s="22"/>
      <c r="E449" s="23"/>
      <c r="F449" s="22"/>
      <c r="G449" s="22"/>
      <c r="H449" s="16"/>
      <c r="I449" s="15" t="str">
        <f t="shared" ref="I449:I512" si="79">IF(ISBLANK($E449)," ",IF($E449&gt;$H449,$C449,$F449))</f>
        <v xml:space="preserve"> </v>
      </c>
      <c r="J449" s="15" t="str">
        <f t="shared" ref="J449:J512" si="80">IF(ISBLANK($E449)," ",IF($E449&gt;$H449,$D449,$G449))</f>
        <v xml:space="preserve"> </v>
      </c>
      <c r="K449" s="15"/>
      <c r="L449" s="15">
        <f t="shared" si="72"/>
        <v>0</v>
      </c>
      <c r="M449" s="5" t="str">
        <f t="shared" si="76"/>
        <v/>
      </c>
      <c r="N449" s="25" t="str">
        <f>IF(ISBLANK($E449)," ", COUNTIF($M$4:$M449,$M449))</f>
        <v xml:space="preserve"> </v>
      </c>
      <c r="O449" s="25" t="str">
        <f t="shared" ref="O449:O512" si="81">IF(N449 =" ", " ", IF(N449=1,15,(IF(N449=2,15,(IF(N449=3,15,15))))))</f>
        <v xml:space="preserve"> </v>
      </c>
      <c r="P449" s="5" t="str">
        <f t="shared" si="77"/>
        <v/>
      </c>
      <c r="Q449" s="5" t="str">
        <f t="shared" si="78"/>
        <v/>
      </c>
      <c r="R449" s="5" t="str">
        <f t="shared" ref="R449:R512" si="82">IFERROR((P449*100000)+Q449,"")</f>
        <v/>
      </c>
    </row>
    <row r="450" spans="1:18" ht="20.25" x14ac:dyDescent="0.3">
      <c r="A450" s="14"/>
      <c r="B450" s="15">
        <v>446</v>
      </c>
      <c r="C450" s="22"/>
      <c r="D450" s="22"/>
      <c r="E450" s="23"/>
      <c r="F450" s="22"/>
      <c r="G450" s="22"/>
      <c r="H450" s="16"/>
      <c r="I450" s="15" t="str">
        <f t="shared" si="79"/>
        <v xml:space="preserve"> </v>
      </c>
      <c r="J450" s="15" t="str">
        <f t="shared" si="80"/>
        <v xml:space="preserve"> </v>
      </c>
      <c r="K450" s="15"/>
      <c r="L450" s="15">
        <f t="shared" ref="L450:L513" si="83">E450-H450</f>
        <v>0</v>
      </c>
      <c r="M450" s="5" t="str">
        <f t="shared" si="76"/>
        <v/>
      </c>
      <c r="N450" s="25" t="str">
        <f>IF(ISBLANK($E450)," ", COUNTIF($M$4:$M450,$M450))</f>
        <v xml:space="preserve"> </v>
      </c>
      <c r="O450" s="25" t="str">
        <f t="shared" si="81"/>
        <v xml:space="preserve"> </v>
      </c>
      <c r="P450" s="5" t="str">
        <f t="shared" si="77"/>
        <v/>
      </c>
      <c r="Q450" s="5" t="str">
        <f t="shared" si="78"/>
        <v/>
      </c>
      <c r="R450" s="5" t="str">
        <f t="shared" si="82"/>
        <v/>
      </c>
    </row>
    <row r="451" spans="1:18" ht="20.25" x14ac:dyDescent="0.3">
      <c r="A451" s="14"/>
      <c r="B451" s="15">
        <v>447</v>
      </c>
      <c r="C451" s="22"/>
      <c r="D451" s="22"/>
      <c r="E451" s="23"/>
      <c r="F451" s="22"/>
      <c r="G451" s="22"/>
      <c r="H451" s="16"/>
      <c r="I451" s="15" t="str">
        <f t="shared" si="79"/>
        <v xml:space="preserve"> </v>
      </c>
      <c r="J451" s="15" t="str">
        <f t="shared" si="80"/>
        <v xml:space="preserve"> </v>
      </c>
      <c r="K451" s="15"/>
      <c r="L451" s="15">
        <f t="shared" si="83"/>
        <v>0</v>
      </c>
      <c r="M451" s="5" t="str">
        <f t="shared" si="76"/>
        <v/>
      </c>
      <c r="N451" s="25" t="str">
        <f>IF(ISBLANK($E451)," ", COUNTIF($M$4:$M451,$M451))</f>
        <v xml:space="preserve"> </v>
      </c>
      <c r="O451" s="25" t="str">
        <f t="shared" si="81"/>
        <v xml:space="preserve"> </v>
      </c>
      <c r="P451" s="5" t="str">
        <f t="shared" si="77"/>
        <v/>
      </c>
      <c r="Q451" s="5" t="str">
        <f t="shared" si="78"/>
        <v/>
      </c>
      <c r="R451" s="5" t="str">
        <f t="shared" si="82"/>
        <v/>
      </c>
    </row>
    <row r="452" spans="1:18" ht="20.25" x14ac:dyDescent="0.3">
      <c r="A452" s="14"/>
      <c r="B452" s="15">
        <v>448</v>
      </c>
      <c r="C452" s="22"/>
      <c r="D452" s="22"/>
      <c r="E452" s="23"/>
      <c r="F452" s="22"/>
      <c r="G452" s="22"/>
      <c r="H452" s="16"/>
      <c r="I452" s="15" t="str">
        <f t="shared" si="79"/>
        <v xml:space="preserve"> </v>
      </c>
      <c r="J452" s="15" t="str">
        <f t="shared" si="80"/>
        <v xml:space="preserve"> </v>
      </c>
      <c r="K452" s="15"/>
      <c r="L452" s="15">
        <f t="shared" si="83"/>
        <v>0</v>
      </c>
      <c r="M452" s="5" t="str">
        <f t="shared" si="76"/>
        <v/>
      </c>
      <c r="N452" s="25" t="str">
        <f>IF(ISBLANK($E452)," ", COUNTIF($M$4:$M452,$M452))</f>
        <v xml:space="preserve"> </v>
      </c>
      <c r="O452" s="25" t="str">
        <f t="shared" si="81"/>
        <v xml:space="preserve"> </v>
      </c>
      <c r="P452" s="5" t="str">
        <f t="shared" si="77"/>
        <v/>
      </c>
      <c r="Q452" s="5" t="str">
        <f t="shared" si="78"/>
        <v/>
      </c>
      <c r="R452" s="5" t="str">
        <f t="shared" si="82"/>
        <v/>
      </c>
    </row>
    <row r="453" spans="1:18" ht="20.25" x14ac:dyDescent="0.3">
      <c r="A453" s="14"/>
      <c r="B453" s="15">
        <v>449</v>
      </c>
      <c r="C453" s="22"/>
      <c r="D453" s="22"/>
      <c r="E453" s="23"/>
      <c r="F453" s="22"/>
      <c r="G453" s="22"/>
      <c r="H453" s="16"/>
      <c r="I453" s="15" t="str">
        <f t="shared" si="79"/>
        <v xml:space="preserve"> </v>
      </c>
      <c r="J453" s="15" t="str">
        <f t="shared" si="80"/>
        <v xml:space="preserve"> </v>
      </c>
      <c r="K453" s="15"/>
      <c r="L453" s="15">
        <f t="shared" si="83"/>
        <v>0</v>
      </c>
      <c r="M453" s="5" t="str">
        <f t="shared" si="76"/>
        <v/>
      </c>
      <c r="N453" s="25" t="str">
        <f>IF(ISBLANK($E453)," ", COUNTIF($M$4:$M453,$M453))</f>
        <v xml:space="preserve"> </v>
      </c>
      <c r="O453" s="25" t="str">
        <f t="shared" si="81"/>
        <v xml:space="preserve"> </v>
      </c>
      <c r="P453" s="5" t="str">
        <f t="shared" si="77"/>
        <v/>
      </c>
      <c r="Q453" s="5" t="str">
        <f t="shared" si="78"/>
        <v/>
      </c>
      <c r="R453" s="5" t="str">
        <f t="shared" si="82"/>
        <v/>
      </c>
    </row>
    <row r="454" spans="1:18" ht="20.25" x14ac:dyDescent="0.3">
      <c r="A454" s="14"/>
      <c r="B454" s="15">
        <v>450</v>
      </c>
      <c r="C454" s="22"/>
      <c r="D454" s="22"/>
      <c r="E454" s="23"/>
      <c r="F454" s="22"/>
      <c r="G454" s="22"/>
      <c r="H454" s="16"/>
      <c r="I454" s="15" t="str">
        <f t="shared" si="79"/>
        <v xml:space="preserve"> </v>
      </c>
      <c r="J454" s="15" t="str">
        <f t="shared" si="80"/>
        <v xml:space="preserve"> </v>
      </c>
      <c r="K454" s="15"/>
      <c r="L454" s="15">
        <f t="shared" si="83"/>
        <v>0</v>
      </c>
      <c r="M454" s="5" t="str">
        <f t="shared" si="76"/>
        <v/>
      </c>
      <c r="N454" s="25" t="str">
        <f>IF(ISBLANK($E454)," ", COUNTIF($M$4:$M454,$M454))</f>
        <v xml:space="preserve"> </v>
      </c>
      <c r="O454" s="25" t="str">
        <f t="shared" si="81"/>
        <v xml:space="preserve"> </v>
      </c>
      <c r="P454" s="5" t="str">
        <f t="shared" si="77"/>
        <v/>
      </c>
      <c r="Q454" s="5" t="str">
        <f t="shared" si="78"/>
        <v/>
      </c>
      <c r="R454" s="5" t="str">
        <f t="shared" si="82"/>
        <v/>
      </c>
    </row>
    <row r="455" spans="1:18" ht="20.25" x14ac:dyDescent="0.3">
      <c r="A455" s="14"/>
      <c r="B455" s="15">
        <v>451</v>
      </c>
      <c r="C455" s="22"/>
      <c r="D455" s="22"/>
      <c r="E455" s="23"/>
      <c r="F455" s="22"/>
      <c r="G455" s="22"/>
      <c r="H455" s="16"/>
      <c r="I455" s="15" t="str">
        <f t="shared" si="79"/>
        <v xml:space="preserve"> </v>
      </c>
      <c r="J455" s="15" t="str">
        <f t="shared" si="80"/>
        <v xml:space="preserve"> </v>
      </c>
      <c r="K455" s="15"/>
      <c r="L455" s="15">
        <f t="shared" si="83"/>
        <v>0</v>
      </c>
      <c r="M455" s="5" t="str">
        <f t="shared" si="76"/>
        <v/>
      </c>
      <c r="N455" s="25" t="str">
        <f>IF(ISBLANK($E455)," ", COUNTIF($M$4:$M455,$M455))</f>
        <v xml:space="preserve"> </v>
      </c>
      <c r="O455" s="25" t="str">
        <f t="shared" si="81"/>
        <v xml:space="preserve"> </v>
      </c>
      <c r="P455" s="5" t="str">
        <f t="shared" si="77"/>
        <v/>
      </c>
      <c r="Q455" s="5" t="str">
        <f t="shared" si="78"/>
        <v/>
      </c>
      <c r="R455" s="5" t="str">
        <f t="shared" si="82"/>
        <v/>
      </c>
    </row>
    <row r="456" spans="1:18" ht="20.25" x14ac:dyDescent="0.3">
      <c r="A456" s="14"/>
      <c r="B456" s="15">
        <v>452</v>
      </c>
      <c r="C456" s="22"/>
      <c r="D456" s="22"/>
      <c r="E456" s="23"/>
      <c r="F456" s="22"/>
      <c r="G456" s="22"/>
      <c r="H456" s="16"/>
      <c r="I456" s="15" t="str">
        <f t="shared" si="79"/>
        <v xml:space="preserve"> </v>
      </c>
      <c r="J456" s="15" t="str">
        <f t="shared" si="80"/>
        <v xml:space="preserve"> </v>
      </c>
      <c r="K456" s="15"/>
      <c r="L456" s="15">
        <f t="shared" si="83"/>
        <v>0</v>
      </c>
      <c r="M456" s="5" t="str">
        <f t="shared" ref="M456:M487" si="84">IF(ISBLANK($E456),"",VLOOKUP($I456,PLAYERS_IDS,2,FALSE)*VLOOKUP($J456,PLAYERS_IDS,2,FALSE))</f>
        <v/>
      </c>
      <c r="N456" s="25" t="str">
        <f>IF(ISBLANK($E456)," ", COUNTIF($M$4:$M456,$M456))</f>
        <v xml:space="preserve"> </v>
      </c>
      <c r="O456" s="25" t="str">
        <f t="shared" si="81"/>
        <v xml:space="preserve"> </v>
      </c>
      <c r="P456" s="5" t="str">
        <f t="shared" ref="P456:P487" si="85">IF(ISBLANK($F456),"",VLOOKUP($C456,PLAYERS_IDS,2,FALSE)*VLOOKUP($D456,PLAYERS_IDS,2,FALSE))</f>
        <v/>
      </c>
      <c r="Q456" s="5" t="str">
        <f t="shared" ref="Q456:Q487" si="86">IF(ISBLANK($F456), "",VLOOKUP($F456,PLAYERS_IDS,2,FALSE)*VLOOKUP($G456,PLAYERS_IDS,2,FALSE))</f>
        <v/>
      </c>
      <c r="R456" s="5" t="str">
        <f t="shared" si="82"/>
        <v/>
      </c>
    </row>
    <row r="457" spans="1:18" ht="20.25" x14ac:dyDescent="0.3">
      <c r="A457" s="14"/>
      <c r="B457" s="15">
        <v>453</v>
      </c>
      <c r="C457" s="22"/>
      <c r="D457" s="22"/>
      <c r="E457" s="23"/>
      <c r="F457" s="22"/>
      <c r="G457" s="22"/>
      <c r="H457" s="16"/>
      <c r="I457" s="15" t="str">
        <f t="shared" si="79"/>
        <v xml:space="preserve"> </v>
      </c>
      <c r="J457" s="15" t="str">
        <f t="shared" si="80"/>
        <v xml:space="preserve"> </v>
      </c>
      <c r="K457" s="15"/>
      <c r="L457" s="15">
        <f t="shared" si="83"/>
        <v>0</v>
      </c>
      <c r="M457" s="5" t="str">
        <f t="shared" si="84"/>
        <v/>
      </c>
      <c r="N457" s="25" t="str">
        <f>IF(ISBLANK($E457)," ", COUNTIF($M$4:$M457,$M457))</f>
        <v xml:space="preserve"> </v>
      </c>
      <c r="O457" s="25" t="str">
        <f t="shared" si="81"/>
        <v xml:space="preserve"> </v>
      </c>
      <c r="P457" s="5" t="str">
        <f t="shared" si="85"/>
        <v/>
      </c>
      <c r="Q457" s="5" t="str">
        <f t="shared" si="86"/>
        <v/>
      </c>
      <c r="R457" s="5" t="str">
        <f t="shared" si="82"/>
        <v/>
      </c>
    </row>
    <row r="458" spans="1:18" ht="20.25" x14ac:dyDescent="0.3">
      <c r="A458" s="14"/>
      <c r="B458" s="15">
        <v>454</v>
      </c>
      <c r="C458" s="22"/>
      <c r="D458" s="22"/>
      <c r="E458" s="23"/>
      <c r="F458" s="22"/>
      <c r="G458" s="22"/>
      <c r="H458" s="16"/>
      <c r="I458" s="15" t="str">
        <f t="shared" si="79"/>
        <v xml:space="preserve"> </v>
      </c>
      <c r="J458" s="15" t="str">
        <f t="shared" si="80"/>
        <v xml:space="preserve"> </v>
      </c>
      <c r="K458" s="15"/>
      <c r="L458" s="15">
        <f t="shared" si="83"/>
        <v>0</v>
      </c>
      <c r="M458" s="5" t="str">
        <f t="shared" si="84"/>
        <v/>
      </c>
      <c r="N458" s="25" t="str">
        <f>IF(ISBLANK($E458)," ", COUNTIF($M$4:$M458,$M458))</f>
        <v xml:space="preserve"> </v>
      </c>
      <c r="O458" s="25" t="str">
        <f t="shared" si="81"/>
        <v xml:space="preserve"> </v>
      </c>
      <c r="P458" s="5" t="str">
        <f t="shared" si="85"/>
        <v/>
      </c>
      <c r="Q458" s="5" t="str">
        <f t="shared" si="86"/>
        <v/>
      </c>
      <c r="R458" s="5" t="str">
        <f t="shared" si="82"/>
        <v/>
      </c>
    </row>
    <row r="459" spans="1:18" ht="20.25" x14ac:dyDescent="0.3">
      <c r="A459" s="14"/>
      <c r="B459" s="15">
        <v>455</v>
      </c>
      <c r="C459" s="22"/>
      <c r="D459" s="22"/>
      <c r="E459" s="23"/>
      <c r="F459" s="22"/>
      <c r="G459" s="22"/>
      <c r="H459" s="16"/>
      <c r="I459" s="15" t="str">
        <f t="shared" si="79"/>
        <v xml:space="preserve"> </v>
      </c>
      <c r="J459" s="15" t="str">
        <f t="shared" si="80"/>
        <v xml:space="preserve"> </v>
      </c>
      <c r="K459" s="15"/>
      <c r="L459" s="15">
        <f t="shared" si="83"/>
        <v>0</v>
      </c>
      <c r="M459" s="5" t="str">
        <f t="shared" si="84"/>
        <v/>
      </c>
      <c r="N459" s="25" t="str">
        <f>IF(ISBLANK($E459)," ", COUNTIF($M$4:$M459,$M459))</f>
        <v xml:space="preserve"> </v>
      </c>
      <c r="O459" s="25" t="str">
        <f t="shared" si="81"/>
        <v xml:space="preserve"> </v>
      </c>
      <c r="P459" s="5" t="str">
        <f t="shared" si="85"/>
        <v/>
      </c>
      <c r="Q459" s="5" t="str">
        <f t="shared" si="86"/>
        <v/>
      </c>
      <c r="R459" s="5" t="str">
        <f t="shared" si="82"/>
        <v/>
      </c>
    </row>
    <row r="460" spans="1:18" ht="20.25" x14ac:dyDescent="0.3">
      <c r="A460" s="14"/>
      <c r="B460" s="15">
        <v>456</v>
      </c>
      <c r="C460" s="22"/>
      <c r="D460" s="22"/>
      <c r="E460" s="23"/>
      <c r="F460" s="22"/>
      <c r="G460" s="22"/>
      <c r="H460" s="16"/>
      <c r="I460" s="15" t="str">
        <f t="shared" si="79"/>
        <v xml:space="preserve"> </v>
      </c>
      <c r="J460" s="15" t="str">
        <f t="shared" si="80"/>
        <v xml:space="preserve"> </v>
      </c>
      <c r="K460" s="15"/>
      <c r="L460" s="15">
        <f t="shared" si="83"/>
        <v>0</v>
      </c>
      <c r="M460" s="5" t="str">
        <f t="shared" si="84"/>
        <v/>
      </c>
      <c r="N460" s="25" t="str">
        <f>IF(ISBLANK($E460)," ", COUNTIF($M$4:$M460,$M460))</f>
        <v xml:space="preserve"> </v>
      </c>
      <c r="O460" s="25" t="str">
        <f t="shared" si="81"/>
        <v xml:space="preserve"> </v>
      </c>
      <c r="P460" s="5" t="str">
        <f t="shared" si="85"/>
        <v/>
      </c>
      <c r="Q460" s="5" t="str">
        <f t="shared" si="86"/>
        <v/>
      </c>
      <c r="R460" s="5" t="str">
        <f t="shared" si="82"/>
        <v/>
      </c>
    </row>
    <row r="461" spans="1:18" ht="20.25" x14ac:dyDescent="0.3">
      <c r="A461" s="14"/>
      <c r="B461" s="15">
        <v>457</v>
      </c>
      <c r="C461" s="22"/>
      <c r="D461" s="22"/>
      <c r="E461" s="23"/>
      <c r="F461" s="22"/>
      <c r="G461" s="22"/>
      <c r="H461" s="16"/>
      <c r="I461" s="15" t="str">
        <f t="shared" si="79"/>
        <v xml:space="preserve"> </v>
      </c>
      <c r="J461" s="15" t="str">
        <f t="shared" si="80"/>
        <v xml:space="preserve"> </v>
      </c>
      <c r="K461" s="15"/>
      <c r="L461" s="15">
        <f t="shared" si="83"/>
        <v>0</v>
      </c>
      <c r="M461" s="5" t="str">
        <f t="shared" si="84"/>
        <v/>
      </c>
      <c r="N461" s="25" t="str">
        <f>IF(ISBLANK($E461)," ", COUNTIF($M$4:$M461,$M461))</f>
        <v xml:space="preserve"> </v>
      </c>
      <c r="O461" s="25" t="str">
        <f t="shared" si="81"/>
        <v xml:space="preserve"> </v>
      </c>
      <c r="P461" s="5" t="str">
        <f t="shared" si="85"/>
        <v/>
      </c>
      <c r="Q461" s="5" t="str">
        <f t="shared" si="86"/>
        <v/>
      </c>
      <c r="R461" s="5" t="str">
        <f t="shared" si="82"/>
        <v/>
      </c>
    </row>
    <row r="462" spans="1:18" ht="20.25" x14ac:dyDescent="0.3">
      <c r="A462" s="14"/>
      <c r="B462" s="15">
        <v>458</v>
      </c>
      <c r="C462" s="22"/>
      <c r="D462" s="22"/>
      <c r="E462" s="23"/>
      <c r="F462" s="22"/>
      <c r="G462" s="22"/>
      <c r="H462" s="16"/>
      <c r="I462" s="15" t="str">
        <f t="shared" si="79"/>
        <v xml:space="preserve"> </v>
      </c>
      <c r="J462" s="15" t="str">
        <f t="shared" si="80"/>
        <v xml:space="preserve"> </v>
      </c>
      <c r="K462" s="15"/>
      <c r="L462" s="15">
        <f t="shared" si="83"/>
        <v>0</v>
      </c>
      <c r="M462" s="5" t="str">
        <f t="shared" si="84"/>
        <v/>
      </c>
      <c r="N462" s="25" t="str">
        <f>IF(ISBLANK($E462)," ", COUNTIF($M$4:$M462,$M462))</f>
        <v xml:space="preserve"> </v>
      </c>
      <c r="O462" s="25" t="str">
        <f t="shared" si="81"/>
        <v xml:space="preserve"> </v>
      </c>
      <c r="P462" s="5" t="str">
        <f t="shared" si="85"/>
        <v/>
      </c>
      <c r="Q462" s="5" t="str">
        <f t="shared" si="86"/>
        <v/>
      </c>
      <c r="R462" s="5" t="str">
        <f t="shared" si="82"/>
        <v/>
      </c>
    </row>
    <row r="463" spans="1:18" ht="20.25" x14ac:dyDescent="0.3">
      <c r="A463" s="14"/>
      <c r="B463" s="15">
        <v>459</v>
      </c>
      <c r="C463" s="22"/>
      <c r="D463" s="22"/>
      <c r="E463" s="23"/>
      <c r="F463" s="22"/>
      <c r="G463" s="22"/>
      <c r="H463" s="16"/>
      <c r="I463" s="15" t="str">
        <f t="shared" si="79"/>
        <v xml:space="preserve"> </v>
      </c>
      <c r="J463" s="15" t="str">
        <f t="shared" si="80"/>
        <v xml:space="preserve"> </v>
      </c>
      <c r="K463" s="15"/>
      <c r="L463" s="15">
        <f t="shared" si="83"/>
        <v>0</v>
      </c>
      <c r="M463" s="5" t="str">
        <f t="shared" si="84"/>
        <v/>
      </c>
      <c r="N463" s="25" t="str">
        <f>IF(ISBLANK($E463)," ", COUNTIF($M$4:$M463,$M463))</f>
        <v xml:space="preserve"> </v>
      </c>
      <c r="O463" s="25" t="str">
        <f t="shared" si="81"/>
        <v xml:space="preserve"> </v>
      </c>
      <c r="P463" s="5" t="str">
        <f t="shared" si="85"/>
        <v/>
      </c>
      <c r="Q463" s="5" t="str">
        <f t="shared" si="86"/>
        <v/>
      </c>
      <c r="R463" s="5" t="str">
        <f t="shared" si="82"/>
        <v/>
      </c>
    </row>
    <row r="464" spans="1:18" ht="20.25" x14ac:dyDescent="0.3">
      <c r="A464" s="14"/>
      <c r="B464" s="15">
        <v>460</v>
      </c>
      <c r="C464" s="22"/>
      <c r="D464" s="22"/>
      <c r="E464" s="23"/>
      <c r="F464" s="22"/>
      <c r="G464" s="22"/>
      <c r="H464" s="16"/>
      <c r="I464" s="15" t="str">
        <f t="shared" si="79"/>
        <v xml:space="preserve"> </v>
      </c>
      <c r="J464" s="15" t="str">
        <f t="shared" si="80"/>
        <v xml:space="preserve"> </v>
      </c>
      <c r="K464" s="15"/>
      <c r="L464" s="15">
        <f t="shared" si="83"/>
        <v>0</v>
      </c>
      <c r="M464" s="5" t="str">
        <f t="shared" si="84"/>
        <v/>
      </c>
      <c r="N464" s="25" t="str">
        <f>IF(ISBLANK($E464)," ", COUNTIF($M$4:$M464,$M464))</f>
        <v xml:space="preserve"> </v>
      </c>
      <c r="O464" s="25" t="str">
        <f t="shared" si="81"/>
        <v xml:space="preserve"> </v>
      </c>
      <c r="P464" s="5" t="str">
        <f t="shared" si="85"/>
        <v/>
      </c>
      <c r="Q464" s="5" t="str">
        <f t="shared" si="86"/>
        <v/>
      </c>
      <c r="R464" s="5" t="str">
        <f t="shared" si="82"/>
        <v/>
      </c>
    </row>
    <row r="465" spans="1:18" ht="20.25" x14ac:dyDescent="0.3">
      <c r="A465" s="14"/>
      <c r="B465" s="15">
        <v>461</v>
      </c>
      <c r="C465" s="22"/>
      <c r="D465" s="22"/>
      <c r="E465" s="23"/>
      <c r="F465" s="22"/>
      <c r="G465" s="22"/>
      <c r="H465" s="16"/>
      <c r="I465" s="15" t="str">
        <f t="shared" si="79"/>
        <v xml:space="preserve"> </v>
      </c>
      <c r="J465" s="15" t="str">
        <f t="shared" si="80"/>
        <v xml:space="preserve"> </v>
      </c>
      <c r="K465" s="15"/>
      <c r="L465" s="15">
        <f t="shared" si="83"/>
        <v>0</v>
      </c>
      <c r="M465" s="5" t="str">
        <f t="shared" si="84"/>
        <v/>
      </c>
      <c r="N465" s="25" t="str">
        <f>IF(ISBLANK($E465)," ", COUNTIF($M$4:$M465,$M465))</f>
        <v xml:space="preserve"> </v>
      </c>
      <c r="O465" s="25" t="str">
        <f t="shared" si="81"/>
        <v xml:space="preserve"> </v>
      </c>
      <c r="P465" s="5" t="str">
        <f t="shared" si="85"/>
        <v/>
      </c>
      <c r="Q465" s="5" t="str">
        <f t="shared" si="86"/>
        <v/>
      </c>
      <c r="R465" s="5" t="str">
        <f t="shared" si="82"/>
        <v/>
      </c>
    </row>
    <row r="466" spans="1:18" ht="20.25" x14ac:dyDescent="0.3">
      <c r="A466" s="14"/>
      <c r="B466" s="15">
        <v>462</v>
      </c>
      <c r="C466" s="22"/>
      <c r="D466" s="22"/>
      <c r="E466" s="23"/>
      <c r="F466" s="22"/>
      <c r="G466" s="22"/>
      <c r="H466" s="16"/>
      <c r="I466" s="15" t="str">
        <f t="shared" si="79"/>
        <v xml:space="preserve"> </v>
      </c>
      <c r="J466" s="15" t="str">
        <f t="shared" si="80"/>
        <v xml:space="preserve"> </v>
      </c>
      <c r="K466" s="15"/>
      <c r="L466" s="15">
        <f t="shared" si="83"/>
        <v>0</v>
      </c>
      <c r="M466" s="5" t="str">
        <f t="shared" si="84"/>
        <v/>
      </c>
      <c r="N466" s="25" t="str">
        <f>IF(ISBLANK($E466)," ", COUNTIF($M$4:$M466,$M466))</f>
        <v xml:space="preserve"> </v>
      </c>
      <c r="O466" s="25" t="str">
        <f t="shared" si="81"/>
        <v xml:space="preserve"> </v>
      </c>
      <c r="P466" s="5" t="str">
        <f t="shared" si="85"/>
        <v/>
      </c>
      <c r="Q466" s="5" t="str">
        <f t="shared" si="86"/>
        <v/>
      </c>
      <c r="R466" s="5" t="str">
        <f t="shared" si="82"/>
        <v/>
      </c>
    </row>
    <row r="467" spans="1:18" ht="20.25" x14ac:dyDescent="0.3">
      <c r="A467" s="14"/>
      <c r="B467" s="15">
        <v>463</v>
      </c>
      <c r="C467" s="22"/>
      <c r="D467" s="22"/>
      <c r="E467" s="23"/>
      <c r="F467" s="22"/>
      <c r="G467" s="22"/>
      <c r="H467" s="16"/>
      <c r="I467" s="15" t="str">
        <f t="shared" si="79"/>
        <v xml:space="preserve"> </v>
      </c>
      <c r="J467" s="15" t="str">
        <f t="shared" si="80"/>
        <v xml:space="preserve"> </v>
      </c>
      <c r="K467" s="15"/>
      <c r="L467" s="15">
        <f t="shared" si="83"/>
        <v>0</v>
      </c>
      <c r="M467" s="5" t="str">
        <f t="shared" si="84"/>
        <v/>
      </c>
      <c r="N467" s="25" t="str">
        <f>IF(ISBLANK($E467)," ", COUNTIF($M$4:$M467,$M467))</f>
        <v xml:space="preserve"> </v>
      </c>
      <c r="O467" s="25" t="str">
        <f t="shared" si="81"/>
        <v xml:space="preserve"> </v>
      </c>
      <c r="P467" s="5" t="str">
        <f t="shared" si="85"/>
        <v/>
      </c>
      <c r="Q467" s="5" t="str">
        <f t="shared" si="86"/>
        <v/>
      </c>
      <c r="R467" s="5" t="str">
        <f t="shared" si="82"/>
        <v/>
      </c>
    </row>
    <row r="468" spans="1:18" ht="20.25" x14ac:dyDescent="0.3">
      <c r="A468" s="14"/>
      <c r="B468" s="15">
        <v>464</v>
      </c>
      <c r="C468" s="22"/>
      <c r="D468" s="22"/>
      <c r="E468" s="23"/>
      <c r="F468" s="22"/>
      <c r="G468" s="22"/>
      <c r="H468" s="16"/>
      <c r="I468" s="15" t="str">
        <f t="shared" si="79"/>
        <v xml:space="preserve"> </v>
      </c>
      <c r="J468" s="15" t="str">
        <f t="shared" si="80"/>
        <v xml:space="preserve"> </v>
      </c>
      <c r="K468" s="15"/>
      <c r="L468" s="15">
        <f t="shared" si="83"/>
        <v>0</v>
      </c>
      <c r="M468" s="5" t="str">
        <f t="shared" si="84"/>
        <v/>
      </c>
      <c r="N468" s="25" t="str">
        <f>IF(ISBLANK($E468)," ", COUNTIF($M$4:$M468,$M468))</f>
        <v xml:space="preserve"> </v>
      </c>
      <c r="O468" s="25" t="str">
        <f t="shared" si="81"/>
        <v xml:space="preserve"> </v>
      </c>
      <c r="P468" s="5" t="str">
        <f t="shared" si="85"/>
        <v/>
      </c>
      <c r="Q468" s="5" t="str">
        <f t="shared" si="86"/>
        <v/>
      </c>
      <c r="R468" s="5" t="str">
        <f t="shared" si="82"/>
        <v/>
      </c>
    </row>
    <row r="469" spans="1:18" ht="20.25" x14ac:dyDescent="0.3">
      <c r="A469" s="14"/>
      <c r="B469" s="15">
        <v>465</v>
      </c>
      <c r="C469" s="22"/>
      <c r="D469" s="22"/>
      <c r="E469" s="23"/>
      <c r="F469" s="22"/>
      <c r="G469" s="22"/>
      <c r="H469" s="16"/>
      <c r="I469" s="15" t="str">
        <f t="shared" si="79"/>
        <v xml:space="preserve"> </v>
      </c>
      <c r="J469" s="15" t="str">
        <f t="shared" si="80"/>
        <v xml:space="preserve"> </v>
      </c>
      <c r="K469" s="15"/>
      <c r="L469" s="15">
        <f t="shared" si="83"/>
        <v>0</v>
      </c>
      <c r="M469" s="5" t="str">
        <f t="shared" si="84"/>
        <v/>
      </c>
      <c r="N469" s="25" t="str">
        <f>IF(ISBLANK($E469)," ", COUNTIF($M$4:$M469,$M469))</f>
        <v xml:space="preserve"> </v>
      </c>
      <c r="O469" s="25" t="str">
        <f t="shared" si="81"/>
        <v xml:space="preserve"> </v>
      </c>
      <c r="P469" s="5" t="str">
        <f t="shared" si="85"/>
        <v/>
      </c>
      <c r="Q469" s="5" t="str">
        <f t="shared" si="86"/>
        <v/>
      </c>
      <c r="R469" s="5" t="str">
        <f t="shared" si="82"/>
        <v/>
      </c>
    </row>
    <row r="470" spans="1:18" ht="20.25" x14ac:dyDescent="0.3">
      <c r="A470" s="14"/>
      <c r="B470" s="15">
        <v>466</v>
      </c>
      <c r="C470" s="22"/>
      <c r="D470" s="22"/>
      <c r="E470" s="23"/>
      <c r="F470" s="22"/>
      <c r="G470" s="22"/>
      <c r="H470" s="16"/>
      <c r="I470" s="15" t="str">
        <f t="shared" si="79"/>
        <v xml:space="preserve"> </v>
      </c>
      <c r="J470" s="15" t="str">
        <f t="shared" si="80"/>
        <v xml:space="preserve"> </v>
      </c>
      <c r="K470" s="15"/>
      <c r="L470" s="15">
        <f t="shared" si="83"/>
        <v>0</v>
      </c>
      <c r="M470" s="5" t="str">
        <f t="shared" si="84"/>
        <v/>
      </c>
      <c r="N470" s="25" t="str">
        <f>IF(ISBLANK($E470)," ", COUNTIF($M$4:$M470,$M470))</f>
        <v xml:space="preserve"> </v>
      </c>
      <c r="O470" s="25" t="str">
        <f t="shared" si="81"/>
        <v xml:space="preserve"> </v>
      </c>
      <c r="P470" s="5" t="str">
        <f t="shared" si="85"/>
        <v/>
      </c>
      <c r="Q470" s="5" t="str">
        <f t="shared" si="86"/>
        <v/>
      </c>
      <c r="R470" s="5" t="str">
        <f t="shared" si="82"/>
        <v/>
      </c>
    </row>
    <row r="471" spans="1:18" ht="20.25" x14ac:dyDescent="0.3">
      <c r="A471" s="14"/>
      <c r="B471" s="15">
        <v>467</v>
      </c>
      <c r="C471" s="22"/>
      <c r="D471" s="22"/>
      <c r="E471" s="23"/>
      <c r="F471" s="22"/>
      <c r="G471" s="22"/>
      <c r="H471" s="16"/>
      <c r="I471" s="15" t="str">
        <f t="shared" si="79"/>
        <v xml:space="preserve"> </v>
      </c>
      <c r="J471" s="15" t="str">
        <f t="shared" si="80"/>
        <v xml:space="preserve"> </v>
      </c>
      <c r="K471" s="15"/>
      <c r="L471" s="15">
        <f t="shared" si="83"/>
        <v>0</v>
      </c>
      <c r="M471" s="5" t="str">
        <f t="shared" si="84"/>
        <v/>
      </c>
      <c r="N471" s="25" t="str">
        <f>IF(ISBLANK($E471)," ", COUNTIF($M$4:$M471,$M471))</f>
        <v xml:space="preserve"> </v>
      </c>
      <c r="O471" s="25" t="str">
        <f t="shared" si="81"/>
        <v xml:space="preserve"> </v>
      </c>
      <c r="P471" s="5" t="str">
        <f t="shared" si="85"/>
        <v/>
      </c>
      <c r="Q471" s="5" t="str">
        <f t="shared" si="86"/>
        <v/>
      </c>
      <c r="R471" s="5" t="str">
        <f t="shared" si="82"/>
        <v/>
      </c>
    </row>
    <row r="472" spans="1:18" ht="20.25" x14ac:dyDescent="0.3">
      <c r="A472" s="14"/>
      <c r="B472" s="15">
        <v>468</v>
      </c>
      <c r="C472" s="22"/>
      <c r="D472" s="22"/>
      <c r="E472" s="23"/>
      <c r="F472" s="22"/>
      <c r="G472" s="22"/>
      <c r="H472" s="16"/>
      <c r="I472" s="15" t="str">
        <f t="shared" si="79"/>
        <v xml:space="preserve"> </v>
      </c>
      <c r="J472" s="15" t="str">
        <f t="shared" si="80"/>
        <v xml:space="preserve"> </v>
      </c>
      <c r="K472" s="15"/>
      <c r="L472" s="15">
        <f t="shared" si="83"/>
        <v>0</v>
      </c>
      <c r="M472" s="5" t="str">
        <f t="shared" si="84"/>
        <v/>
      </c>
      <c r="N472" s="25" t="str">
        <f>IF(ISBLANK($E472)," ", COUNTIF($M$4:$M472,$M472))</f>
        <v xml:space="preserve"> </v>
      </c>
      <c r="O472" s="25" t="str">
        <f t="shared" si="81"/>
        <v xml:space="preserve"> </v>
      </c>
      <c r="P472" s="5" t="str">
        <f t="shared" si="85"/>
        <v/>
      </c>
      <c r="Q472" s="5" t="str">
        <f t="shared" si="86"/>
        <v/>
      </c>
      <c r="R472" s="5" t="str">
        <f t="shared" si="82"/>
        <v/>
      </c>
    </row>
    <row r="473" spans="1:18" ht="20.25" x14ac:dyDescent="0.3">
      <c r="A473" s="14"/>
      <c r="B473" s="15">
        <v>469</v>
      </c>
      <c r="C473" s="22"/>
      <c r="D473" s="22"/>
      <c r="E473" s="23"/>
      <c r="F473" s="22"/>
      <c r="G473" s="22"/>
      <c r="H473" s="16"/>
      <c r="I473" s="15" t="str">
        <f t="shared" si="79"/>
        <v xml:space="preserve"> </v>
      </c>
      <c r="J473" s="15" t="str">
        <f t="shared" si="80"/>
        <v xml:space="preserve"> </v>
      </c>
      <c r="K473" s="15"/>
      <c r="L473" s="15">
        <f t="shared" si="83"/>
        <v>0</v>
      </c>
      <c r="M473" s="5" t="str">
        <f t="shared" si="84"/>
        <v/>
      </c>
      <c r="N473" s="25" t="str">
        <f>IF(ISBLANK($E473)," ", COUNTIF($M$4:$M473,$M473))</f>
        <v xml:space="preserve"> </v>
      </c>
      <c r="O473" s="25" t="str">
        <f t="shared" si="81"/>
        <v xml:space="preserve"> </v>
      </c>
      <c r="P473" s="5" t="str">
        <f t="shared" si="85"/>
        <v/>
      </c>
      <c r="Q473" s="5" t="str">
        <f t="shared" si="86"/>
        <v/>
      </c>
      <c r="R473" s="5" t="str">
        <f t="shared" si="82"/>
        <v/>
      </c>
    </row>
    <row r="474" spans="1:18" ht="20.25" x14ac:dyDescent="0.3">
      <c r="A474" s="14"/>
      <c r="B474" s="15">
        <v>470</v>
      </c>
      <c r="C474" s="22"/>
      <c r="D474" s="22"/>
      <c r="E474" s="23"/>
      <c r="F474" s="22"/>
      <c r="G474" s="22"/>
      <c r="H474" s="16"/>
      <c r="I474" s="15" t="str">
        <f t="shared" si="79"/>
        <v xml:space="preserve"> </v>
      </c>
      <c r="J474" s="15" t="str">
        <f t="shared" si="80"/>
        <v xml:space="preserve"> </v>
      </c>
      <c r="K474" s="15"/>
      <c r="L474" s="15">
        <f t="shared" si="83"/>
        <v>0</v>
      </c>
      <c r="M474" s="5" t="str">
        <f t="shared" si="84"/>
        <v/>
      </c>
      <c r="N474" s="25" t="str">
        <f>IF(ISBLANK($E474)," ", COUNTIF($M$4:$M474,$M474))</f>
        <v xml:space="preserve"> </v>
      </c>
      <c r="O474" s="25" t="str">
        <f t="shared" si="81"/>
        <v xml:space="preserve"> </v>
      </c>
      <c r="P474" s="5" t="str">
        <f t="shared" si="85"/>
        <v/>
      </c>
      <c r="Q474" s="5" t="str">
        <f t="shared" si="86"/>
        <v/>
      </c>
      <c r="R474" s="5" t="str">
        <f t="shared" si="82"/>
        <v/>
      </c>
    </row>
    <row r="475" spans="1:18" ht="20.25" x14ac:dyDescent="0.3">
      <c r="A475" s="14"/>
      <c r="B475" s="15">
        <v>471</v>
      </c>
      <c r="C475" s="22"/>
      <c r="D475" s="22"/>
      <c r="E475" s="23"/>
      <c r="F475" s="22"/>
      <c r="G475" s="22"/>
      <c r="H475" s="16"/>
      <c r="I475" s="15" t="str">
        <f t="shared" si="79"/>
        <v xml:space="preserve"> </v>
      </c>
      <c r="J475" s="15" t="str">
        <f t="shared" si="80"/>
        <v xml:space="preserve"> </v>
      </c>
      <c r="K475" s="15"/>
      <c r="L475" s="15">
        <f t="shared" si="83"/>
        <v>0</v>
      </c>
      <c r="M475" s="5" t="str">
        <f t="shared" si="84"/>
        <v/>
      </c>
      <c r="N475" s="25" t="str">
        <f>IF(ISBLANK($E475)," ", COUNTIF($M$4:$M475,$M475))</f>
        <v xml:space="preserve"> </v>
      </c>
      <c r="O475" s="25" t="str">
        <f t="shared" si="81"/>
        <v xml:space="preserve"> </v>
      </c>
      <c r="P475" s="5" t="str">
        <f t="shared" si="85"/>
        <v/>
      </c>
      <c r="Q475" s="5" t="str">
        <f t="shared" si="86"/>
        <v/>
      </c>
      <c r="R475" s="5" t="str">
        <f t="shared" si="82"/>
        <v/>
      </c>
    </row>
    <row r="476" spans="1:18" ht="20.25" x14ac:dyDescent="0.3">
      <c r="A476" s="14"/>
      <c r="B476" s="15">
        <v>472</v>
      </c>
      <c r="C476" s="22"/>
      <c r="D476" s="22"/>
      <c r="E476" s="23"/>
      <c r="F476" s="22"/>
      <c r="G476" s="22"/>
      <c r="H476" s="16"/>
      <c r="I476" s="15" t="str">
        <f t="shared" si="79"/>
        <v xml:space="preserve"> </v>
      </c>
      <c r="J476" s="15" t="str">
        <f t="shared" si="80"/>
        <v xml:space="preserve"> </v>
      </c>
      <c r="K476" s="15"/>
      <c r="L476" s="15">
        <f t="shared" si="83"/>
        <v>0</v>
      </c>
      <c r="M476" s="5" t="str">
        <f t="shared" si="84"/>
        <v/>
      </c>
      <c r="N476" s="25" t="str">
        <f>IF(ISBLANK($E476)," ", COUNTIF($M$4:$M476,$M476))</f>
        <v xml:space="preserve"> </v>
      </c>
      <c r="O476" s="25" t="str">
        <f t="shared" si="81"/>
        <v xml:space="preserve"> </v>
      </c>
      <c r="P476" s="5" t="str">
        <f t="shared" si="85"/>
        <v/>
      </c>
      <c r="Q476" s="5" t="str">
        <f t="shared" si="86"/>
        <v/>
      </c>
      <c r="R476" s="5" t="str">
        <f t="shared" si="82"/>
        <v/>
      </c>
    </row>
    <row r="477" spans="1:18" ht="20.25" x14ac:dyDescent="0.3">
      <c r="A477" s="14"/>
      <c r="B477" s="15">
        <v>473</v>
      </c>
      <c r="C477" s="22"/>
      <c r="D477" s="22"/>
      <c r="E477" s="23"/>
      <c r="F477" s="22"/>
      <c r="G477" s="22"/>
      <c r="H477" s="16"/>
      <c r="I477" s="15" t="str">
        <f t="shared" si="79"/>
        <v xml:space="preserve"> </v>
      </c>
      <c r="J477" s="15" t="str">
        <f t="shared" si="80"/>
        <v xml:space="preserve"> </v>
      </c>
      <c r="K477" s="15"/>
      <c r="L477" s="15">
        <f t="shared" si="83"/>
        <v>0</v>
      </c>
      <c r="M477" s="5" t="str">
        <f t="shared" si="84"/>
        <v/>
      </c>
      <c r="N477" s="25" t="str">
        <f>IF(ISBLANK($E477)," ", COUNTIF($M$4:$M477,$M477))</f>
        <v xml:space="preserve"> </v>
      </c>
      <c r="O477" s="25" t="str">
        <f t="shared" si="81"/>
        <v xml:space="preserve"> </v>
      </c>
      <c r="P477" s="5" t="str">
        <f t="shared" si="85"/>
        <v/>
      </c>
      <c r="Q477" s="5" t="str">
        <f t="shared" si="86"/>
        <v/>
      </c>
      <c r="R477" s="5" t="str">
        <f t="shared" si="82"/>
        <v/>
      </c>
    </row>
    <row r="478" spans="1:18" ht="20.25" x14ac:dyDescent="0.3">
      <c r="A478" s="14"/>
      <c r="B478" s="15">
        <v>474</v>
      </c>
      <c r="C478" s="22"/>
      <c r="D478" s="22"/>
      <c r="E478" s="23"/>
      <c r="F478" s="22"/>
      <c r="G478" s="22"/>
      <c r="H478" s="16"/>
      <c r="I478" s="15" t="str">
        <f t="shared" si="79"/>
        <v xml:space="preserve"> </v>
      </c>
      <c r="J478" s="15" t="str">
        <f t="shared" si="80"/>
        <v xml:space="preserve"> </v>
      </c>
      <c r="K478" s="15"/>
      <c r="L478" s="15">
        <f t="shared" si="83"/>
        <v>0</v>
      </c>
      <c r="M478" s="5" t="str">
        <f t="shared" si="84"/>
        <v/>
      </c>
      <c r="N478" s="25" t="str">
        <f>IF(ISBLANK($E478)," ", COUNTIF($M$4:$M478,$M478))</f>
        <v xml:space="preserve"> </v>
      </c>
      <c r="O478" s="25" t="str">
        <f t="shared" si="81"/>
        <v xml:space="preserve"> </v>
      </c>
      <c r="P478" s="5" t="str">
        <f t="shared" si="85"/>
        <v/>
      </c>
      <c r="Q478" s="5" t="str">
        <f t="shared" si="86"/>
        <v/>
      </c>
      <c r="R478" s="5" t="str">
        <f t="shared" si="82"/>
        <v/>
      </c>
    </row>
    <row r="479" spans="1:18" ht="20.25" x14ac:dyDescent="0.3">
      <c r="A479" s="14"/>
      <c r="B479" s="15">
        <v>475</v>
      </c>
      <c r="C479" s="22"/>
      <c r="D479" s="22"/>
      <c r="E479" s="23"/>
      <c r="F479" s="22"/>
      <c r="G479" s="22"/>
      <c r="H479" s="16"/>
      <c r="I479" s="15" t="str">
        <f t="shared" si="79"/>
        <v xml:space="preserve"> </v>
      </c>
      <c r="J479" s="15" t="str">
        <f t="shared" si="80"/>
        <v xml:space="preserve"> </v>
      </c>
      <c r="K479" s="15"/>
      <c r="L479" s="15">
        <f t="shared" si="83"/>
        <v>0</v>
      </c>
      <c r="M479" s="5" t="str">
        <f t="shared" si="84"/>
        <v/>
      </c>
      <c r="N479" s="25" t="str">
        <f>IF(ISBLANK($E479)," ", COUNTIF($M$4:$M479,$M479))</f>
        <v xml:space="preserve"> </v>
      </c>
      <c r="O479" s="25" t="str">
        <f t="shared" si="81"/>
        <v xml:space="preserve"> </v>
      </c>
      <c r="P479" s="5" t="str">
        <f t="shared" si="85"/>
        <v/>
      </c>
      <c r="Q479" s="5" t="str">
        <f t="shared" si="86"/>
        <v/>
      </c>
      <c r="R479" s="5" t="str">
        <f t="shared" si="82"/>
        <v/>
      </c>
    </row>
    <row r="480" spans="1:18" ht="20.25" x14ac:dyDescent="0.3">
      <c r="A480" s="14"/>
      <c r="B480" s="15">
        <v>476</v>
      </c>
      <c r="C480" s="22"/>
      <c r="D480" s="22"/>
      <c r="E480" s="23"/>
      <c r="F480" s="22"/>
      <c r="G480" s="22"/>
      <c r="H480" s="16"/>
      <c r="I480" s="15" t="str">
        <f t="shared" si="79"/>
        <v xml:space="preserve"> </v>
      </c>
      <c r="J480" s="15" t="str">
        <f t="shared" si="80"/>
        <v xml:space="preserve"> </v>
      </c>
      <c r="K480" s="15"/>
      <c r="L480" s="15">
        <f t="shared" si="83"/>
        <v>0</v>
      </c>
      <c r="M480" s="5" t="str">
        <f t="shared" si="84"/>
        <v/>
      </c>
      <c r="N480" s="25" t="str">
        <f>IF(ISBLANK($E480)," ", COUNTIF($M$4:$M480,$M480))</f>
        <v xml:space="preserve"> </v>
      </c>
      <c r="O480" s="25" t="str">
        <f t="shared" si="81"/>
        <v xml:space="preserve"> </v>
      </c>
      <c r="P480" s="5" t="str">
        <f t="shared" si="85"/>
        <v/>
      </c>
      <c r="Q480" s="5" t="str">
        <f t="shared" si="86"/>
        <v/>
      </c>
      <c r="R480" s="5" t="str">
        <f t="shared" si="82"/>
        <v/>
      </c>
    </row>
    <row r="481" spans="1:18" ht="20.25" x14ac:dyDescent="0.3">
      <c r="A481" s="14"/>
      <c r="B481" s="15">
        <v>477</v>
      </c>
      <c r="C481" s="22"/>
      <c r="D481" s="22"/>
      <c r="E481" s="23"/>
      <c r="F481" s="22"/>
      <c r="G481" s="22"/>
      <c r="H481" s="16"/>
      <c r="I481" s="15" t="str">
        <f t="shared" si="79"/>
        <v xml:space="preserve"> </v>
      </c>
      <c r="J481" s="15" t="str">
        <f t="shared" si="80"/>
        <v xml:space="preserve"> </v>
      </c>
      <c r="K481" s="15"/>
      <c r="L481" s="15">
        <f t="shared" si="83"/>
        <v>0</v>
      </c>
      <c r="M481" s="5" t="str">
        <f t="shared" si="84"/>
        <v/>
      </c>
      <c r="N481" s="25" t="str">
        <f>IF(ISBLANK($E481)," ", COUNTIF($M$4:$M481,$M481))</f>
        <v xml:space="preserve"> </v>
      </c>
      <c r="O481" s="25" t="str">
        <f t="shared" si="81"/>
        <v xml:space="preserve"> </v>
      </c>
      <c r="P481" s="5" t="str">
        <f t="shared" si="85"/>
        <v/>
      </c>
      <c r="Q481" s="5" t="str">
        <f t="shared" si="86"/>
        <v/>
      </c>
      <c r="R481" s="5" t="str">
        <f t="shared" si="82"/>
        <v/>
      </c>
    </row>
    <row r="482" spans="1:18" ht="20.25" x14ac:dyDescent="0.3">
      <c r="A482" s="14"/>
      <c r="B482" s="15">
        <v>478</v>
      </c>
      <c r="C482" s="22"/>
      <c r="D482" s="22"/>
      <c r="E482" s="23"/>
      <c r="F482" s="22"/>
      <c r="G482" s="22"/>
      <c r="H482" s="16"/>
      <c r="I482" s="15" t="str">
        <f t="shared" si="79"/>
        <v xml:space="preserve"> </v>
      </c>
      <c r="J482" s="15" t="str">
        <f t="shared" si="80"/>
        <v xml:space="preserve"> </v>
      </c>
      <c r="K482" s="15"/>
      <c r="L482" s="15">
        <f t="shared" si="83"/>
        <v>0</v>
      </c>
      <c r="M482" s="5" t="str">
        <f t="shared" si="84"/>
        <v/>
      </c>
      <c r="N482" s="25" t="str">
        <f>IF(ISBLANK($E482)," ", COUNTIF($M$4:$M482,$M482))</f>
        <v xml:space="preserve"> </v>
      </c>
      <c r="O482" s="25" t="str">
        <f t="shared" si="81"/>
        <v xml:space="preserve"> </v>
      </c>
      <c r="P482" s="5" t="str">
        <f t="shared" si="85"/>
        <v/>
      </c>
      <c r="Q482" s="5" t="str">
        <f t="shared" si="86"/>
        <v/>
      </c>
      <c r="R482" s="5" t="str">
        <f t="shared" si="82"/>
        <v/>
      </c>
    </row>
    <row r="483" spans="1:18" ht="20.25" x14ac:dyDescent="0.3">
      <c r="A483" s="14"/>
      <c r="B483" s="15">
        <v>479</v>
      </c>
      <c r="C483" s="22"/>
      <c r="D483" s="22"/>
      <c r="E483" s="23"/>
      <c r="F483" s="22"/>
      <c r="G483" s="22"/>
      <c r="H483" s="16"/>
      <c r="I483" s="15" t="str">
        <f t="shared" si="79"/>
        <v xml:space="preserve"> </v>
      </c>
      <c r="J483" s="15" t="str">
        <f t="shared" si="80"/>
        <v xml:space="preserve"> </v>
      </c>
      <c r="K483" s="15"/>
      <c r="L483" s="15">
        <f t="shared" si="83"/>
        <v>0</v>
      </c>
      <c r="M483" s="5" t="str">
        <f t="shared" si="84"/>
        <v/>
      </c>
      <c r="N483" s="25" t="str">
        <f>IF(ISBLANK($E483)," ", COUNTIF($M$4:$M483,$M483))</f>
        <v xml:space="preserve"> </v>
      </c>
      <c r="O483" s="25" t="str">
        <f t="shared" si="81"/>
        <v xml:space="preserve"> </v>
      </c>
      <c r="P483" s="5" t="str">
        <f t="shared" si="85"/>
        <v/>
      </c>
      <c r="Q483" s="5" t="str">
        <f t="shared" si="86"/>
        <v/>
      </c>
      <c r="R483" s="5" t="str">
        <f t="shared" si="82"/>
        <v/>
      </c>
    </row>
    <row r="484" spans="1:18" ht="20.25" x14ac:dyDescent="0.3">
      <c r="A484" s="14"/>
      <c r="B484" s="15">
        <v>480</v>
      </c>
      <c r="C484" s="22"/>
      <c r="D484" s="22"/>
      <c r="E484" s="23"/>
      <c r="F484" s="22"/>
      <c r="G484" s="22"/>
      <c r="H484" s="16"/>
      <c r="I484" s="15" t="str">
        <f t="shared" si="79"/>
        <v xml:space="preserve"> </v>
      </c>
      <c r="J484" s="15" t="str">
        <f t="shared" si="80"/>
        <v xml:space="preserve"> </v>
      </c>
      <c r="K484" s="15"/>
      <c r="L484" s="15">
        <f t="shared" si="83"/>
        <v>0</v>
      </c>
      <c r="M484" s="5" t="str">
        <f t="shared" si="84"/>
        <v/>
      </c>
      <c r="N484" s="25" t="str">
        <f>IF(ISBLANK($E484)," ", COUNTIF($M$4:$M484,$M484))</f>
        <v xml:space="preserve"> </v>
      </c>
      <c r="O484" s="25" t="str">
        <f t="shared" si="81"/>
        <v xml:space="preserve"> </v>
      </c>
      <c r="P484" s="5" t="str">
        <f t="shared" si="85"/>
        <v/>
      </c>
      <c r="Q484" s="5" t="str">
        <f t="shared" si="86"/>
        <v/>
      </c>
      <c r="R484" s="5" t="str">
        <f t="shared" si="82"/>
        <v/>
      </c>
    </row>
    <row r="485" spans="1:18" ht="20.25" x14ac:dyDescent="0.3">
      <c r="A485" s="14"/>
      <c r="B485" s="15">
        <v>481</v>
      </c>
      <c r="C485" s="22"/>
      <c r="D485" s="22"/>
      <c r="E485" s="23"/>
      <c r="F485" s="22"/>
      <c r="G485" s="22"/>
      <c r="H485" s="16"/>
      <c r="I485" s="15" t="str">
        <f t="shared" si="79"/>
        <v xml:space="preserve"> </v>
      </c>
      <c r="J485" s="15" t="str">
        <f t="shared" si="80"/>
        <v xml:space="preserve"> </v>
      </c>
      <c r="K485" s="15"/>
      <c r="L485" s="15">
        <f t="shared" si="83"/>
        <v>0</v>
      </c>
      <c r="M485" s="5" t="str">
        <f t="shared" si="84"/>
        <v/>
      </c>
      <c r="N485" s="25" t="str">
        <f>IF(ISBLANK($E485)," ", COUNTIF($M$4:$M485,$M485))</f>
        <v xml:space="preserve"> </v>
      </c>
      <c r="O485" s="25" t="str">
        <f t="shared" si="81"/>
        <v xml:space="preserve"> </v>
      </c>
      <c r="P485" s="5" t="str">
        <f t="shared" si="85"/>
        <v/>
      </c>
      <c r="Q485" s="5" t="str">
        <f t="shared" si="86"/>
        <v/>
      </c>
      <c r="R485" s="5" t="str">
        <f t="shared" si="82"/>
        <v/>
      </c>
    </row>
    <row r="486" spans="1:18" ht="20.25" x14ac:dyDescent="0.3">
      <c r="A486" s="14"/>
      <c r="B486" s="15">
        <v>482</v>
      </c>
      <c r="C486" s="22"/>
      <c r="D486" s="22"/>
      <c r="E486" s="23"/>
      <c r="F486" s="22"/>
      <c r="G486" s="22"/>
      <c r="H486" s="16"/>
      <c r="I486" s="15" t="str">
        <f t="shared" si="79"/>
        <v xml:space="preserve"> </v>
      </c>
      <c r="J486" s="15" t="str">
        <f t="shared" si="80"/>
        <v xml:space="preserve"> </v>
      </c>
      <c r="K486" s="15"/>
      <c r="L486" s="15">
        <f t="shared" si="83"/>
        <v>0</v>
      </c>
      <c r="M486" s="5" t="str">
        <f t="shared" si="84"/>
        <v/>
      </c>
      <c r="N486" s="25" t="str">
        <f>IF(ISBLANK($E486)," ", COUNTIF($M$4:$M486,$M486))</f>
        <v xml:space="preserve"> </v>
      </c>
      <c r="O486" s="25" t="str">
        <f t="shared" si="81"/>
        <v xml:space="preserve"> </v>
      </c>
      <c r="P486" s="5" t="str">
        <f t="shared" si="85"/>
        <v/>
      </c>
      <c r="Q486" s="5" t="str">
        <f t="shared" si="86"/>
        <v/>
      </c>
      <c r="R486" s="5" t="str">
        <f t="shared" si="82"/>
        <v/>
      </c>
    </row>
    <row r="487" spans="1:18" ht="20.25" x14ac:dyDescent="0.3">
      <c r="A487" s="14"/>
      <c r="B487" s="15">
        <v>483</v>
      </c>
      <c r="C487" s="22"/>
      <c r="D487" s="22"/>
      <c r="E487" s="23"/>
      <c r="F487" s="22"/>
      <c r="G487" s="22"/>
      <c r="H487" s="16"/>
      <c r="I487" s="15" t="str">
        <f t="shared" si="79"/>
        <v xml:space="preserve"> </v>
      </c>
      <c r="J487" s="15" t="str">
        <f t="shared" si="80"/>
        <v xml:space="preserve"> </v>
      </c>
      <c r="K487" s="15"/>
      <c r="L487" s="15">
        <f t="shared" si="83"/>
        <v>0</v>
      </c>
      <c r="M487" s="5" t="str">
        <f t="shared" si="84"/>
        <v/>
      </c>
      <c r="N487" s="25" t="str">
        <f>IF(ISBLANK($E487)," ", COUNTIF($M$4:$M487,$M487))</f>
        <v xml:space="preserve"> </v>
      </c>
      <c r="O487" s="25" t="str">
        <f t="shared" si="81"/>
        <v xml:space="preserve"> </v>
      </c>
      <c r="P487" s="5" t="str">
        <f t="shared" si="85"/>
        <v/>
      </c>
      <c r="Q487" s="5" t="str">
        <f t="shared" si="86"/>
        <v/>
      </c>
      <c r="R487" s="5" t="str">
        <f t="shared" si="82"/>
        <v/>
      </c>
    </row>
    <row r="488" spans="1:18" ht="20.25" x14ac:dyDescent="0.3">
      <c r="A488" s="14"/>
      <c r="B488" s="15">
        <v>484</v>
      </c>
      <c r="C488" s="22"/>
      <c r="D488" s="22"/>
      <c r="E488" s="23"/>
      <c r="F488" s="22"/>
      <c r="G488" s="22"/>
      <c r="H488" s="16"/>
      <c r="I488" s="15" t="str">
        <f t="shared" si="79"/>
        <v xml:space="preserve"> </v>
      </c>
      <c r="J488" s="15" t="str">
        <f t="shared" si="80"/>
        <v xml:space="preserve"> </v>
      </c>
      <c r="K488" s="15"/>
      <c r="L488" s="15">
        <f t="shared" si="83"/>
        <v>0</v>
      </c>
      <c r="M488" s="5" t="str">
        <f t="shared" ref="M488:M551" si="87">IF(ISBLANK($E488),"",VLOOKUP($I488,PLAYERS_IDS,2,FALSE)*VLOOKUP($J488,PLAYERS_IDS,2,FALSE))</f>
        <v/>
      </c>
      <c r="N488" s="25" t="str">
        <f>IF(ISBLANK($E488)," ", COUNTIF($M$4:$M488,$M488))</f>
        <v xml:space="preserve"> </v>
      </c>
      <c r="O488" s="25" t="str">
        <f t="shared" si="81"/>
        <v xml:space="preserve"> </v>
      </c>
      <c r="P488" s="5" t="str">
        <f t="shared" ref="P488:P553" si="88">IF(ISBLANK($F488),"",VLOOKUP($C488,PLAYERS_IDS,2,FALSE)*VLOOKUP($D488,PLAYERS_IDS,2,FALSE))</f>
        <v/>
      </c>
      <c r="Q488" s="5" t="str">
        <f t="shared" ref="Q488:Q553" si="89">IF(ISBLANK($F488), "",VLOOKUP($F488,PLAYERS_IDS,2,FALSE)*VLOOKUP($G488,PLAYERS_IDS,2,FALSE))</f>
        <v/>
      </c>
      <c r="R488" s="5" t="str">
        <f t="shared" si="82"/>
        <v/>
      </c>
    </row>
    <row r="489" spans="1:18" ht="20.25" x14ac:dyDescent="0.3">
      <c r="A489" s="14"/>
      <c r="B489" s="15">
        <v>485</v>
      </c>
      <c r="C489" s="22"/>
      <c r="D489" s="22"/>
      <c r="E489" s="23"/>
      <c r="F489" s="22"/>
      <c r="G489" s="22"/>
      <c r="H489" s="16"/>
      <c r="I489" s="15" t="str">
        <f t="shared" si="79"/>
        <v xml:space="preserve"> </v>
      </c>
      <c r="J489" s="15" t="str">
        <f t="shared" si="80"/>
        <v xml:space="preserve"> </v>
      </c>
      <c r="K489" s="15"/>
      <c r="L489" s="15">
        <f t="shared" si="83"/>
        <v>0</v>
      </c>
      <c r="M489" s="5" t="str">
        <f t="shared" si="87"/>
        <v/>
      </c>
      <c r="N489" s="25" t="str">
        <f>IF(ISBLANK($E489)," ", COUNTIF($M$4:$M489,$M489))</f>
        <v xml:space="preserve"> </v>
      </c>
      <c r="O489" s="25" t="str">
        <f t="shared" si="81"/>
        <v xml:space="preserve"> </v>
      </c>
      <c r="P489" s="5" t="str">
        <f t="shared" si="88"/>
        <v/>
      </c>
      <c r="Q489" s="5" t="str">
        <f t="shared" si="89"/>
        <v/>
      </c>
      <c r="R489" s="5" t="str">
        <f t="shared" si="82"/>
        <v/>
      </c>
    </row>
    <row r="490" spans="1:18" ht="20.25" x14ac:dyDescent="0.3">
      <c r="A490" s="14"/>
      <c r="B490" s="15">
        <v>486</v>
      </c>
      <c r="C490" s="22"/>
      <c r="D490" s="22"/>
      <c r="E490" s="23"/>
      <c r="F490" s="22"/>
      <c r="G490" s="22"/>
      <c r="H490" s="16"/>
      <c r="I490" s="15" t="str">
        <f t="shared" si="79"/>
        <v xml:space="preserve"> </v>
      </c>
      <c r="J490" s="15" t="str">
        <f t="shared" si="80"/>
        <v xml:space="preserve"> </v>
      </c>
      <c r="K490" s="15"/>
      <c r="L490" s="15">
        <f t="shared" si="83"/>
        <v>0</v>
      </c>
      <c r="M490" s="5" t="str">
        <f t="shared" si="87"/>
        <v/>
      </c>
      <c r="N490" s="25" t="str">
        <f>IF(ISBLANK($E490)," ", COUNTIF($M$4:$M490,$M490))</f>
        <v xml:space="preserve"> </v>
      </c>
      <c r="O490" s="25" t="str">
        <f t="shared" si="81"/>
        <v xml:space="preserve"> </v>
      </c>
      <c r="P490" s="5" t="str">
        <f t="shared" si="88"/>
        <v/>
      </c>
      <c r="Q490" s="5" t="str">
        <f t="shared" si="89"/>
        <v/>
      </c>
      <c r="R490" s="5" t="str">
        <f t="shared" si="82"/>
        <v/>
      </c>
    </row>
    <row r="491" spans="1:18" ht="20.25" x14ac:dyDescent="0.3">
      <c r="A491" s="14"/>
      <c r="B491" s="15">
        <v>487</v>
      </c>
      <c r="C491" s="22"/>
      <c r="D491" s="22"/>
      <c r="E491" s="23"/>
      <c r="F491" s="22"/>
      <c r="G491" s="22"/>
      <c r="H491" s="16"/>
      <c r="I491" s="15" t="str">
        <f t="shared" si="79"/>
        <v xml:space="preserve"> </v>
      </c>
      <c r="J491" s="15" t="str">
        <f t="shared" si="80"/>
        <v xml:space="preserve"> </v>
      </c>
      <c r="K491" s="15"/>
      <c r="L491" s="15">
        <f t="shared" si="83"/>
        <v>0</v>
      </c>
      <c r="M491" s="5" t="str">
        <f t="shared" si="87"/>
        <v/>
      </c>
      <c r="N491" s="25" t="str">
        <f>IF(ISBLANK($E491)," ", COUNTIF($M$4:$M491,$M491))</f>
        <v xml:space="preserve"> </v>
      </c>
      <c r="O491" s="25" t="str">
        <f t="shared" si="81"/>
        <v xml:space="preserve"> </v>
      </c>
      <c r="P491" s="5" t="str">
        <f t="shared" si="88"/>
        <v/>
      </c>
      <c r="Q491" s="5" t="str">
        <f t="shared" si="89"/>
        <v/>
      </c>
      <c r="R491" s="5" t="str">
        <f t="shared" si="82"/>
        <v/>
      </c>
    </row>
    <row r="492" spans="1:18" ht="20.25" x14ac:dyDescent="0.3">
      <c r="A492" s="14"/>
      <c r="B492" s="15">
        <v>488</v>
      </c>
      <c r="C492" s="22"/>
      <c r="D492" s="22"/>
      <c r="E492" s="23"/>
      <c r="F492" s="22"/>
      <c r="G492" s="22"/>
      <c r="H492" s="16"/>
      <c r="I492" s="15" t="str">
        <f t="shared" si="79"/>
        <v xml:space="preserve"> </v>
      </c>
      <c r="J492" s="15" t="str">
        <f t="shared" si="80"/>
        <v xml:space="preserve"> </v>
      </c>
      <c r="K492" s="15"/>
      <c r="L492" s="15">
        <f t="shared" si="83"/>
        <v>0</v>
      </c>
      <c r="M492" s="5" t="str">
        <f t="shared" si="87"/>
        <v/>
      </c>
      <c r="N492" s="25" t="str">
        <f>IF(ISBLANK($E492)," ", COUNTIF($M$4:$M492,$M492))</f>
        <v xml:space="preserve"> </v>
      </c>
      <c r="O492" s="25" t="str">
        <f t="shared" si="81"/>
        <v xml:space="preserve"> </v>
      </c>
      <c r="P492" s="5" t="str">
        <f t="shared" si="88"/>
        <v/>
      </c>
      <c r="Q492" s="5" t="str">
        <f t="shared" si="89"/>
        <v/>
      </c>
      <c r="R492" s="5" t="str">
        <f t="shared" si="82"/>
        <v/>
      </c>
    </row>
    <row r="493" spans="1:18" ht="20.25" x14ac:dyDescent="0.3">
      <c r="A493" s="14"/>
      <c r="B493" s="15">
        <v>489</v>
      </c>
      <c r="C493" s="22"/>
      <c r="D493" s="22"/>
      <c r="E493" s="23"/>
      <c r="F493" s="22"/>
      <c r="G493" s="22"/>
      <c r="H493" s="16"/>
      <c r="I493" s="15" t="str">
        <f t="shared" si="79"/>
        <v xml:space="preserve"> </v>
      </c>
      <c r="J493" s="15" t="str">
        <f t="shared" si="80"/>
        <v xml:space="preserve"> </v>
      </c>
      <c r="K493" s="15"/>
      <c r="L493" s="15">
        <f t="shared" si="83"/>
        <v>0</v>
      </c>
      <c r="M493" s="5" t="str">
        <f t="shared" si="87"/>
        <v/>
      </c>
      <c r="N493" s="25" t="str">
        <f>IF(ISBLANK($E493)," ", COUNTIF($M$4:$M493,$M493))</f>
        <v xml:space="preserve"> </v>
      </c>
      <c r="O493" s="25" t="str">
        <f t="shared" si="81"/>
        <v xml:space="preserve"> </v>
      </c>
      <c r="P493" s="5" t="str">
        <f t="shared" si="88"/>
        <v/>
      </c>
      <c r="Q493" s="5" t="str">
        <f t="shared" si="89"/>
        <v/>
      </c>
      <c r="R493" s="5" t="str">
        <f t="shared" si="82"/>
        <v/>
      </c>
    </row>
    <row r="494" spans="1:18" ht="20.25" x14ac:dyDescent="0.3">
      <c r="A494" s="14"/>
      <c r="B494" s="15">
        <v>490</v>
      </c>
      <c r="C494" s="22"/>
      <c r="D494" s="22"/>
      <c r="E494" s="23"/>
      <c r="F494" s="22"/>
      <c r="G494" s="22"/>
      <c r="H494" s="16"/>
      <c r="I494" s="15" t="str">
        <f t="shared" si="79"/>
        <v xml:space="preserve"> </v>
      </c>
      <c r="J494" s="15" t="str">
        <f t="shared" si="80"/>
        <v xml:space="preserve"> </v>
      </c>
      <c r="K494" s="15"/>
      <c r="L494" s="15">
        <f t="shared" si="83"/>
        <v>0</v>
      </c>
      <c r="M494" s="5" t="str">
        <f t="shared" si="87"/>
        <v/>
      </c>
      <c r="N494" s="25" t="str">
        <f>IF(ISBLANK($E494)," ", COUNTIF($M$4:$M494,$M494))</f>
        <v xml:space="preserve"> </v>
      </c>
      <c r="O494" s="25" t="str">
        <f t="shared" si="81"/>
        <v xml:space="preserve"> </v>
      </c>
      <c r="P494" s="5" t="str">
        <f t="shared" si="88"/>
        <v/>
      </c>
      <c r="Q494" s="5" t="str">
        <f t="shared" si="89"/>
        <v/>
      </c>
      <c r="R494" s="5" t="str">
        <f t="shared" si="82"/>
        <v/>
      </c>
    </row>
    <row r="495" spans="1:18" ht="20.25" x14ac:dyDescent="0.3">
      <c r="A495" s="14"/>
      <c r="B495" s="15">
        <v>491</v>
      </c>
      <c r="C495" s="22"/>
      <c r="D495" s="22"/>
      <c r="E495" s="23"/>
      <c r="F495" s="22"/>
      <c r="G495" s="22"/>
      <c r="H495" s="16"/>
      <c r="I495" s="15" t="str">
        <f t="shared" si="79"/>
        <v xml:space="preserve"> </v>
      </c>
      <c r="J495" s="15" t="str">
        <f t="shared" si="80"/>
        <v xml:space="preserve"> </v>
      </c>
      <c r="K495" s="15"/>
      <c r="L495" s="15">
        <f t="shared" si="83"/>
        <v>0</v>
      </c>
      <c r="M495" s="5" t="str">
        <f t="shared" si="87"/>
        <v/>
      </c>
      <c r="N495" s="25" t="str">
        <f>IF(ISBLANK($E495)," ", COUNTIF($M$4:$M495,$M495))</f>
        <v xml:space="preserve"> </v>
      </c>
      <c r="O495" s="25" t="str">
        <f t="shared" si="81"/>
        <v xml:space="preserve"> </v>
      </c>
      <c r="P495" s="5" t="str">
        <f t="shared" si="88"/>
        <v/>
      </c>
      <c r="Q495" s="5" t="str">
        <f t="shared" si="89"/>
        <v/>
      </c>
      <c r="R495" s="5" t="str">
        <f t="shared" si="82"/>
        <v/>
      </c>
    </row>
    <row r="496" spans="1:18" ht="20.25" x14ac:dyDescent="0.3">
      <c r="A496" s="14"/>
      <c r="B496" s="15">
        <v>492</v>
      </c>
      <c r="C496" s="22"/>
      <c r="D496" s="22"/>
      <c r="E496" s="23"/>
      <c r="F496" s="22"/>
      <c r="G496" s="22"/>
      <c r="H496" s="16"/>
      <c r="I496" s="15" t="str">
        <f t="shared" si="79"/>
        <v xml:space="preserve"> </v>
      </c>
      <c r="J496" s="15" t="str">
        <f t="shared" si="80"/>
        <v xml:space="preserve"> </v>
      </c>
      <c r="K496" s="15"/>
      <c r="L496" s="15">
        <f t="shared" si="83"/>
        <v>0</v>
      </c>
      <c r="M496" s="5" t="str">
        <f t="shared" si="87"/>
        <v/>
      </c>
      <c r="N496" s="25" t="str">
        <f>IF(ISBLANK($E496)," ", COUNTIF($M$4:$M496,$M496))</f>
        <v xml:space="preserve"> </v>
      </c>
      <c r="O496" s="25" t="str">
        <f t="shared" si="81"/>
        <v xml:space="preserve"> </v>
      </c>
      <c r="P496" s="5" t="str">
        <f t="shared" si="88"/>
        <v/>
      </c>
      <c r="Q496" s="5" t="str">
        <f t="shared" si="89"/>
        <v/>
      </c>
      <c r="R496" s="5" t="str">
        <f t="shared" si="82"/>
        <v/>
      </c>
    </row>
    <row r="497" spans="1:18" ht="20.25" x14ac:dyDescent="0.3">
      <c r="A497" s="14"/>
      <c r="B497" s="15">
        <v>493</v>
      </c>
      <c r="C497" s="22"/>
      <c r="D497" s="22"/>
      <c r="E497" s="23"/>
      <c r="F497" s="22"/>
      <c r="G497" s="22"/>
      <c r="H497" s="16"/>
      <c r="I497" s="15" t="str">
        <f t="shared" si="79"/>
        <v xml:space="preserve"> </v>
      </c>
      <c r="J497" s="15" t="str">
        <f t="shared" si="80"/>
        <v xml:space="preserve"> </v>
      </c>
      <c r="K497" s="15"/>
      <c r="L497" s="15">
        <f t="shared" si="83"/>
        <v>0</v>
      </c>
      <c r="M497" s="5" t="str">
        <f t="shared" si="87"/>
        <v/>
      </c>
      <c r="N497" s="25" t="str">
        <f>IF(ISBLANK($E497)," ", COUNTIF($M$4:$M497,$M497))</f>
        <v xml:space="preserve"> </v>
      </c>
      <c r="O497" s="25" t="str">
        <f t="shared" si="81"/>
        <v xml:space="preserve"> </v>
      </c>
      <c r="P497" s="5" t="str">
        <f t="shared" si="88"/>
        <v/>
      </c>
      <c r="Q497" s="5" t="str">
        <f t="shared" si="89"/>
        <v/>
      </c>
      <c r="R497" s="5" t="str">
        <f t="shared" si="82"/>
        <v/>
      </c>
    </row>
    <row r="498" spans="1:18" ht="20.25" x14ac:dyDescent="0.3">
      <c r="A498" s="14"/>
      <c r="B498" s="15">
        <v>494</v>
      </c>
      <c r="C498" s="22"/>
      <c r="D498" s="22"/>
      <c r="E498" s="23"/>
      <c r="F498" s="22"/>
      <c r="G498" s="22"/>
      <c r="H498" s="16"/>
      <c r="I498" s="15" t="str">
        <f t="shared" si="79"/>
        <v xml:space="preserve"> </v>
      </c>
      <c r="J498" s="15" t="str">
        <f t="shared" si="80"/>
        <v xml:space="preserve"> </v>
      </c>
      <c r="K498" s="15"/>
      <c r="L498" s="15">
        <f t="shared" si="83"/>
        <v>0</v>
      </c>
      <c r="M498" s="5" t="str">
        <f t="shared" si="87"/>
        <v/>
      </c>
      <c r="N498" s="25" t="str">
        <f>IF(ISBLANK($E498)," ", COUNTIF($M$4:$M498,$M498))</f>
        <v xml:space="preserve"> </v>
      </c>
      <c r="O498" s="25" t="str">
        <f t="shared" si="81"/>
        <v xml:space="preserve"> </v>
      </c>
      <c r="P498" s="5" t="str">
        <f t="shared" si="88"/>
        <v/>
      </c>
      <c r="Q498" s="5" t="str">
        <f t="shared" si="89"/>
        <v/>
      </c>
      <c r="R498" s="5" t="str">
        <f t="shared" si="82"/>
        <v/>
      </c>
    </row>
    <row r="499" spans="1:18" ht="20.25" x14ac:dyDescent="0.3">
      <c r="A499" s="14"/>
      <c r="B499" s="15">
        <v>495</v>
      </c>
      <c r="C499" s="22"/>
      <c r="D499" s="22"/>
      <c r="E499" s="23"/>
      <c r="F499" s="22"/>
      <c r="G499" s="22"/>
      <c r="H499" s="16"/>
      <c r="I499" s="15" t="str">
        <f t="shared" si="79"/>
        <v xml:space="preserve"> </v>
      </c>
      <c r="J499" s="15" t="str">
        <f t="shared" si="80"/>
        <v xml:space="preserve"> </v>
      </c>
      <c r="K499" s="15"/>
      <c r="L499" s="15">
        <f t="shared" si="83"/>
        <v>0</v>
      </c>
      <c r="M499" s="5" t="str">
        <f t="shared" si="87"/>
        <v/>
      </c>
      <c r="N499" s="25" t="str">
        <f>IF(ISBLANK($E499)," ", COUNTIF($M$4:$M499,$M499))</f>
        <v xml:space="preserve"> </v>
      </c>
      <c r="O499" s="25" t="str">
        <f t="shared" si="81"/>
        <v xml:space="preserve"> </v>
      </c>
      <c r="P499" s="5" t="str">
        <f t="shared" si="88"/>
        <v/>
      </c>
      <c r="Q499" s="5" t="str">
        <f t="shared" si="89"/>
        <v/>
      </c>
      <c r="R499" s="5" t="str">
        <f t="shared" si="82"/>
        <v/>
      </c>
    </row>
    <row r="500" spans="1:18" ht="20.25" x14ac:dyDescent="0.3">
      <c r="A500" s="14"/>
      <c r="B500" s="15">
        <v>496</v>
      </c>
      <c r="C500" s="15"/>
      <c r="D500" s="15"/>
      <c r="E500" s="16"/>
      <c r="F500" s="15"/>
      <c r="G500" s="15"/>
      <c r="H500" s="16"/>
      <c r="I500" s="15" t="str">
        <f t="shared" si="79"/>
        <v xml:space="preserve"> </v>
      </c>
      <c r="J500" s="15" t="str">
        <f t="shared" si="80"/>
        <v xml:space="preserve"> </v>
      </c>
      <c r="K500" s="15"/>
      <c r="L500" s="15">
        <f t="shared" si="83"/>
        <v>0</v>
      </c>
      <c r="M500" s="5" t="str">
        <f t="shared" si="87"/>
        <v/>
      </c>
      <c r="N500" s="25" t="str">
        <f>IF(ISBLANK($E500)," ", COUNTIF($M$4:$M500,$M500))</f>
        <v xml:space="preserve"> </v>
      </c>
      <c r="O500" s="25" t="str">
        <f t="shared" si="81"/>
        <v xml:space="preserve"> </v>
      </c>
      <c r="P500" s="5" t="str">
        <f t="shared" si="88"/>
        <v/>
      </c>
      <c r="Q500" s="5" t="str">
        <f t="shared" si="89"/>
        <v/>
      </c>
      <c r="R500" s="5" t="str">
        <f t="shared" si="82"/>
        <v/>
      </c>
    </row>
    <row r="501" spans="1:18" ht="20.25" x14ac:dyDescent="0.3">
      <c r="A501" s="14"/>
      <c r="B501" s="15">
        <v>497</v>
      </c>
      <c r="C501" s="15"/>
      <c r="D501" s="15"/>
      <c r="E501" s="16"/>
      <c r="F501" s="15"/>
      <c r="G501" s="15"/>
      <c r="H501" s="16"/>
      <c r="I501" s="15" t="str">
        <f t="shared" si="79"/>
        <v xml:space="preserve"> </v>
      </c>
      <c r="J501" s="15" t="str">
        <f t="shared" si="80"/>
        <v xml:space="preserve"> </v>
      </c>
      <c r="K501" s="15"/>
      <c r="L501" s="15">
        <f t="shared" si="83"/>
        <v>0</v>
      </c>
      <c r="M501" s="5" t="str">
        <f t="shared" si="87"/>
        <v/>
      </c>
      <c r="N501" s="25" t="str">
        <f>IF(ISBLANK($E501)," ", COUNTIF($M$4:$M501,$M501))</f>
        <v xml:space="preserve"> </v>
      </c>
      <c r="O501" s="25" t="str">
        <f t="shared" si="81"/>
        <v xml:space="preserve"> </v>
      </c>
      <c r="P501" s="5" t="str">
        <f t="shared" si="88"/>
        <v/>
      </c>
      <c r="Q501" s="5" t="str">
        <f t="shared" si="89"/>
        <v/>
      </c>
      <c r="R501" s="5" t="str">
        <f t="shared" si="82"/>
        <v/>
      </c>
    </row>
    <row r="502" spans="1:18" ht="20.25" x14ac:dyDescent="0.3">
      <c r="A502" s="14"/>
      <c r="B502" s="15">
        <v>498</v>
      </c>
      <c r="C502" s="15"/>
      <c r="D502" s="15"/>
      <c r="E502" s="16"/>
      <c r="F502" s="15"/>
      <c r="G502" s="15"/>
      <c r="H502" s="16"/>
      <c r="I502" s="15" t="str">
        <f t="shared" si="79"/>
        <v xml:space="preserve"> </v>
      </c>
      <c r="J502" s="15" t="str">
        <f t="shared" si="80"/>
        <v xml:space="preserve"> </v>
      </c>
      <c r="K502" s="15"/>
      <c r="L502" s="15">
        <f t="shared" si="83"/>
        <v>0</v>
      </c>
      <c r="M502" s="5" t="str">
        <f t="shared" si="87"/>
        <v/>
      </c>
      <c r="N502" s="25" t="str">
        <f>IF(ISBLANK($E502)," ", COUNTIF($M$4:$M502,$M502))</f>
        <v xml:space="preserve"> </v>
      </c>
      <c r="O502" s="25" t="str">
        <f t="shared" si="81"/>
        <v xml:space="preserve"> </v>
      </c>
      <c r="P502" s="5" t="str">
        <f t="shared" si="88"/>
        <v/>
      </c>
      <c r="Q502" s="5" t="str">
        <f t="shared" si="89"/>
        <v/>
      </c>
      <c r="R502" s="5" t="str">
        <f t="shared" si="82"/>
        <v/>
      </c>
    </row>
    <row r="503" spans="1:18" ht="20.25" x14ac:dyDescent="0.3">
      <c r="A503" s="14"/>
      <c r="B503" s="15">
        <v>499</v>
      </c>
      <c r="C503" s="15"/>
      <c r="D503" s="15"/>
      <c r="E503" s="16"/>
      <c r="F503" s="15"/>
      <c r="G503" s="15"/>
      <c r="H503" s="16"/>
      <c r="I503" s="15" t="str">
        <f t="shared" si="79"/>
        <v xml:space="preserve"> </v>
      </c>
      <c r="J503" s="15" t="str">
        <f t="shared" si="80"/>
        <v xml:space="preserve"> </v>
      </c>
      <c r="K503" s="15"/>
      <c r="L503" s="15">
        <f t="shared" si="83"/>
        <v>0</v>
      </c>
      <c r="M503" s="5" t="str">
        <f t="shared" si="87"/>
        <v/>
      </c>
      <c r="N503" s="25" t="str">
        <f>IF(ISBLANK($E503)," ", COUNTIF($M$4:$M503,$M503))</f>
        <v xml:space="preserve"> </v>
      </c>
      <c r="O503" s="25" t="str">
        <f t="shared" si="81"/>
        <v xml:space="preserve"> </v>
      </c>
      <c r="P503" s="5" t="str">
        <f t="shared" si="88"/>
        <v/>
      </c>
      <c r="Q503" s="5" t="str">
        <f t="shared" si="89"/>
        <v/>
      </c>
      <c r="R503" s="5" t="str">
        <f t="shared" si="82"/>
        <v/>
      </c>
    </row>
    <row r="504" spans="1:18" ht="20.25" x14ac:dyDescent="0.3">
      <c r="A504" s="14"/>
      <c r="B504" s="15">
        <v>500</v>
      </c>
      <c r="C504" s="15"/>
      <c r="D504" s="15"/>
      <c r="E504" s="16"/>
      <c r="F504" s="15"/>
      <c r="G504" s="15"/>
      <c r="H504" s="16"/>
      <c r="I504" s="15" t="str">
        <f t="shared" si="79"/>
        <v xml:space="preserve"> </v>
      </c>
      <c r="J504" s="15" t="str">
        <f t="shared" si="80"/>
        <v xml:space="preserve"> </v>
      </c>
      <c r="K504" s="15"/>
      <c r="L504" s="15">
        <f t="shared" si="83"/>
        <v>0</v>
      </c>
      <c r="M504" s="5" t="str">
        <f t="shared" si="87"/>
        <v/>
      </c>
      <c r="N504" s="25" t="str">
        <f>IF(ISBLANK($E504)," ", COUNTIF($M$4:$M504,$M504))</f>
        <v xml:space="preserve"> </v>
      </c>
      <c r="O504" s="25" t="str">
        <f t="shared" si="81"/>
        <v xml:space="preserve"> </v>
      </c>
      <c r="P504" s="5" t="str">
        <f t="shared" si="88"/>
        <v/>
      </c>
      <c r="Q504" s="5" t="str">
        <f t="shared" si="89"/>
        <v/>
      </c>
      <c r="R504" s="5" t="str">
        <f t="shared" si="82"/>
        <v/>
      </c>
    </row>
    <row r="505" spans="1:18" ht="20.25" x14ac:dyDescent="0.3">
      <c r="A505" s="14"/>
      <c r="B505" s="15">
        <v>501</v>
      </c>
      <c r="C505" s="15"/>
      <c r="D505" s="15"/>
      <c r="E505" s="16"/>
      <c r="F505" s="15"/>
      <c r="G505" s="15"/>
      <c r="H505" s="16"/>
      <c r="I505" s="15" t="str">
        <f t="shared" si="79"/>
        <v xml:space="preserve"> </v>
      </c>
      <c r="J505" s="15" t="str">
        <f t="shared" si="80"/>
        <v xml:space="preserve"> </v>
      </c>
      <c r="K505" s="15"/>
      <c r="L505" s="15">
        <f t="shared" si="83"/>
        <v>0</v>
      </c>
      <c r="M505" s="5" t="str">
        <f t="shared" si="87"/>
        <v/>
      </c>
      <c r="N505" s="25" t="str">
        <f>IF(ISBLANK($E505)," ", COUNTIF($M$4:$M505,$M505))</f>
        <v xml:space="preserve"> </v>
      </c>
      <c r="O505" s="25" t="str">
        <f t="shared" si="81"/>
        <v xml:space="preserve"> </v>
      </c>
      <c r="P505" s="5" t="str">
        <f t="shared" si="88"/>
        <v/>
      </c>
      <c r="Q505" s="5" t="str">
        <f t="shared" si="89"/>
        <v/>
      </c>
      <c r="R505" s="5" t="str">
        <f t="shared" si="82"/>
        <v/>
      </c>
    </row>
    <row r="506" spans="1:18" ht="20.25" x14ac:dyDescent="0.3">
      <c r="A506" s="14"/>
      <c r="B506" s="15">
        <v>502</v>
      </c>
      <c r="C506" s="15"/>
      <c r="D506" s="15"/>
      <c r="E506" s="16"/>
      <c r="F506" s="15"/>
      <c r="G506" s="15"/>
      <c r="H506" s="16"/>
      <c r="I506" s="15" t="str">
        <f t="shared" si="79"/>
        <v xml:space="preserve"> </v>
      </c>
      <c r="J506" s="15" t="str">
        <f t="shared" si="80"/>
        <v xml:space="preserve"> </v>
      </c>
      <c r="K506" s="15"/>
      <c r="L506" s="15">
        <f t="shared" si="83"/>
        <v>0</v>
      </c>
      <c r="M506" s="5" t="str">
        <f t="shared" si="87"/>
        <v/>
      </c>
      <c r="N506" s="25" t="str">
        <f>IF(ISBLANK($E506)," ", COUNTIF($M$4:$M506,$M506))</f>
        <v xml:space="preserve"> </v>
      </c>
      <c r="O506" s="25" t="str">
        <f t="shared" si="81"/>
        <v xml:space="preserve"> </v>
      </c>
      <c r="P506" s="5" t="str">
        <f t="shared" si="88"/>
        <v/>
      </c>
      <c r="Q506" s="5" t="str">
        <f t="shared" si="89"/>
        <v/>
      </c>
      <c r="R506" s="5" t="str">
        <f t="shared" si="82"/>
        <v/>
      </c>
    </row>
    <row r="507" spans="1:18" ht="20.25" x14ac:dyDescent="0.3">
      <c r="A507" s="14"/>
      <c r="B507" s="15">
        <v>503</v>
      </c>
      <c r="C507" s="15"/>
      <c r="D507" s="15"/>
      <c r="E507" s="16"/>
      <c r="F507" s="15"/>
      <c r="G507" s="15"/>
      <c r="H507" s="16"/>
      <c r="I507" s="15" t="str">
        <f t="shared" si="79"/>
        <v xml:space="preserve"> </v>
      </c>
      <c r="J507" s="15" t="str">
        <f t="shared" si="80"/>
        <v xml:space="preserve"> </v>
      </c>
      <c r="K507" s="15"/>
      <c r="L507" s="15">
        <f t="shared" si="83"/>
        <v>0</v>
      </c>
      <c r="M507" s="5" t="str">
        <f t="shared" si="87"/>
        <v/>
      </c>
      <c r="N507" s="25" t="str">
        <f>IF(ISBLANK($E507)," ", COUNTIF($M$4:$M507,$M507))</f>
        <v xml:space="preserve"> </v>
      </c>
      <c r="O507" s="25" t="str">
        <f t="shared" si="81"/>
        <v xml:space="preserve"> </v>
      </c>
      <c r="P507" s="5" t="str">
        <f t="shared" si="88"/>
        <v/>
      </c>
      <c r="Q507" s="5" t="str">
        <f t="shared" si="89"/>
        <v/>
      </c>
      <c r="R507" s="5" t="str">
        <f t="shared" si="82"/>
        <v/>
      </c>
    </row>
    <row r="508" spans="1:18" ht="20.25" x14ac:dyDescent="0.3">
      <c r="A508" s="14"/>
      <c r="B508" s="15">
        <v>504</v>
      </c>
      <c r="C508" s="15"/>
      <c r="D508" s="15"/>
      <c r="E508" s="16"/>
      <c r="F508" s="15"/>
      <c r="G508" s="15"/>
      <c r="H508" s="16"/>
      <c r="I508" s="15" t="str">
        <f t="shared" si="79"/>
        <v xml:space="preserve"> </v>
      </c>
      <c r="J508" s="15" t="str">
        <f t="shared" si="80"/>
        <v xml:space="preserve"> </v>
      </c>
      <c r="K508" s="15"/>
      <c r="L508" s="15">
        <f t="shared" si="83"/>
        <v>0</v>
      </c>
      <c r="M508" s="5" t="str">
        <f t="shared" si="87"/>
        <v/>
      </c>
      <c r="N508" s="25" t="str">
        <f>IF(ISBLANK($E508)," ", COUNTIF($M$4:$M508,$M508))</f>
        <v xml:space="preserve"> </v>
      </c>
      <c r="O508" s="25" t="str">
        <f t="shared" si="81"/>
        <v xml:space="preserve"> </v>
      </c>
      <c r="P508" s="5" t="str">
        <f t="shared" si="88"/>
        <v/>
      </c>
      <c r="Q508" s="5" t="str">
        <f t="shared" si="89"/>
        <v/>
      </c>
      <c r="R508" s="5" t="str">
        <f t="shared" si="82"/>
        <v/>
      </c>
    </row>
    <row r="509" spans="1:18" ht="20.25" x14ac:dyDescent="0.3">
      <c r="A509" s="14"/>
      <c r="B509" s="15">
        <v>505</v>
      </c>
      <c r="C509" s="15"/>
      <c r="D509" s="15"/>
      <c r="E509" s="16"/>
      <c r="F509" s="15"/>
      <c r="G509" s="15"/>
      <c r="H509" s="16"/>
      <c r="I509" s="15" t="str">
        <f t="shared" si="79"/>
        <v xml:space="preserve"> </v>
      </c>
      <c r="J509" s="15" t="str">
        <f t="shared" si="80"/>
        <v xml:space="preserve"> </v>
      </c>
      <c r="K509" s="15"/>
      <c r="L509" s="15">
        <f t="shared" si="83"/>
        <v>0</v>
      </c>
      <c r="M509" s="5" t="str">
        <f t="shared" si="87"/>
        <v/>
      </c>
      <c r="N509" s="25" t="str">
        <f>IF(ISBLANK($E509)," ", COUNTIF($M$4:$M509,$M509))</f>
        <v xml:space="preserve"> </v>
      </c>
      <c r="O509" s="25" t="str">
        <f t="shared" si="81"/>
        <v xml:space="preserve"> </v>
      </c>
      <c r="P509" s="5" t="str">
        <f t="shared" si="88"/>
        <v/>
      </c>
      <c r="Q509" s="5" t="str">
        <f t="shared" si="89"/>
        <v/>
      </c>
      <c r="R509" s="5" t="str">
        <f t="shared" si="82"/>
        <v/>
      </c>
    </row>
    <row r="510" spans="1:18" ht="20.25" x14ac:dyDescent="0.3">
      <c r="A510" s="14"/>
      <c r="B510" s="15">
        <v>506</v>
      </c>
      <c r="C510" s="15"/>
      <c r="D510" s="15"/>
      <c r="E510" s="16"/>
      <c r="F510" s="15"/>
      <c r="G510" s="15"/>
      <c r="H510" s="16"/>
      <c r="I510" s="15" t="str">
        <f t="shared" si="79"/>
        <v xml:space="preserve"> </v>
      </c>
      <c r="J510" s="15" t="str">
        <f t="shared" si="80"/>
        <v xml:space="preserve"> </v>
      </c>
      <c r="K510" s="15"/>
      <c r="L510" s="15">
        <f t="shared" si="83"/>
        <v>0</v>
      </c>
      <c r="M510" s="5" t="str">
        <f t="shared" si="87"/>
        <v/>
      </c>
      <c r="N510" s="25" t="str">
        <f>IF(ISBLANK($E510)," ", COUNTIF($M$4:$M510,$M510))</f>
        <v xml:space="preserve"> </v>
      </c>
      <c r="O510" s="25" t="str">
        <f t="shared" si="81"/>
        <v xml:space="preserve"> </v>
      </c>
      <c r="P510" s="5" t="str">
        <f t="shared" si="88"/>
        <v/>
      </c>
      <c r="Q510" s="5" t="str">
        <f t="shared" si="89"/>
        <v/>
      </c>
      <c r="R510" s="5" t="str">
        <f t="shared" si="82"/>
        <v/>
      </c>
    </row>
    <row r="511" spans="1:18" ht="20.25" x14ac:dyDescent="0.3">
      <c r="A511" s="14"/>
      <c r="B511" s="15">
        <v>507</v>
      </c>
      <c r="C511" s="15"/>
      <c r="D511" s="15"/>
      <c r="E511" s="16"/>
      <c r="F511" s="15"/>
      <c r="G511" s="15"/>
      <c r="H511" s="16"/>
      <c r="I511" s="15" t="str">
        <f t="shared" si="79"/>
        <v xml:space="preserve"> </v>
      </c>
      <c r="J511" s="15" t="str">
        <f t="shared" si="80"/>
        <v xml:space="preserve"> </v>
      </c>
      <c r="K511" s="15"/>
      <c r="L511" s="15">
        <f t="shared" si="83"/>
        <v>0</v>
      </c>
      <c r="M511" s="5" t="str">
        <f t="shared" si="87"/>
        <v/>
      </c>
      <c r="N511" s="25" t="str">
        <f>IF(ISBLANK($E511)," ", COUNTIF($M$4:$M511,$M511))</f>
        <v xml:space="preserve"> </v>
      </c>
      <c r="O511" s="25" t="str">
        <f t="shared" si="81"/>
        <v xml:space="preserve"> </v>
      </c>
      <c r="P511" s="5" t="str">
        <f t="shared" si="88"/>
        <v/>
      </c>
      <c r="Q511" s="5" t="str">
        <f t="shared" si="89"/>
        <v/>
      </c>
      <c r="R511" s="5" t="str">
        <f t="shared" si="82"/>
        <v/>
      </c>
    </row>
    <row r="512" spans="1:18" ht="20.25" x14ac:dyDescent="0.3">
      <c r="A512" s="14"/>
      <c r="B512" s="15">
        <v>508</v>
      </c>
      <c r="C512" s="15"/>
      <c r="D512" s="15"/>
      <c r="E512" s="16"/>
      <c r="F512" s="15"/>
      <c r="G512" s="15"/>
      <c r="H512" s="16"/>
      <c r="I512" s="15" t="str">
        <f t="shared" si="79"/>
        <v xml:space="preserve"> </v>
      </c>
      <c r="J512" s="15" t="str">
        <f t="shared" si="80"/>
        <v xml:space="preserve"> </v>
      </c>
      <c r="K512" s="15"/>
      <c r="L512" s="15">
        <f t="shared" si="83"/>
        <v>0</v>
      </c>
      <c r="M512" s="5" t="str">
        <f t="shared" si="87"/>
        <v/>
      </c>
      <c r="N512" s="25" t="str">
        <f>IF(ISBLANK($E512)," ", COUNTIF($M$4:$M512,$M512))</f>
        <v xml:space="preserve"> </v>
      </c>
      <c r="O512" s="25" t="str">
        <f t="shared" si="81"/>
        <v xml:space="preserve"> </v>
      </c>
      <c r="P512" s="5" t="str">
        <f t="shared" si="88"/>
        <v/>
      </c>
      <c r="Q512" s="5" t="str">
        <f t="shared" si="89"/>
        <v/>
      </c>
      <c r="R512" s="5" t="str">
        <f t="shared" si="82"/>
        <v/>
      </c>
    </row>
    <row r="513" spans="1:18" ht="20.25" x14ac:dyDescent="0.3">
      <c r="A513" s="14"/>
      <c r="B513" s="15">
        <v>509</v>
      </c>
      <c r="C513" s="15"/>
      <c r="D513" s="15"/>
      <c r="E513" s="16"/>
      <c r="F513" s="15"/>
      <c r="G513" s="15"/>
      <c r="H513" s="16"/>
      <c r="I513" s="15" t="str">
        <f t="shared" ref="I513:I576" si="90">IF(ISBLANK($E513)," ",IF($E513&gt;$H513,$C513,$F513))</f>
        <v xml:space="preserve"> </v>
      </c>
      <c r="J513" s="15" t="str">
        <f t="shared" ref="J513:J576" si="91">IF(ISBLANK($E513)," ",IF($E513&gt;$H513,$D513,$G513))</f>
        <v xml:space="preserve"> </v>
      </c>
      <c r="K513" s="15"/>
      <c r="L513" s="15">
        <f t="shared" si="83"/>
        <v>0</v>
      </c>
      <c r="M513" s="5" t="str">
        <f t="shared" si="87"/>
        <v/>
      </c>
      <c r="N513" s="25" t="str">
        <f>IF(ISBLANK($E513)," ", COUNTIF($M$4:$M513,$M513))</f>
        <v xml:space="preserve"> </v>
      </c>
      <c r="O513" s="25" t="str">
        <f t="shared" ref="O513:O576" si="92">IF(N513 =" ", " ", IF(N513=1,15,(IF(N513=2,15,(IF(N513=3,15,15))))))</f>
        <v xml:space="preserve"> </v>
      </c>
      <c r="P513" s="5" t="str">
        <f t="shared" si="88"/>
        <v/>
      </c>
      <c r="Q513" s="5" t="str">
        <f t="shared" si="89"/>
        <v/>
      </c>
      <c r="R513" s="5" t="str">
        <f t="shared" ref="R513:R577" si="93">IFERROR((P513*100000)+Q513,"")</f>
        <v/>
      </c>
    </row>
    <row r="514" spans="1:18" ht="20.25" x14ac:dyDescent="0.3">
      <c r="A514" s="14"/>
      <c r="B514" s="15">
        <v>510</v>
      </c>
      <c r="C514" s="15"/>
      <c r="D514" s="15"/>
      <c r="E514" s="16"/>
      <c r="F514" s="15"/>
      <c r="G514" s="15"/>
      <c r="H514" s="16"/>
      <c r="I514" s="15" t="str">
        <f t="shared" si="90"/>
        <v xml:space="preserve"> </v>
      </c>
      <c r="J514" s="15" t="str">
        <f t="shared" si="91"/>
        <v xml:space="preserve"> </v>
      </c>
      <c r="K514" s="15"/>
      <c r="L514" s="15">
        <f t="shared" ref="L514:L577" si="94">E514-H514</f>
        <v>0</v>
      </c>
      <c r="M514" s="5" t="str">
        <f t="shared" si="87"/>
        <v/>
      </c>
      <c r="N514" s="25" t="str">
        <f>IF(ISBLANK($E514)," ", COUNTIF($M$4:$M514,$M514))</f>
        <v xml:space="preserve"> </v>
      </c>
      <c r="O514" s="25" t="str">
        <f t="shared" si="92"/>
        <v xml:space="preserve"> </v>
      </c>
      <c r="P514" s="5" t="str">
        <f t="shared" si="88"/>
        <v/>
      </c>
      <c r="Q514" s="5" t="str">
        <f t="shared" si="89"/>
        <v/>
      </c>
      <c r="R514" s="5" t="str">
        <f t="shared" si="93"/>
        <v/>
      </c>
    </row>
    <row r="515" spans="1:18" ht="20.25" x14ac:dyDescent="0.3">
      <c r="A515" s="14"/>
      <c r="B515" s="15">
        <v>511</v>
      </c>
      <c r="C515" s="15"/>
      <c r="D515" s="15"/>
      <c r="E515" s="16"/>
      <c r="F515" s="15"/>
      <c r="G515" s="15"/>
      <c r="H515" s="16"/>
      <c r="I515" s="15" t="str">
        <f t="shared" si="90"/>
        <v xml:space="preserve"> </v>
      </c>
      <c r="J515" s="15" t="str">
        <f t="shared" si="91"/>
        <v xml:space="preserve"> </v>
      </c>
      <c r="K515" s="15"/>
      <c r="L515" s="15">
        <f t="shared" si="94"/>
        <v>0</v>
      </c>
      <c r="M515" s="5" t="str">
        <f t="shared" si="87"/>
        <v/>
      </c>
      <c r="N515" s="25" t="str">
        <f>IF(ISBLANK($E515)," ", COUNTIF($M$4:$M515,$M515))</f>
        <v xml:space="preserve"> </v>
      </c>
      <c r="O515" s="25" t="str">
        <f t="shared" si="92"/>
        <v xml:space="preserve"> </v>
      </c>
      <c r="P515" s="5" t="str">
        <f t="shared" si="88"/>
        <v/>
      </c>
      <c r="Q515" s="5" t="str">
        <f t="shared" si="89"/>
        <v/>
      </c>
      <c r="R515" s="5" t="str">
        <f t="shared" si="93"/>
        <v/>
      </c>
    </row>
    <row r="516" spans="1:18" ht="20.25" x14ac:dyDescent="0.3">
      <c r="A516" s="14"/>
      <c r="B516" s="15">
        <v>512</v>
      </c>
      <c r="C516" s="15"/>
      <c r="D516" s="15"/>
      <c r="E516" s="16"/>
      <c r="F516" s="15"/>
      <c r="G516" s="15"/>
      <c r="H516" s="16"/>
      <c r="I516" s="15" t="str">
        <f t="shared" si="90"/>
        <v xml:space="preserve"> </v>
      </c>
      <c r="J516" s="15" t="str">
        <f t="shared" si="91"/>
        <v xml:space="preserve"> </v>
      </c>
      <c r="K516" s="15"/>
      <c r="L516" s="15">
        <f t="shared" si="94"/>
        <v>0</v>
      </c>
      <c r="M516" s="5" t="str">
        <f t="shared" si="87"/>
        <v/>
      </c>
      <c r="N516" s="25" t="str">
        <f>IF(ISBLANK($E516)," ", COUNTIF($M$4:$M516,$M516))</f>
        <v xml:space="preserve"> </v>
      </c>
      <c r="O516" s="25" t="str">
        <f t="shared" si="92"/>
        <v xml:space="preserve"> </v>
      </c>
      <c r="P516" s="5" t="str">
        <f t="shared" si="88"/>
        <v/>
      </c>
      <c r="Q516" s="5" t="str">
        <f t="shared" si="89"/>
        <v/>
      </c>
      <c r="R516" s="5" t="str">
        <f t="shared" si="93"/>
        <v/>
      </c>
    </row>
    <row r="517" spans="1:18" ht="20.25" x14ac:dyDescent="0.3">
      <c r="A517" s="14"/>
      <c r="B517" s="15">
        <v>513</v>
      </c>
      <c r="C517" s="15"/>
      <c r="D517" s="15"/>
      <c r="E517" s="16"/>
      <c r="F517" s="15"/>
      <c r="G517" s="15"/>
      <c r="H517" s="16"/>
      <c r="I517" s="15" t="str">
        <f t="shared" si="90"/>
        <v xml:space="preserve"> </v>
      </c>
      <c r="J517" s="15" t="str">
        <f t="shared" si="91"/>
        <v xml:space="preserve"> </v>
      </c>
      <c r="K517" s="15"/>
      <c r="L517" s="15">
        <f t="shared" si="94"/>
        <v>0</v>
      </c>
      <c r="M517" s="5" t="str">
        <f t="shared" si="87"/>
        <v/>
      </c>
      <c r="N517" s="25" t="str">
        <f>IF(ISBLANK($E517)," ", COUNTIF($M$4:$M517,$M517))</f>
        <v xml:space="preserve"> </v>
      </c>
      <c r="O517" s="25" t="str">
        <f t="shared" si="92"/>
        <v xml:space="preserve"> </v>
      </c>
      <c r="P517" s="5" t="str">
        <f t="shared" si="88"/>
        <v/>
      </c>
      <c r="Q517" s="5" t="str">
        <f t="shared" si="89"/>
        <v/>
      </c>
      <c r="R517" s="5" t="str">
        <f t="shared" si="93"/>
        <v/>
      </c>
    </row>
    <row r="518" spans="1:18" ht="20.25" x14ac:dyDescent="0.3">
      <c r="A518" s="14"/>
      <c r="B518" s="15">
        <v>514</v>
      </c>
      <c r="C518" s="15"/>
      <c r="D518" s="15"/>
      <c r="E518" s="16"/>
      <c r="F518" s="15"/>
      <c r="G518" s="15"/>
      <c r="H518" s="16"/>
      <c r="I518" s="15" t="str">
        <f t="shared" si="90"/>
        <v xml:space="preserve"> </v>
      </c>
      <c r="J518" s="15" t="str">
        <f t="shared" si="91"/>
        <v xml:space="preserve"> </v>
      </c>
      <c r="K518" s="15"/>
      <c r="L518" s="15">
        <f t="shared" si="94"/>
        <v>0</v>
      </c>
      <c r="M518" s="5" t="str">
        <f t="shared" si="87"/>
        <v/>
      </c>
      <c r="N518" s="25" t="str">
        <f>IF(ISBLANK($E518)," ", COUNTIF($M$4:$M518,$M518))</f>
        <v xml:space="preserve"> </v>
      </c>
      <c r="O518" s="25" t="str">
        <f t="shared" si="92"/>
        <v xml:space="preserve"> </v>
      </c>
      <c r="P518" s="5" t="str">
        <f t="shared" si="88"/>
        <v/>
      </c>
      <c r="Q518" s="5" t="str">
        <f t="shared" si="89"/>
        <v/>
      </c>
      <c r="R518" s="5" t="str">
        <f t="shared" si="93"/>
        <v/>
      </c>
    </row>
    <row r="519" spans="1:18" ht="20.25" x14ac:dyDescent="0.3">
      <c r="A519" s="14"/>
      <c r="B519" s="15">
        <v>515</v>
      </c>
      <c r="C519" s="15"/>
      <c r="D519" s="15"/>
      <c r="E519" s="16"/>
      <c r="F519" s="15"/>
      <c r="G519" s="15"/>
      <c r="H519" s="16"/>
      <c r="I519" s="15" t="str">
        <f t="shared" si="90"/>
        <v xml:space="preserve"> </v>
      </c>
      <c r="J519" s="15" t="str">
        <f t="shared" si="91"/>
        <v xml:space="preserve"> </v>
      </c>
      <c r="K519" s="15"/>
      <c r="L519" s="15">
        <f t="shared" si="94"/>
        <v>0</v>
      </c>
      <c r="M519" s="5" t="str">
        <f t="shared" si="87"/>
        <v/>
      </c>
      <c r="N519" s="25" t="str">
        <f>IF(ISBLANK($E519)," ", COUNTIF($M$4:$M519,$M519))</f>
        <v xml:space="preserve"> </v>
      </c>
      <c r="O519" s="25" t="str">
        <f t="shared" si="92"/>
        <v xml:space="preserve"> </v>
      </c>
      <c r="P519" s="5" t="str">
        <f t="shared" si="88"/>
        <v/>
      </c>
      <c r="Q519" s="5" t="str">
        <f t="shared" si="89"/>
        <v/>
      </c>
      <c r="R519" s="5" t="str">
        <f t="shared" si="93"/>
        <v/>
      </c>
    </row>
    <row r="520" spans="1:18" ht="20.25" x14ac:dyDescent="0.3">
      <c r="A520" s="14"/>
      <c r="B520" s="15">
        <v>516</v>
      </c>
      <c r="C520" s="15"/>
      <c r="D520" s="15"/>
      <c r="E520" s="16"/>
      <c r="F520" s="15"/>
      <c r="G520" s="15"/>
      <c r="H520" s="16"/>
      <c r="I520" s="15" t="str">
        <f t="shared" si="90"/>
        <v xml:space="preserve"> </v>
      </c>
      <c r="J520" s="15" t="str">
        <f t="shared" si="91"/>
        <v xml:space="preserve"> </v>
      </c>
      <c r="K520" s="15"/>
      <c r="L520" s="15">
        <f t="shared" si="94"/>
        <v>0</v>
      </c>
      <c r="M520" s="5" t="str">
        <f t="shared" si="87"/>
        <v/>
      </c>
      <c r="N520" s="25" t="str">
        <f>IF(ISBLANK($E520)," ", COUNTIF($M$4:$M520,$M520))</f>
        <v xml:space="preserve"> </v>
      </c>
      <c r="O520" s="25" t="str">
        <f t="shared" si="92"/>
        <v xml:space="preserve"> </v>
      </c>
      <c r="P520" s="5" t="str">
        <f t="shared" si="88"/>
        <v/>
      </c>
      <c r="Q520" s="5" t="str">
        <f t="shared" si="89"/>
        <v/>
      </c>
      <c r="R520" s="5" t="str">
        <f t="shared" si="93"/>
        <v/>
      </c>
    </row>
    <row r="521" spans="1:18" ht="20.25" x14ac:dyDescent="0.3">
      <c r="A521" s="14"/>
      <c r="B521" s="15">
        <v>517</v>
      </c>
      <c r="C521" s="15"/>
      <c r="D521" s="15"/>
      <c r="E521" s="16"/>
      <c r="F521" s="15"/>
      <c r="G521" s="15"/>
      <c r="H521" s="16"/>
      <c r="I521" s="15" t="str">
        <f t="shared" si="90"/>
        <v xml:space="preserve"> </v>
      </c>
      <c r="J521" s="15" t="str">
        <f t="shared" si="91"/>
        <v xml:space="preserve"> </v>
      </c>
      <c r="K521" s="15"/>
      <c r="L521" s="15">
        <f t="shared" si="94"/>
        <v>0</v>
      </c>
      <c r="M521" s="5" t="str">
        <f t="shared" si="87"/>
        <v/>
      </c>
      <c r="N521" s="25" t="str">
        <f>IF(ISBLANK($E521)," ", COUNTIF($M$4:$M521,$M521))</f>
        <v xml:space="preserve"> </v>
      </c>
      <c r="O521" s="25" t="str">
        <f t="shared" si="92"/>
        <v xml:space="preserve"> </v>
      </c>
      <c r="P521" s="5" t="str">
        <f t="shared" si="88"/>
        <v/>
      </c>
      <c r="Q521" s="5" t="str">
        <f t="shared" si="89"/>
        <v/>
      </c>
      <c r="R521" s="5" t="str">
        <f t="shared" si="93"/>
        <v/>
      </c>
    </row>
    <row r="522" spans="1:18" ht="20.25" x14ac:dyDescent="0.3">
      <c r="A522" s="14"/>
      <c r="B522" s="15">
        <v>518</v>
      </c>
      <c r="C522" s="15"/>
      <c r="D522" s="15"/>
      <c r="E522" s="16"/>
      <c r="F522" s="15"/>
      <c r="G522" s="15"/>
      <c r="H522" s="16"/>
      <c r="I522" s="15" t="str">
        <f t="shared" si="90"/>
        <v xml:space="preserve"> </v>
      </c>
      <c r="J522" s="15" t="str">
        <f t="shared" si="91"/>
        <v xml:space="preserve"> </v>
      </c>
      <c r="K522" s="15"/>
      <c r="L522" s="15">
        <f t="shared" si="94"/>
        <v>0</v>
      </c>
      <c r="M522" s="5" t="str">
        <f t="shared" si="87"/>
        <v/>
      </c>
      <c r="N522" s="25" t="str">
        <f>IF(ISBLANK($E522)," ", COUNTIF($M$4:$M522,$M522))</f>
        <v xml:space="preserve"> </v>
      </c>
      <c r="O522" s="25" t="str">
        <f t="shared" si="92"/>
        <v xml:space="preserve"> </v>
      </c>
      <c r="P522" s="5" t="str">
        <f t="shared" si="88"/>
        <v/>
      </c>
      <c r="Q522" s="5" t="str">
        <f t="shared" si="89"/>
        <v/>
      </c>
      <c r="R522" s="5" t="str">
        <f t="shared" si="93"/>
        <v/>
      </c>
    </row>
    <row r="523" spans="1:18" ht="20.25" x14ac:dyDescent="0.3">
      <c r="A523" s="14"/>
      <c r="B523" s="15">
        <v>519</v>
      </c>
      <c r="C523" s="15"/>
      <c r="D523" s="15"/>
      <c r="E523" s="16"/>
      <c r="F523" s="15"/>
      <c r="G523" s="15"/>
      <c r="H523" s="16"/>
      <c r="I523" s="15" t="str">
        <f t="shared" si="90"/>
        <v xml:space="preserve"> </v>
      </c>
      <c r="J523" s="15" t="str">
        <f t="shared" si="91"/>
        <v xml:space="preserve"> </v>
      </c>
      <c r="K523" s="15"/>
      <c r="L523" s="15">
        <f t="shared" si="94"/>
        <v>0</v>
      </c>
      <c r="M523" s="5" t="str">
        <f t="shared" si="87"/>
        <v/>
      </c>
      <c r="N523" s="25" t="str">
        <f>IF(ISBLANK($E523)," ", COUNTIF($M$4:$M523,$M523))</f>
        <v xml:space="preserve"> </v>
      </c>
      <c r="O523" s="25" t="str">
        <f t="shared" si="92"/>
        <v xml:space="preserve"> </v>
      </c>
      <c r="P523" s="5" t="str">
        <f t="shared" si="88"/>
        <v/>
      </c>
      <c r="Q523" s="5" t="str">
        <f t="shared" si="89"/>
        <v/>
      </c>
      <c r="R523" s="5" t="str">
        <f t="shared" si="93"/>
        <v/>
      </c>
    </row>
    <row r="524" spans="1:18" ht="20.25" x14ac:dyDescent="0.3">
      <c r="A524" s="14"/>
      <c r="B524" s="15">
        <v>520</v>
      </c>
      <c r="C524" s="15"/>
      <c r="D524" s="15"/>
      <c r="E524" s="16"/>
      <c r="F524" s="15"/>
      <c r="G524" s="15"/>
      <c r="H524" s="16"/>
      <c r="I524" s="15" t="str">
        <f t="shared" si="90"/>
        <v xml:space="preserve"> </v>
      </c>
      <c r="J524" s="15" t="str">
        <f t="shared" si="91"/>
        <v xml:space="preserve"> </v>
      </c>
      <c r="K524" s="15"/>
      <c r="L524" s="15">
        <f t="shared" si="94"/>
        <v>0</v>
      </c>
      <c r="M524" s="5" t="str">
        <f t="shared" si="87"/>
        <v/>
      </c>
      <c r="N524" s="25" t="str">
        <f>IF(ISBLANK($E524)," ", COUNTIF($M$4:$M524,$M524))</f>
        <v xml:space="preserve"> </v>
      </c>
      <c r="O524" s="25" t="str">
        <f t="shared" si="92"/>
        <v xml:space="preserve"> </v>
      </c>
      <c r="P524" s="5" t="str">
        <f t="shared" si="88"/>
        <v/>
      </c>
      <c r="Q524" s="5" t="str">
        <f t="shared" si="89"/>
        <v/>
      </c>
      <c r="R524" s="5" t="str">
        <f t="shared" si="93"/>
        <v/>
      </c>
    </row>
    <row r="525" spans="1:18" ht="20.25" x14ac:dyDescent="0.3">
      <c r="A525" s="14"/>
      <c r="B525" s="15">
        <v>521</v>
      </c>
      <c r="C525" s="15"/>
      <c r="D525" s="15"/>
      <c r="E525" s="16"/>
      <c r="F525" s="15"/>
      <c r="G525" s="15"/>
      <c r="H525" s="16"/>
      <c r="I525" s="15" t="str">
        <f t="shared" si="90"/>
        <v xml:space="preserve"> </v>
      </c>
      <c r="J525" s="15" t="str">
        <f t="shared" si="91"/>
        <v xml:space="preserve"> </v>
      </c>
      <c r="K525" s="15"/>
      <c r="L525" s="15">
        <f t="shared" si="94"/>
        <v>0</v>
      </c>
      <c r="M525" s="5" t="str">
        <f t="shared" si="87"/>
        <v/>
      </c>
      <c r="N525" s="25" t="str">
        <f>IF(ISBLANK($E525)," ", COUNTIF($M$4:$M525,$M525))</f>
        <v xml:space="preserve"> </v>
      </c>
      <c r="O525" s="25" t="str">
        <f t="shared" si="92"/>
        <v xml:space="preserve"> </v>
      </c>
      <c r="P525" s="5" t="str">
        <f t="shared" si="88"/>
        <v/>
      </c>
      <c r="Q525" s="5" t="str">
        <f t="shared" si="89"/>
        <v/>
      </c>
      <c r="R525" s="5" t="str">
        <f t="shared" si="93"/>
        <v/>
      </c>
    </row>
    <row r="526" spans="1:18" ht="20.25" x14ac:dyDescent="0.3">
      <c r="A526" s="14"/>
      <c r="B526" s="15">
        <v>522</v>
      </c>
      <c r="C526" s="15"/>
      <c r="D526" s="15"/>
      <c r="E526" s="16"/>
      <c r="F526" s="15"/>
      <c r="G526" s="15"/>
      <c r="H526" s="16"/>
      <c r="I526" s="15" t="str">
        <f t="shared" si="90"/>
        <v xml:space="preserve"> </v>
      </c>
      <c r="J526" s="15" t="str">
        <f t="shared" si="91"/>
        <v xml:space="preserve"> </v>
      </c>
      <c r="K526" s="15"/>
      <c r="L526" s="15">
        <f t="shared" si="94"/>
        <v>0</v>
      </c>
      <c r="M526" s="5" t="str">
        <f t="shared" si="87"/>
        <v/>
      </c>
      <c r="N526" s="25" t="str">
        <f>IF(ISBLANK($E526)," ", COUNTIF($M$4:$M526,$M526))</f>
        <v xml:space="preserve"> </v>
      </c>
      <c r="O526" s="25" t="str">
        <f t="shared" si="92"/>
        <v xml:space="preserve"> </v>
      </c>
      <c r="P526" s="5" t="str">
        <f t="shared" si="88"/>
        <v/>
      </c>
      <c r="Q526" s="5" t="str">
        <f t="shared" si="89"/>
        <v/>
      </c>
      <c r="R526" s="5" t="str">
        <f t="shared" si="93"/>
        <v/>
      </c>
    </row>
    <row r="527" spans="1:18" ht="20.25" x14ac:dyDescent="0.3">
      <c r="A527" s="14"/>
      <c r="B527" s="15">
        <v>523</v>
      </c>
      <c r="C527" s="15"/>
      <c r="D527" s="15"/>
      <c r="E527" s="16"/>
      <c r="F527" s="15"/>
      <c r="G527" s="15"/>
      <c r="H527" s="16"/>
      <c r="I527" s="15" t="str">
        <f t="shared" si="90"/>
        <v xml:space="preserve"> </v>
      </c>
      <c r="J527" s="15" t="str">
        <f t="shared" si="91"/>
        <v xml:space="preserve"> </v>
      </c>
      <c r="K527" s="15"/>
      <c r="L527" s="15">
        <f t="shared" si="94"/>
        <v>0</v>
      </c>
      <c r="M527" s="5" t="str">
        <f t="shared" si="87"/>
        <v/>
      </c>
      <c r="N527" s="25" t="str">
        <f>IF(ISBLANK($E527)," ", COUNTIF($M$4:$M527,$M527))</f>
        <v xml:space="preserve"> </v>
      </c>
      <c r="O527" s="25" t="str">
        <f t="shared" si="92"/>
        <v xml:space="preserve"> </v>
      </c>
      <c r="P527" s="5" t="str">
        <f t="shared" si="88"/>
        <v/>
      </c>
      <c r="Q527" s="5" t="str">
        <f t="shared" si="89"/>
        <v/>
      </c>
      <c r="R527" s="5" t="str">
        <f t="shared" si="93"/>
        <v/>
      </c>
    </row>
    <row r="528" spans="1:18" ht="20.25" x14ac:dyDescent="0.3">
      <c r="A528" s="14"/>
      <c r="B528" s="15">
        <v>524</v>
      </c>
      <c r="C528" s="15"/>
      <c r="D528" s="15"/>
      <c r="E528" s="16"/>
      <c r="F528" s="15"/>
      <c r="G528" s="15"/>
      <c r="H528" s="16"/>
      <c r="I528" s="15" t="str">
        <f t="shared" si="90"/>
        <v xml:space="preserve"> </v>
      </c>
      <c r="J528" s="15" t="str">
        <f t="shared" si="91"/>
        <v xml:space="preserve"> </v>
      </c>
      <c r="K528" s="15"/>
      <c r="L528" s="15">
        <f t="shared" si="94"/>
        <v>0</v>
      </c>
      <c r="M528" s="5" t="str">
        <f t="shared" si="87"/>
        <v/>
      </c>
      <c r="N528" s="25" t="str">
        <f>IF(ISBLANK($E528)," ", COUNTIF($M$4:$M528,$M528))</f>
        <v xml:space="preserve"> </v>
      </c>
      <c r="O528" s="25" t="str">
        <f t="shared" si="92"/>
        <v xml:space="preserve"> </v>
      </c>
      <c r="P528" s="5" t="str">
        <f t="shared" si="88"/>
        <v/>
      </c>
      <c r="Q528" s="5" t="str">
        <f t="shared" si="89"/>
        <v/>
      </c>
      <c r="R528" s="5" t="str">
        <f t="shared" si="93"/>
        <v/>
      </c>
    </row>
    <row r="529" spans="1:18" ht="20.25" x14ac:dyDescent="0.3">
      <c r="A529" s="14"/>
      <c r="B529" s="15">
        <v>525</v>
      </c>
      <c r="C529" s="15"/>
      <c r="D529" s="15"/>
      <c r="E529" s="16"/>
      <c r="F529" s="15"/>
      <c r="G529" s="15"/>
      <c r="H529" s="16"/>
      <c r="I529" s="15" t="str">
        <f t="shared" si="90"/>
        <v xml:space="preserve"> </v>
      </c>
      <c r="J529" s="15" t="str">
        <f t="shared" si="91"/>
        <v xml:space="preserve"> </v>
      </c>
      <c r="K529" s="15"/>
      <c r="L529" s="15">
        <f t="shared" si="94"/>
        <v>0</v>
      </c>
      <c r="M529" s="5" t="str">
        <f t="shared" si="87"/>
        <v/>
      </c>
      <c r="N529" s="25" t="str">
        <f>IF(ISBLANK($E529)," ", COUNTIF($M$4:$M529,$M529))</f>
        <v xml:space="preserve"> </v>
      </c>
      <c r="O529" s="25" t="str">
        <f t="shared" si="92"/>
        <v xml:space="preserve"> </v>
      </c>
      <c r="P529" s="5" t="str">
        <f t="shared" si="88"/>
        <v/>
      </c>
      <c r="Q529" s="5" t="str">
        <f t="shared" si="89"/>
        <v/>
      </c>
      <c r="R529" s="5" t="str">
        <f t="shared" si="93"/>
        <v/>
      </c>
    </row>
    <row r="530" spans="1:18" ht="20.25" x14ac:dyDescent="0.3">
      <c r="A530" s="14"/>
      <c r="B530" s="15">
        <v>526</v>
      </c>
      <c r="C530" s="15"/>
      <c r="D530" s="15"/>
      <c r="E530" s="16"/>
      <c r="F530" s="15"/>
      <c r="G530" s="15"/>
      <c r="H530" s="16"/>
      <c r="I530" s="15" t="str">
        <f t="shared" si="90"/>
        <v xml:space="preserve"> </v>
      </c>
      <c r="J530" s="15" t="str">
        <f t="shared" si="91"/>
        <v xml:space="preserve"> </v>
      </c>
      <c r="K530" s="15"/>
      <c r="L530" s="15">
        <f t="shared" si="94"/>
        <v>0</v>
      </c>
      <c r="M530" s="5" t="str">
        <f t="shared" si="87"/>
        <v/>
      </c>
      <c r="N530" s="25" t="str">
        <f>IF(ISBLANK($E530)," ", COUNTIF($M$4:$M530,$M530))</f>
        <v xml:space="preserve"> </v>
      </c>
      <c r="O530" s="25" t="str">
        <f t="shared" si="92"/>
        <v xml:space="preserve"> </v>
      </c>
      <c r="P530" s="5" t="str">
        <f t="shared" si="88"/>
        <v/>
      </c>
      <c r="Q530" s="5" t="str">
        <f t="shared" si="89"/>
        <v/>
      </c>
      <c r="R530" s="5" t="str">
        <f t="shared" si="93"/>
        <v/>
      </c>
    </row>
    <row r="531" spans="1:18" ht="20.25" x14ac:dyDescent="0.3">
      <c r="A531" s="14"/>
      <c r="B531" s="15">
        <v>527</v>
      </c>
      <c r="C531" s="15"/>
      <c r="D531" s="15"/>
      <c r="E531" s="16"/>
      <c r="F531" s="15"/>
      <c r="G531" s="15"/>
      <c r="H531" s="16"/>
      <c r="I531" s="15" t="str">
        <f t="shared" si="90"/>
        <v xml:space="preserve"> </v>
      </c>
      <c r="J531" s="15" t="str">
        <f t="shared" si="91"/>
        <v xml:space="preserve"> </v>
      </c>
      <c r="K531" s="15"/>
      <c r="L531" s="15">
        <f t="shared" si="94"/>
        <v>0</v>
      </c>
      <c r="M531" s="5" t="str">
        <f t="shared" si="87"/>
        <v/>
      </c>
      <c r="N531" s="25" t="str">
        <f>IF(ISBLANK($E531)," ", COUNTIF($M$4:$M531,$M531))</f>
        <v xml:space="preserve"> </v>
      </c>
      <c r="O531" s="25" t="str">
        <f t="shared" si="92"/>
        <v xml:space="preserve"> </v>
      </c>
      <c r="P531" s="5" t="str">
        <f t="shared" si="88"/>
        <v/>
      </c>
      <c r="Q531" s="5" t="str">
        <f t="shared" si="89"/>
        <v/>
      </c>
      <c r="R531" s="5" t="str">
        <f t="shared" si="93"/>
        <v/>
      </c>
    </row>
    <row r="532" spans="1:18" ht="20.25" x14ac:dyDescent="0.3">
      <c r="A532" s="14"/>
      <c r="B532" s="15">
        <v>528</v>
      </c>
      <c r="C532" s="15"/>
      <c r="D532" s="15"/>
      <c r="E532" s="16"/>
      <c r="F532" s="15"/>
      <c r="G532" s="15"/>
      <c r="H532" s="16"/>
      <c r="I532" s="15" t="str">
        <f t="shared" si="90"/>
        <v xml:space="preserve"> </v>
      </c>
      <c r="J532" s="15" t="str">
        <f t="shared" si="91"/>
        <v xml:space="preserve"> </v>
      </c>
      <c r="K532" s="15"/>
      <c r="L532" s="15">
        <f t="shared" si="94"/>
        <v>0</v>
      </c>
      <c r="M532" s="5" t="str">
        <f t="shared" si="87"/>
        <v/>
      </c>
      <c r="N532" s="25" t="str">
        <f>IF(ISBLANK($E532)," ", COUNTIF($M$4:$M532,$M532))</f>
        <v xml:space="preserve"> </v>
      </c>
      <c r="O532" s="25" t="str">
        <f t="shared" si="92"/>
        <v xml:space="preserve"> </v>
      </c>
      <c r="P532" s="5" t="str">
        <f t="shared" si="88"/>
        <v/>
      </c>
      <c r="Q532" s="5" t="str">
        <f t="shared" si="89"/>
        <v/>
      </c>
      <c r="R532" s="5" t="str">
        <f t="shared" si="93"/>
        <v/>
      </c>
    </row>
    <row r="533" spans="1:18" ht="20.25" x14ac:dyDescent="0.3">
      <c r="A533" s="14"/>
      <c r="B533" s="15">
        <v>529</v>
      </c>
      <c r="C533" s="15"/>
      <c r="D533" s="15"/>
      <c r="E533" s="16"/>
      <c r="F533" s="15"/>
      <c r="G533" s="15"/>
      <c r="H533" s="16"/>
      <c r="I533" s="15" t="str">
        <f t="shared" si="90"/>
        <v xml:space="preserve"> </v>
      </c>
      <c r="J533" s="15" t="str">
        <f t="shared" si="91"/>
        <v xml:space="preserve"> </v>
      </c>
      <c r="K533" s="15"/>
      <c r="L533" s="15">
        <f t="shared" si="94"/>
        <v>0</v>
      </c>
      <c r="M533" s="5" t="str">
        <f t="shared" si="87"/>
        <v/>
      </c>
      <c r="N533" s="25" t="str">
        <f>IF(ISBLANK($E533)," ", COUNTIF($M$4:$M533,$M533))</f>
        <v xml:space="preserve"> </v>
      </c>
      <c r="O533" s="25" t="str">
        <f t="shared" si="92"/>
        <v xml:space="preserve"> </v>
      </c>
      <c r="P533" s="5" t="str">
        <f t="shared" si="88"/>
        <v/>
      </c>
      <c r="Q533" s="5" t="str">
        <f t="shared" si="89"/>
        <v/>
      </c>
      <c r="R533" s="5" t="str">
        <f t="shared" si="93"/>
        <v/>
      </c>
    </row>
    <row r="534" spans="1:18" ht="20.25" x14ac:dyDescent="0.3">
      <c r="A534" s="14"/>
      <c r="B534" s="15">
        <v>530</v>
      </c>
      <c r="C534" s="15"/>
      <c r="D534" s="15"/>
      <c r="E534" s="16"/>
      <c r="F534" s="15"/>
      <c r="G534" s="15"/>
      <c r="H534" s="16"/>
      <c r="I534" s="15" t="str">
        <f t="shared" si="90"/>
        <v xml:space="preserve"> </v>
      </c>
      <c r="J534" s="15" t="str">
        <f t="shared" si="91"/>
        <v xml:space="preserve"> </v>
      </c>
      <c r="K534" s="15"/>
      <c r="L534" s="15">
        <f t="shared" si="94"/>
        <v>0</v>
      </c>
      <c r="M534" s="5" t="str">
        <f t="shared" si="87"/>
        <v/>
      </c>
      <c r="N534" s="25" t="str">
        <f>IF(ISBLANK($E534)," ", COUNTIF($M$4:$M534,$M534))</f>
        <v xml:space="preserve"> </v>
      </c>
      <c r="O534" s="25" t="str">
        <f t="shared" si="92"/>
        <v xml:space="preserve"> </v>
      </c>
      <c r="P534" s="5" t="str">
        <f t="shared" si="88"/>
        <v/>
      </c>
      <c r="Q534" s="5" t="str">
        <f t="shared" si="89"/>
        <v/>
      </c>
      <c r="R534" s="5" t="str">
        <f t="shared" si="93"/>
        <v/>
      </c>
    </row>
    <row r="535" spans="1:18" ht="20.25" x14ac:dyDescent="0.3">
      <c r="A535" s="14"/>
      <c r="B535" s="15">
        <v>531</v>
      </c>
      <c r="C535" s="15"/>
      <c r="D535" s="15"/>
      <c r="E535" s="16"/>
      <c r="F535" s="15"/>
      <c r="G535" s="15"/>
      <c r="H535" s="16"/>
      <c r="I535" s="15" t="str">
        <f t="shared" si="90"/>
        <v xml:space="preserve"> </v>
      </c>
      <c r="J535" s="15" t="str">
        <f t="shared" si="91"/>
        <v xml:space="preserve"> </v>
      </c>
      <c r="K535" s="15"/>
      <c r="L535" s="15">
        <f t="shared" si="94"/>
        <v>0</v>
      </c>
      <c r="M535" s="5" t="str">
        <f t="shared" si="87"/>
        <v/>
      </c>
      <c r="N535" s="25" t="str">
        <f>IF(ISBLANK($E535)," ", COUNTIF($M$4:$M535,$M535))</f>
        <v xml:space="preserve"> </v>
      </c>
      <c r="O535" s="25" t="str">
        <f t="shared" si="92"/>
        <v xml:space="preserve"> </v>
      </c>
      <c r="P535" s="5" t="str">
        <f t="shared" si="88"/>
        <v/>
      </c>
      <c r="Q535" s="5" t="str">
        <f t="shared" si="89"/>
        <v/>
      </c>
      <c r="R535" s="5" t="str">
        <f t="shared" si="93"/>
        <v/>
      </c>
    </row>
    <row r="536" spans="1:18" ht="20.25" x14ac:dyDescent="0.3">
      <c r="A536" s="14"/>
      <c r="B536" s="15">
        <v>532</v>
      </c>
      <c r="C536" s="15"/>
      <c r="D536" s="15"/>
      <c r="E536" s="16"/>
      <c r="F536" s="15"/>
      <c r="G536" s="15"/>
      <c r="H536" s="16"/>
      <c r="I536" s="15" t="str">
        <f t="shared" si="90"/>
        <v xml:space="preserve"> </v>
      </c>
      <c r="J536" s="15" t="str">
        <f t="shared" si="91"/>
        <v xml:space="preserve"> </v>
      </c>
      <c r="K536" s="15"/>
      <c r="L536" s="15">
        <f t="shared" si="94"/>
        <v>0</v>
      </c>
      <c r="M536" s="5" t="str">
        <f t="shared" si="87"/>
        <v/>
      </c>
      <c r="N536" s="25" t="str">
        <f>IF(ISBLANK($E536)," ", COUNTIF($M$4:$M536,$M536))</f>
        <v xml:space="preserve"> </v>
      </c>
      <c r="O536" s="25" t="str">
        <f t="shared" si="92"/>
        <v xml:space="preserve"> </v>
      </c>
      <c r="P536" s="5" t="str">
        <f t="shared" si="88"/>
        <v/>
      </c>
      <c r="Q536" s="5" t="str">
        <f t="shared" si="89"/>
        <v/>
      </c>
      <c r="R536" s="5" t="str">
        <f t="shared" si="93"/>
        <v/>
      </c>
    </row>
    <row r="537" spans="1:18" ht="20.25" x14ac:dyDescent="0.3">
      <c r="A537" s="14"/>
      <c r="B537" s="15">
        <v>533</v>
      </c>
      <c r="C537" s="15"/>
      <c r="D537" s="15"/>
      <c r="E537" s="16"/>
      <c r="F537" s="15"/>
      <c r="G537" s="15"/>
      <c r="H537" s="16"/>
      <c r="I537" s="15" t="str">
        <f t="shared" si="90"/>
        <v xml:space="preserve"> </v>
      </c>
      <c r="J537" s="15" t="str">
        <f t="shared" si="91"/>
        <v xml:space="preserve"> </v>
      </c>
      <c r="K537" s="15"/>
      <c r="L537" s="15">
        <f t="shared" si="94"/>
        <v>0</v>
      </c>
      <c r="M537" s="5" t="str">
        <f t="shared" si="87"/>
        <v/>
      </c>
      <c r="N537" s="25" t="str">
        <f>IF(ISBLANK($E537)," ", COUNTIF($M$4:$M537,$M537))</f>
        <v xml:space="preserve"> </v>
      </c>
      <c r="O537" s="25" t="str">
        <f t="shared" si="92"/>
        <v xml:space="preserve"> </v>
      </c>
      <c r="P537" s="5" t="str">
        <f t="shared" si="88"/>
        <v/>
      </c>
      <c r="Q537" s="5" t="str">
        <f t="shared" si="89"/>
        <v/>
      </c>
      <c r="R537" s="5" t="str">
        <f t="shared" si="93"/>
        <v/>
      </c>
    </row>
    <row r="538" spans="1:18" ht="20.25" x14ac:dyDescent="0.3">
      <c r="A538" s="14"/>
      <c r="B538" s="15">
        <v>534</v>
      </c>
      <c r="C538" s="15"/>
      <c r="D538" s="15"/>
      <c r="E538" s="16"/>
      <c r="F538" s="15"/>
      <c r="G538" s="15"/>
      <c r="H538" s="16"/>
      <c r="I538" s="15" t="str">
        <f t="shared" si="90"/>
        <v xml:space="preserve"> </v>
      </c>
      <c r="J538" s="15" t="str">
        <f t="shared" si="91"/>
        <v xml:space="preserve"> </v>
      </c>
      <c r="K538" s="15"/>
      <c r="L538" s="15">
        <f t="shared" si="94"/>
        <v>0</v>
      </c>
      <c r="M538" s="5" t="str">
        <f t="shared" si="87"/>
        <v/>
      </c>
      <c r="N538" s="25" t="str">
        <f>IF(ISBLANK($E538)," ", COUNTIF($M$4:$M538,$M538))</f>
        <v xml:space="preserve"> </v>
      </c>
      <c r="O538" s="25" t="str">
        <f t="shared" si="92"/>
        <v xml:space="preserve"> </v>
      </c>
      <c r="P538" s="5" t="str">
        <f t="shared" si="88"/>
        <v/>
      </c>
      <c r="Q538" s="5" t="str">
        <f t="shared" si="89"/>
        <v/>
      </c>
      <c r="R538" s="5" t="str">
        <f t="shared" si="93"/>
        <v/>
      </c>
    </row>
    <row r="539" spans="1:18" ht="20.25" x14ac:dyDescent="0.3">
      <c r="A539" s="14"/>
      <c r="B539" s="15">
        <v>535</v>
      </c>
      <c r="C539" s="15"/>
      <c r="D539" s="15"/>
      <c r="E539" s="16"/>
      <c r="F539" s="15"/>
      <c r="G539" s="15"/>
      <c r="H539" s="16"/>
      <c r="I539" s="15" t="str">
        <f t="shared" si="90"/>
        <v xml:space="preserve"> </v>
      </c>
      <c r="J539" s="15" t="str">
        <f t="shared" si="91"/>
        <v xml:space="preserve"> </v>
      </c>
      <c r="K539" s="15"/>
      <c r="L539" s="15">
        <f t="shared" si="94"/>
        <v>0</v>
      </c>
      <c r="M539" s="5" t="str">
        <f t="shared" si="87"/>
        <v/>
      </c>
      <c r="N539" s="25" t="str">
        <f>IF(ISBLANK($E539)," ", COUNTIF($M$4:$M539,$M539))</f>
        <v xml:space="preserve"> </v>
      </c>
      <c r="O539" s="25" t="str">
        <f t="shared" si="92"/>
        <v xml:space="preserve"> </v>
      </c>
      <c r="P539" s="5" t="str">
        <f t="shared" si="88"/>
        <v/>
      </c>
      <c r="Q539" s="5" t="str">
        <f t="shared" si="89"/>
        <v/>
      </c>
      <c r="R539" s="5" t="str">
        <f t="shared" si="93"/>
        <v/>
      </c>
    </row>
    <row r="540" spans="1:18" ht="20.25" x14ac:dyDescent="0.3">
      <c r="A540" s="14"/>
      <c r="B540" s="15">
        <v>536</v>
      </c>
      <c r="C540" s="15"/>
      <c r="D540" s="15"/>
      <c r="E540" s="16"/>
      <c r="F540" s="15"/>
      <c r="G540" s="15"/>
      <c r="H540" s="16"/>
      <c r="I540" s="15" t="str">
        <f t="shared" si="90"/>
        <v xml:space="preserve"> </v>
      </c>
      <c r="J540" s="15" t="str">
        <f t="shared" si="91"/>
        <v xml:space="preserve"> </v>
      </c>
      <c r="K540" s="15"/>
      <c r="L540" s="15">
        <f t="shared" si="94"/>
        <v>0</v>
      </c>
      <c r="M540" s="5" t="str">
        <f t="shared" si="87"/>
        <v/>
      </c>
      <c r="N540" s="25" t="str">
        <f>IF(ISBLANK($E540)," ", COUNTIF($M$4:$M540,$M540))</f>
        <v xml:space="preserve"> </v>
      </c>
      <c r="O540" s="25" t="str">
        <f t="shared" si="92"/>
        <v xml:space="preserve"> </v>
      </c>
      <c r="P540" s="5" t="str">
        <f t="shared" si="88"/>
        <v/>
      </c>
      <c r="Q540" s="5" t="str">
        <f t="shared" si="89"/>
        <v/>
      </c>
      <c r="R540" s="5" t="str">
        <f t="shared" si="93"/>
        <v/>
      </c>
    </row>
    <row r="541" spans="1:18" ht="20.25" x14ac:dyDescent="0.3">
      <c r="A541" s="14"/>
      <c r="B541" s="15">
        <v>537</v>
      </c>
      <c r="C541" s="15"/>
      <c r="D541" s="15"/>
      <c r="E541" s="16"/>
      <c r="F541" s="15"/>
      <c r="G541" s="15"/>
      <c r="H541" s="16"/>
      <c r="I541" s="15" t="str">
        <f t="shared" si="90"/>
        <v xml:space="preserve"> </v>
      </c>
      <c r="J541" s="15" t="str">
        <f t="shared" si="91"/>
        <v xml:space="preserve"> </v>
      </c>
      <c r="K541" s="15"/>
      <c r="L541" s="15">
        <f t="shared" si="94"/>
        <v>0</v>
      </c>
      <c r="M541" s="5" t="str">
        <f t="shared" si="87"/>
        <v/>
      </c>
      <c r="N541" s="25" t="str">
        <f>IF(ISBLANK($E541)," ", COUNTIF($M$4:$M541,$M541))</f>
        <v xml:space="preserve"> </v>
      </c>
      <c r="O541" s="25" t="str">
        <f t="shared" si="92"/>
        <v xml:space="preserve"> </v>
      </c>
      <c r="P541" s="5" t="str">
        <f t="shared" si="88"/>
        <v/>
      </c>
      <c r="Q541" s="5" t="str">
        <f t="shared" si="89"/>
        <v/>
      </c>
      <c r="R541" s="5" t="str">
        <f t="shared" si="93"/>
        <v/>
      </c>
    </row>
    <row r="542" spans="1:18" ht="20.25" x14ac:dyDescent="0.3">
      <c r="A542" s="14"/>
      <c r="B542" s="15">
        <v>538</v>
      </c>
      <c r="C542" s="15"/>
      <c r="D542" s="15"/>
      <c r="E542" s="16"/>
      <c r="F542" s="15"/>
      <c r="G542" s="15"/>
      <c r="H542" s="16"/>
      <c r="I542" s="15" t="str">
        <f t="shared" si="90"/>
        <v xml:space="preserve"> </v>
      </c>
      <c r="J542" s="15" t="str">
        <f t="shared" si="91"/>
        <v xml:space="preserve"> </v>
      </c>
      <c r="K542" s="15"/>
      <c r="L542" s="15">
        <f t="shared" si="94"/>
        <v>0</v>
      </c>
      <c r="M542" s="5" t="str">
        <f t="shared" si="87"/>
        <v/>
      </c>
      <c r="N542" s="25" t="str">
        <f>IF(ISBLANK($E542)," ", COUNTIF($M$4:$M542,$M542))</f>
        <v xml:space="preserve"> </v>
      </c>
      <c r="O542" s="25" t="str">
        <f t="shared" si="92"/>
        <v xml:space="preserve"> </v>
      </c>
      <c r="P542" s="5" t="str">
        <f t="shared" si="88"/>
        <v/>
      </c>
      <c r="Q542" s="5" t="str">
        <f t="shared" si="89"/>
        <v/>
      </c>
      <c r="R542" s="5" t="str">
        <f t="shared" si="93"/>
        <v/>
      </c>
    </row>
    <row r="543" spans="1:18" ht="20.25" x14ac:dyDescent="0.3">
      <c r="A543" s="14"/>
      <c r="B543" s="15">
        <v>539</v>
      </c>
      <c r="C543" s="15"/>
      <c r="D543" s="15"/>
      <c r="E543" s="16"/>
      <c r="F543" s="15"/>
      <c r="G543" s="15"/>
      <c r="H543" s="16"/>
      <c r="I543" s="15" t="str">
        <f t="shared" si="90"/>
        <v xml:space="preserve"> </v>
      </c>
      <c r="J543" s="15" t="str">
        <f t="shared" si="91"/>
        <v xml:space="preserve"> </v>
      </c>
      <c r="K543" s="15"/>
      <c r="L543" s="15">
        <f t="shared" si="94"/>
        <v>0</v>
      </c>
      <c r="M543" s="5" t="str">
        <f t="shared" si="87"/>
        <v/>
      </c>
      <c r="N543" s="25" t="str">
        <f>IF(ISBLANK($E543)," ", COUNTIF($M$4:$M543,$M543))</f>
        <v xml:space="preserve"> </v>
      </c>
      <c r="O543" s="25" t="str">
        <f t="shared" si="92"/>
        <v xml:space="preserve"> </v>
      </c>
      <c r="P543" s="5" t="str">
        <f t="shared" si="88"/>
        <v/>
      </c>
      <c r="Q543" s="5" t="str">
        <f t="shared" si="89"/>
        <v/>
      </c>
      <c r="R543" s="5" t="str">
        <f t="shared" si="93"/>
        <v/>
      </c>
    </row>
    <row r="544" spans="1:18" ht="20.25" x14ac:dyDescent="0.3">
      <c r="A544" s="14"/>
      <c r="B544" s="15">
        <v>540</v>
      </c>
      <c r="C544" s="15"/>
      <c r="D544" s="15"/>
      <c r="E544" s="16"/>
      <c r="F544" s="15"/>
      <c r="G544" s="15"/>
      <c r="H544" s="16"/>
      <c r="I544" s="15" t="str">
        <f t="shared" si="90"/>
        <v xml:space="preserve"> </v>
      </c>
      <c r="J544" s="15" t="str">
        <f t="shared" si="91"/>
        <v xml:space="preserve"> </v>
      </c>
      <c r="K544" s="15"/>
      <c r="L544" s="15">
        <f t="shared" si="94"/>
        <v>0</v>
      </c>
      <c r="M544" s="5" t="str">
        <f t="shared" si="87"/>
        <v/>
      </c>
      <c r="N544" s="25" t="str">
        <f>IF(ISBLANK($E544)," ", COUNTIF($M$4:$M544,$M544))</f>
        <v xml:space="preserve"> </v>
      </c>
      <c r="O544" s="25" t="str">
        <f t="shared" si="92"/>
        <v xml:space="preserve"> </v>
      </c>
      <c r="P544" s="5" t="str">
        <f t="shared" si="88"/>
        <v/>
      </c>
      <c r="Q544" s="5" t="str">
        <f t="shared" si="89"/>
        <v/>
      </c>
      <c r="R544" s="5" t="str">
        <f t="shared" si="93"/>
        <v/>
      </c>
    </row>
    <row r="545" spans="1:18" ht="20.25" x14ac:dyDescent="0.3">
      <c r="A545" s="14"/>
      <c r="B545" s="15">
        <v>541</v>
      </c>
      <c r="C545" s="15"/>
      <c r="D545" s="15"/>
      <c r="E545" s="16"/>
      <c r="F545" s="15"/>
      <c r="G545" s="15"/>
      <c r="H545" s="16"/>
      <c r="I545" s="15" t="str">
        <f t="shared" si="90"/>
        <v xml:space="preserve"> </v>
      </c>
      <c r="J545" s="15" t="str">
        <f t="shared" si="91"/>
        <v xml:space="preserve"> </v>
      </c>
      <c r="K545" s="15"/>
      <c r="L545" s="15">
        <f t="shared" si="94"/>
        <v>0</v>
      </c>
      <c r="M545" s="5" t="str">
        <f t="shared" si="87"/>
        <v/>
      </c>
      <c r="N545" s="25" t="str">
        <f>IF(ISBLANK($E545)," ", COUNTIF($M$4:$M545,$M545))</f>
        <v xml:space="preserve"> </v>
      </c>
      <c r="O545" s="25" t="str">
        <f t="shared" si="92"/>
        <v xml:space="preserve"> </v>
      </c>
      <c r="P545" s="5" t="str">
        <f t="shared" si="88"/>
        <v/>
      </c>
      <c r="Q545" s="5" t="str">
        <f t="shared" si="89"/>
        <v/>
      </c>
      <c r="R545" s="5" t="str">
        <f t="shared" si="93"/>
        <v/>
      </c>
    </row>
    <row r="546" spans="1:18" ht="20.25" x14ac:dyDescent="0.3">
      <c r="A546" s="14"/>
      <c r="B546" s="15">
        <v>542</v>
      </c>
      <c r="C546" s="15"/>
      <c r="D546" s="15"/>
      <c r="E546" s="16"/>
      <c r="F546" s="15"/>
      <c r="G546" s="15"/>
      <c r="H546" s="16"/>
      <c r="I546" s="15" t="str">
        <f t="shared" si="90"/>
        <v xml:space="preserve"> </v>
      </c>
      <c r="J546" s="15" t="str">
        <f t="shared" si="91"/>
        <v xml:space="preserve"> </v>
      </c>
      <c r="K546" s="15"/>
      <c r="L546" s="15">
        <f t="shared" si="94"/>
        <v>0</v>
      </c>
      <c r="M546" s="5" t="str">
        <f t="shared" si="87"/>
        <v/>
      </c>
      <c r="N546" s="25" t="str">
        <f>IF(ISBLANK($E546)," ", COUNTIF($M$4:$M546,$M546))</f>
        <v xml:space="preserve"> </v>
      </c>
      <c r="O546" s="25" t="str">
        <f t="shared" si="92"/>
        <v xml:space="preserve"> </v>
      </c>
      <c r="P546" s="5" t="str">
        <f t="shared" si="88"/>
        <v/>
      </c>
      <c r="Q546" s="5" t="str">
        <f t="shared" si="89"/>
        <v/>
      </c>
      <c r="R546" s="5" t="str">
        <f t="shared" si="93"/>
        <v/>
      </c>
    </row>
    <row r="547" spans="1:18" ht="20.25" x14ac:dyDescent="0.3">
      <c r="A547" s="14"/>
      <c r="B547" s="15">
        <v>543</v>
      </c>
      <c r="C547" s="15"/>
      <c r="D547" s="15"/>
      <c r="E547" s="16"/>
      <c r="F547" s="15"/>
      <c r="G547" s="15"/>
      <c r="H547" s="16"/>
      <c r="I547" s="15" t="str">
        <f t="shared" si="90"/>
        <v xml:space="preserve"> </v>
      </c>
      <c r="J547" s="15" t="str">
        <f t="shared" si="91"/>
        <v xml:space="preserve"> </v>
      </c>
      <c r="K547" s="15"/>
      <c r="L547" s="15">
        <f t="shared" si="94"/>
        <v>0</v>
      </c>
      <c r="M547" s="5" t="str">
        <f t="shared" si="87"/>
        <v/>
      </c>
      <c r="N547" s="25" t="str">
        <f>IF(ISBLANK($E547)," ", COUNTIF($M$4:$M547,$M547))</f>
        <v xml:space="preserve"> </v>
      </c>
      <c r="O547" s="25" t="str">
        <f t="shared" si="92"/>
        <v xml:space="preserve"> </v>
      </c>
      <c r="P547" s="5" t="str">
        <f t="shared" si="88"/>
        <v/>
      </c>
      <c r="Q547" s="5" t="str">
        <f t="shared" si="89"/>
        <v/>
      </c>
      <c r="R547" s="5" t="str">
        <f t="shared" si="93"/>
        <v/>
      </c>
    </row>
    <row r="548" spans="1:18" ht="20.25" x14ac:dyDescent="0.3">
      <c r="A548" s="14"/>
      <c r="B548" s="15">
        <v>544</v>
      </c>
      <c r="C548" s="15"/>
      <c r="D548" s="15"/>
      <c r="E548" s="16"/>
      <c r="F548" s="15"/>
      <c r="G548" s="15"/>
      <c r="H548" s="16"/>
      <c r="I548" s="15" t="str">
        <f t="shared" si="90"/>
        <v xml:space="preserve"> </v>
      </c>
      <c r="J548" s="15" t="str">
        <f t="shared" si="91"/>
        <v xml:space="preserve"> </v>
      </c>
      <c r="K548" s="15"/>
      <c r="L548" s="15">
        <f t="shared" si="94"/>
        <v>0</v>
      </c>
      <c r="M548" s="5" t="str">
        <f t="shared" si="87"/>
        <v/>
      </c>
      <c r="N548" s="25" t="str">
        <f>IF(ISBLANK($E548)," ", COUNTIF($M$4:$M548,$M548))</f>
        <v xml:space="preserve"> </v>
      </c>
      <c r="O548" s="25" t="str">
        <f t="shared" si="92"/>
        <v xml:space="preserve"> </v>
      </c>
      <c r="P548" s="5" t="str">
        <f t="shared" si="88"/>
        <v/>
      </c>
      <c r="Q548" s="5" t="str">
        <f t="shared" si="89"/>
        <v/>
      </c>
      <c r="R548" s="5" t="str">
        <f t="shared" si="93"/>
        <v/>
      </c>
    </row>
    <row r="549" spans="1:18" ht="20.25" x14ac:dyDescent="0.3">
      <c r="A549" s="14"/>
      <c r="B549" s="15">
        <v>545</v>
      </c>
      <c r="C549" s="15"/>
      <c r="D549" s="15"/>
      <c r="E549" s="16"/>
      <c r="F549" s="15"/>
      <c r="G549" s="15"/>
      <c r="H549" s="16"/>
      <c r="I549" s="15" t="str">
        <f t="shared" si="90"/>
        <v xml:space="preserve"> </v>
      </c>
      <c r="J549" s="15" t="str">
        <f t="shared" si="91"/>
        <v xml:space="preserve"> </v>
      </c>
      <c r="K549" s="15"/>
      <c r="L549" s="15">
        <f t="shared" si="94"/>
        <v>0</v>
      </c>
      <c r="M549" s="5" t="str">
        <f t="shared" si="87"/>
        <v/>
      </c>
      <c r="N549" s="25" t="str">
        <f>IF(ISBLANK($E549)," ", COUNTIF($M$4:$M549,$M549))</f>
        <v xml:space="preserve"> </v>
      </c>
      <c r="O549" s="25" t="str">
        <f t="shared" si="92"/>
        <v xml:space="preserve"> </v>
      </c>
      <c r="P549" s="5" t="str">
        <f t="shared" si="88"/>
        <v/>
      </c>
      <c r="Q549" s="5" t="str">
        <f t="shared" si="89"/>
        <v/>
      </c>
      <c r="R549" s="5" t="str">
        <f t="shared" si="93"/>
        <v/>
      </c>
    </row>
    <row r="550" spans="1:18" ht="20.25" x14ac:dyDescent="0.3">
      <c r="A550" s="14"/>
      <c r="B550" s="15">
        <v>546</v>
      </c>
      <c r="C550" s="15"/>
      <c r="D550" s="15"/>
      <c r="E550" s="16"/>
      <c r="F550" s="15"/>
      <c r="G550" s="15"/>
      <c r="H550" s="16"/>
      <c r="I550" s="15" t="str">
        <f t="shared" si="90"/>
        <v xml:space="preserve"> </v>
      </c>
      <c r="J550" s="15" t="str">
        <f t="shared" si="91"/>
        <v xml:space="preserve"> </v>
      </c>
      <c r="K550" s="15"/>
      <c r="L550" s="15">
        <f t="shared" si="94"/>
        <v>0</v>
      </c>
      <c r="M550" s="5" t="str">
        <f t="shared" si="87"/>
        <v/>
      </c>
      <c r="N550" s="25" t="str">
        <f>IF(ISBLANK($E550)," ", COUNTIF($M$4:$M550,$M550))</f>
        <v xml:space="preserve"> </v>
      </c>
      <c r="O550" s="25" t="str">
        <f t="shared" si="92"/>
        <v xml:space="preserve"> </v>
      </c>
      <c r="P550" s="5" t="str">
        <f t="shared" si="88"/>
        <v/>
      </c>
      <c r="Q550" s="5" t="str">
        <f t="shared" si="89"/>
        <v/>
      </c>
      <c r="R550" s="5" t="str">
        <f t="shared" si="93"/>
        <v/>
      </c>
    </row>
    <row r="551" spans="1:18" ht="20.25" x14ac:dyDescent="0.3">
      <c r="A551" s="14"/>
      <c r="B551" s="15">
        <v>547</v>
      </c>
      <c r="C551" s="15"/>
      <c r="D551" s="15"/>
      <c r="E551" s="16"/>
      <c r="F551" s="15"/>
      <c r="G551" s="15"/>
      <c r="H551" s="16"/>
      <c r="I551" s="15" t="str">
        <f t="shared" si="90"/>
        <v xml:space="preserve"> </v>
      </c>
      <c r="J551" s="15" t="str">
        <f t="shared" si="91"/>
        <v xml:space="preserve"> </v>
      </c>
      <c r="K551" s="15"/>
      <c r="L551" s="15">
        <f t="shared" si="94"/>
        <v>0</v>
      </c>
      <c r="M551" s="5" t="str">
        <f t="shared" si="87"/>
        <v/>
      </c>
      <c r="N551" s="25" t="str">
        <f>IF(ISBLANK($E551)," ", COUNTIF($M$4:$M551,$M551))</f>
        <v xml:space="preserve"> </v>
      </c>
      <c r="O551" s="25" t="str">
        <f t="shared" si="92"/>
        <v xml:space="preserve"> </v>
      </c>
      <c r="P551" s="5" t="str">
        <f t="shared" si="88"/>
        <v/>
      </c>
      <c r="Q551" s="5" t="str">
        <f t="shared" si="89"/>
        <v/>
      </c>
      <c r="R551" s="5" t="str">
        <f t="shared" si="93"/>
        <v/>
      </c>
    </row>
    <row r="552" spans="1:18" ht="20.25" x14ac:dyDescent="0.3">
      <c r="A552" s="14"/>
      <c r="B552" s="15">
        <v>548</v>
      </c>
      <c r="C552" s="15"/>
      <c r="D552" s="15"/>
      <c r="E552" s="16"/>
      <c r="F552" s="15"/>
      <c r="G552" s="15"/>
      <c r="H552" s="16"/>
      <c r="I552" s="15" t="str">
        <f t="shared" si="90"/>
        <v xml:space="preserve"> </v>
      </c>
      <c r="J552" s="15" t="str">
        <f t="shared" si="91"/>
        <v xml:space="preserve"> </v>
      </c>
      <c r="K552" s="15"/>
      <c r="L552" s="15">
        <f t="shared" si="94"/>
        <v>0</v>
      </c>
      <c r="M552" s="5" t="str">
        <f t="shared" ref="M552:M615" si="95">IF(ISBLANK($E552),"",VLOOKUP($I552,PLAYERS_IDS,2,FALSE)*VLOOKUP($J552,PLAYERS_IDS,2,FALSE))</f>
        <v/>
      </c>
      <c r="N552" s="25" t="str">
        <f>IF(ISBLANK($E552)," ", COUNTIF($M$4:$M552,$M552))</f>
        <v xml:space="preserve"> </v>
      </c>
      <c r="O552" s="25" t="str">
        <f t="shared" si="92"/>
        <v xml:space="preserve"> </v>
      </c>
      <c r="P552" s="5" t="str">
        <f>IF(ISBLANK($F552),"",VLOOKUP($C552,PLAYERS_IDS,2,FALSE)*VLOOKUP($D552,PLAYERS_IDS,2,FALSE))</f>
        <v/>
      </c>
      <c r="Q552" s="5" t="str">
        <f>IF(ISBLANK($F552), "",VLOOKUP($F552,PLAYERS_IDS,2,FALSE)*VLOOKUP($G552,PLAYERS_IDS,2,FALSE))</f>
        <v/>
      </c>
      <c r="R552" s="5" t="str">
        <f t="shared" si="93"/>
        <v/>
      </c>
    </row>
    <row r="553" spans="1:18" ht="20.25" x14ac:dyDescent="0.3">
      <c r="A553" s="14"/>
      <c r="B553" s="15">
        <v>549</v>
      </c>
      <c r="C553" s="15"/>
      <c r="D553" s="15"/>
      <c r="E553" s="16"/>
      <c r="F553" s="15"/>
      <c r="G553" s="15"/>
      <c r="H553" s="16"/>
      <c r="I553" s="15" t="str">
        <f t="shared" si="90"/>
        <v xml:space="preserve"> </v>
      </c>
      <c r="J553" s="15" t="str">
        <f t="shared" si="91"/>
        <v xml:space="preserve"> </v>
      </c>
      <c r="K553" s="15"/>
      <c r="L553" s="15">
        <f t="shared" si="94"/>
        <v>0</v>
      </c>
      <c r="M553" s="5" t="str">
        <f t="shared" si="95"/>
        <v/>
      </c>
      <c r="N553" s="25" t="str">
        <f>IF(ISBLANK($E553)," ", COUNTIF($M$4:$M553,$M553))</f>
        <v xml:space="preserve"> </v>
      </c>
      <c r="O553" s="25" t="str">
        <f t="shared" si="92"/>
        <v xml:space="preserve"> </v>
      </c>
      <c r="P553" s="5" t="str">
        <f t="shared" si="88"/>
        <v/>
      </c>
      <c r="Q553" s="5" t="str">
        <f t="shared" si="89"/>
        <v/>
      </c>
      <c r="R553" s="5" t="str">
        <f t="shared" si="93"/>
        <v/>
      </c>
    </row>
    <row r="554" spans="1:18" ht="20.25" x14ac:dyDescent="0.3">
      <c r="A554" s="14"/>
      <c r="B554" s="15">
        <v>550</v>
      </c>
      <c r="C554" s="15"/>
      <c r="D554" s="15"/>
      <c r="E554" s="16"/>
      <c r="F554" s="15"/>
      <c r="G554" s="15"/>
      <c r="H554" s="16"/>
      <c r="I554" s="15" t="str">
        <f t="shared" si="90"/>
        <v xml:space="preserve"> </v>
      </c>
      <c r="J554" s="15" t="str">
        <f t="shared" si="91"/>
        <v xml:space="preserve"> </v>
      </c>
      <c r="K554" s="15"/>
      <c r="L554" s="15">
        <f t="shared" si="94"/>
        <v>0</v>
      </c>
      <c r="M554" s="5" t="str">
        <f t="shared" si="95"/>
        <v/>
      </c>
      <c r="N554" s="25" t="str">
        <f>IF(ISBLANK($E554)," ", COUNTIF($M$4:$M554,$M554))</f>
        <v xml:space="preserve"> </v>
      </c>
      <c r="O554" s="25" t="str">
        <f t="shared" si="92"/>
        <v xml:space="preserve"> </v>
      </c>
      <c r="P554" s="5" t="str">
        <f t="shared" ref="P554:P617" si="96">IF(ISBLANK($F554),"",VLOOKUP($C554,PLAYERS_IDS,2,FALSE)*VLOOKUP($D554,PLAYERS_IDS,2,FALSE))</f>
        <v/>
      </c>
      <c r="Q554" s="5" t="str">
        <f t="shared" ref="Q554:Q617" si="97">IF(ISBLANK($F554), "",VLOOKUP($F554,PLAYERS_IDS,2,FALSE)*VLOOKUP($G554,PLAYERS_IDS,2,FALSE))</f>
        <v/>
      </c>
      <c r="R554" s="5" t="str">
        <f t="shared" si="93"/>
        <v/>
      </c>
    </row>
    <row r="555" spans="1:18" ht="20.25" x14ac:dyDescent="0.3">
      <c r="A555" s="14"/>
      <c r="B555" s="15">
        <v>551</v>
      </c>
      <c r="C555" s="15"/>
      <c r="D555" s="15"/>
      <c r="E555" s="16"/>
      <c r="F555" s="15"/>
      <c r="G555" s="15"/>
      <c r="H555" s="16"/>
      <c r="I555" s="15" t="str">
        <f t="shared" si="90"/>
        <v xml:space="preserve"> </v>
      </c>
      <c r="J555" s="15" t="str">
        <f t="shared" si="91"/>
        <v xml:space="preserve"> </v>
      </c>
      <c r="K555" s="15"/>
      <c r="L555" s="15">
        <f t="shared" si="94"/>
        <v>0</v>
      </c>
      <c r="M555" s="5" t="str">
        <f t="shared" si="95"/>
        <v/>
      </c>
      <c r="N555" s="25" t="str">
        <f>IF(ISBLANK($E555)," ", COUNTIF($M$4:$M555,$M555))</f>
        <v xml:space="preserve"> </v>
      </c>
      <c r="O555" s="25" t="str">
        <f t="shared" si="92"/>
        <v xml:space="preserve"> </v>
      </c>
      <c r="P555" s="5" t="str">
        <f t="shared" si="96"/>
        <v/>
      </c>
      <c r="Q555" s="5" t="str">
        <f t="shared" si="97"/>
        <v/>
      </c>
      <c r="R555" s="5" t="str">
        <f t="shared" si="93"/>
        <v/>
      </c>
    </row>
    <row r="556" spans="1:18" ht="20.25" x14ac:dyDescent="0.3">
      <c r="A556" s="14"/>
      <c r="B556" s="15">
        <v>552</v>
      </c>
      <c r="C556" s="15"/>
      <c r="D556" s="15"/>
      <c r="E556" s="16"/>
      <c r="F556" s="15"/>
      <c r="G556" s="15"/>
      <c r="H556" s="16"/>
      <c r="I556" s="15" t="str">
        <f t="shared" si="90"/>
        <v xml:space="preserve"> </v>
      </c>
      <c r="J556" s="15" t="str">
        <f t="shared" si="91"/>
        <v xml:space="preserve"> </v>
      </c>
      <c r="K556" s="15"/>
      <c r="L556" s="15">
        <f t="shared" si="94"/>
        <v>0</v>
      </c>
      <c r="M556" s="5" t="str">
        <f t="shared" si="95"/>
        <v/>
      </c>
      <c r="N556" s="25" t="str">
        <f>IF(ISBLANK($E556)," ", COUNTIF($M$4:$M556,$M556))</f>
        <v xml:space="preserve"> </v>
      </c>
      <c r="O556" s="25" t="str">
        <f t="shared" si="92"/>
        <v xml:space="preserve"> </v>
      </c>
      <c r="P556" s="5" t="str">
        <f t="shared" si="96"/>
        <v/>
      </c>
      <c r="Q556" s="5" t="str">
        <f t="shared" si="97"/>
        <v/>
      </c>
      <c r="R556" s="5" t="str">
        <f t="shared" si="93"/>
        <v/>
      </c>
    </row>
    <row r="557" spans="1:18" ht="20.25" x14ac:dyDescent="0.3">
      <c r="A557" s="14"/>
      <c r="B557" s="15">
        <v>553</v>
      </c>
      <c r="C557" s="15"/>
      <c r="D557" s="15"/>
      <c r="E557" s="16"/>
      <c r="F557" s="15"/>
      <c r="G557" s="15"/>
      <c r="H557" s="16"/>
      <c r="I557" s="15" t="str">
        <f t="shared" si="90"/>
        <v xml:space="preserve"> </v>
      </c>
      <c r="J557" s="15" t="str">
        <f t="shared" si="91"/>
        <v xml:space="preserve"> </v>
      </c>
      <c r="K557" s="15"/>
      <c r="L557" s="15">
        <f t="shared" si="94"/>
        <v>0</v>
      </c>
      <c r="M557" s="5" t="str">
        <f t="shared" si="95"/>
        <v/>
      </c>
      <c r="N557" s="25" t="str">
        <f>IF(ISBLANK($E557)," ", COUNTIF($M$4:$M557,$M557))</f>
        <v xml:space="preserve"> </v>
      </c>
      <c r="O557" s="25" t="str">
        <f t="shared" si="92"/>
        <v xml:space="preserve"> </v>
      </c>
      <c r="P557" s="5" t="str">
        <f t="shared" si="96"/>
        <v/>
      </c>
      <c r="Q557" s="5" t="str">
        <f t="shared" si="97"/>
        <v/>
      </c>
      <c r="R557" s="5" t="str">
        <f t="shared" si="93"/>
        <v/>
      </c>
    </row>
    <row r="558" spans="1:18" ht="20.25" x14ac:dyDescent="0.3">
      <c r="A558" s="14"/>
      <c r="B558" s="15">
        <v>554</v>
      </c>
      <c r="C558" s="15"/>
      <c r="D558" s="15"/>
      <c r="E558" s="16"/>
      <c r="F558" s="15"/>
      <c r="G558" s="15"/>
      <c r="H558" s="16"/>
      <c r="I558" s="15" t="str">
        <f t="shared" si="90"/>
        <v xml:space="preserve"> </v>
      </c>
      <c r="J558" s="15" t="str">
        <f t="shared" si="91"/>
        <v xml:space="preserve"> </v>
      </c>
      <c r="K558" s="15"/>
      <c r="L558" s="15">
        <f t="shared" si="94"/>
        <v>0</v>
      </c>
      <c r="M558" s="5" t="str">
        <f t="shared" si="95"/>
        <v/>
      </c>
      <c r="N558" s="25" t="str">
        <f>IF(ISBLANK($E558)," ", COUNTIF($M$4:$M558,$M558))</f>
        <v xml:space="preserve"> </v>
      </c>
      <c r="O558" s="25" t="str">
        <f t="shared" si="92"/>
        <v xml:space="preserve"> </v>
      </c>
      <c r="P558" s="5" t="str">
        <f t="shared" si="96"/>
        <v/>
      </c>
      <c r="Q558" s="5" t="str">
        <f t="shared" si="97"/>
        <v/>
      </c>
      <c r="R558" s="5" t="str">
        <f t="shared" si="93"/>
        <v/>
      </c>
    </row>
    <row r="559" spans="1:18" ht="20.25" x14ac:dyDescent="0.3">
      <c r="A559" s="14"/>
      <c r="B559" s="15">
        <v>555</v>
      </c>
      <c r="C559" s="15"/>
      <c r="D559" s="15"/>
      <c r="E559" s="16"/>
      <c r="F559" s="15"/>
      <c r="G559" s="15"/>
      <c r="H559" s="16"/>
      <c r="I559" s="15" t="str">
        <f t="shared" si="90"/>
        <v xml:space="preserve"> </v>
      </c>
      <c r="J559" s="15" t="str">
        <f t="shared" si="91"/>
        <v xml:space="preserve"> </v>
      </c>
      <c r="K559" s="15"/>
      <c r="L559" s="15">
        <f t="shared" si="94"/>
        <v>0</v>
      </c>
      <c r="M559" s="5" t="str">
        <f t="shared" si="95"/>
        <v/>
      </c>
      <c r="N559" s="25" t="str">
        <f>IF(ISBLANK($E559)," ", COUNTIF($M$4:$M559,$M559))</f>
        <v xml:space="preserve"> </v>
      </c>
      <c r="O559" s="25" t="str">
        <f t="shared" si="92"/>
        <v xml:space="preserve"> </v>
      </c>
      <c r="P559" s="5" t="str">
        <f t="shared" si="96"/>
        <v/>
      </c>
      <c r="Q559" s="5" t="str">
        <f t="shared" si="97"/>
        <v/>
      </c>
      <c r="R559" s="5" t="str">
        <f t="shared" si="93"/>
        <v/>
      </c>
    </row>
    <row r="560" spans="1:18" ht="20.25" x14ac:dyDescent="0.3">
      <c r="A560" s="14"/>
      <c r="B560" s="15">
        <v>556</v>
      </c>
      <c r="C560" s="15"/>
      <c r="D560" s="15"/>
      <c r="E560" s="16"/>
      <c r="F560" s="15"/>
      <c r="G560" s="15"/>
      <c r="H560" s="16"/>
      <c r="I560" s="15" t="str">
        <f t="shared" si="90"/>
        <v xml:space="preserve"> </v>
      </c>
      <c r="J560" s="15" t="str">
        <f t="shared" si="91"/>
        <v xml:space="preserve"> </v>
      </c>
      <c r="K560" s="15"/>
      <c r="L560" s="15">
        <f t="shared" si="94"/>
        <v>0</v>
      </c>
      <c r="M560" s="5" t="str">
        <f t="shared" si="95"/>
        <v/>
      </c>
      <c r="N560" s="25" t="str">
        <f>IF(ISBLANK($E560)," ", COUNTIF($M$4:$M560,$M560))</f>
        <v xml:space="preserve"> </v>
      </c>
      <c r="O560" s="25" t="str">
        <f t="shared" si="92"/>
        <v xml:space="preserve"> </v>
      </c>
      <c r="P560" s="5" t="str">
        <f t="shared" si="96"/>
        <v/>
      </c>
      <c r="Q560" s="5" t="str">
        <f t="shared" si="97"/>
        <v/>
      </c>
      <c r="R560" s="5" t="str">
        <f t="shared" si="93"/>
        <v/>
      </c>
    </row>
    <row r="561" spans="1:18" ht="20.25" x14ac:dyDescent="0.3">
      <c r="A561" s="14"/>
      <c r="B561" s="15">
        <v>557</v>
      </c>
      <c r="C561" s="15"/>
      <c r="D561" s="15"/>
      <c r="E561" s="16"/>
      <c r="F561" s="15"/>
      <c r="G561" s="15"/>
      <c r="H561" s="16"/>
      <c r="I561" s="15" t="str">
        <f t="shared" si="90"/>
        <v xml:space="preserve"> </v>
      </c>
      <c r="J561" s="15" t="str">
        <f t="shared" si="91"/>
        <v xml:space="preserve"> </v>
      </c>
      <c r="K561" s="15"/>
      <c r="L561" s="15">
        <f t="shared" si="94"/>
        <v>0</v>
      </c>
      <c r="M561" s="5" t="str">
        <f t="shared" si="95"/>
        <v/>
      </c>
      <c r="N561" s="25" t="str">
        <f>IF(ISBLANK($E561)," ", COUNTIF($M$4:$M561,$M561))</f>
        <v xml:space="preserve"> </v>
      </c>
      <c r="O561" s="25" t="str">
        <f t="shared" si="92"/>
        <v xml:space="preserve"> </v>
      </c>
      <c r="P561" s="5" t="str">
        <f t="shared" si="96"/>
        <v/>
      </c>
      <c r="Q561" s="5" t="str">
        <f t="shared" si="97"/>
        <v/>
      </c>
      <c r="R561" s="5" t="str">
        <f t="shared" si="93"/>
        <v/>
      </c>
    </row>
    <row r="562" spans="1:18" ht="20.25" x14ac:dyDescent="0.3">
      <c r="A562" s="14"/>
      <c r="B562" s="15">
        <v>558</v>
      </c>
      <c r="C562" s="15"/>
      <c r="D562" s="15"/>
      <c r="E562" s="16"/>
      <c r="F562" s="15"/>
      <c r="G562" s="15"/>
      <c r="H562" s="16"/>
      <c r="I562" s="15" t="str">
        <f t="shared" si="90"/>
        <v xml:space="preserve"> </v>
      </c>
      <c r="J562" s="15" t="str">
        <f t="shared" si="91"/>
        <v xml:space="preserve"> </v>
      </c>
      <c r="K562" s="15"/>
      <c r="L562" s="15">
        <f t="shared" si="94"/>
        <v>0</v>
      </c>
      <c r="M562" s="5" t="str">
        <f t="shared" si="95"/>
        <v/>
      </c>
      <c r="N562" s="25" t="str">
        <f>IF(ISBLANK($E562)," ", COUNTIF($M$4:$M562,$M562))</f>
        <v xml:space="preserve"> </v>
      </c>
      <c r="O562" s="25" t="str">
        <f t="shared" si="92"/>
        <v xml:space="preserve"> </v>
      </c>
      <c r="P562" s="5" t="str">
        <f t="shared" si="96"/>
        <v/>
      </c>
      <c r="Q562" s="5" t="str">
        <f t="shared" si="97"/>
        <v/>
      </c>
      <c r="R562" s="5" t="str">
        <f t="shared" si="93"/>
        <v/>
      </c>
    </row>
    <row r="563" spans="1:18" ht="20.25" x14ac:dyDescent="0.3">
      <c r="A563" s="14"/>
      <c r="B563" s="15">
        <v>559</v>
      </c>
      <c r="C563" s="15"/>
      <c r="D563" s="15"/>
      <c r="E563" s="16"/>
      <c r="F563" s="15"/>
      <c r="G563" s="15"/>
      <c r="H563" s="16"/>
      <c r="I563" s="15" t="str">
        <f t="shared" si="90"/>
        <v xml:space="preserve"> </v>
      </c>
      <c r="J563" s="15" t="str">
        <f t="shared" si="91"/>
        <v xml:space="preserve"> </v>
      </c>
      <c r="K563" s="15"/>
      <c r="L563" s="15">
        <f t="shared" si="94"/>
        <v>0</v>
      </c>
      <c r="M563" s="5" t="str">
        <f t="shared" si="95"/>
        <v/>
      </c>
      <c r="N563" s="25" t="str">
        <f>IF(ISBLANK($E563)," ", COUNTIF($M$4:$M563,$M563))</f>
        <v xml:space="preserve"> </v>
      </c>
      <c r="O563" s="25" t="str">
        <f t="shared" si="92"/>
        <v xml:space="preserve"> </v>
      </c>
      <c r="P563" s="5" t="str">
        <f t="shared" si="96"/>
        <v/>
      </c>
      <c r="Q563" s="5" t="str">
        <f t="shared" si="97"/>
        <v/>
      </c>
      <c r="R563" s="5" t="str">
        <f t="shared" si="93"/>
        <v/>
      </c>
    </row>
    <row r="564" spans="1:18" ht="20.25" x14ac:dyDescent="0.3">
      <c r="A564" s="14"/>
      <c r="B564" s="15">
        <v>560</v>
      </c>
      <c r="C564" s="15"/>
      <c r="D564" s="15"/>
      <c r="E564" s="16"/>
      <c r="F564" s="15"/>
      <c r="G564" s="15"/>
      <c r="H564" s="16"/>
      <c r="I564" s="15" t="str">
        <f t="shared" si="90"/>
        <v xml:space="preserve"> </v>
      </c>
      <c r="J564" s="15" t="str">
        <f t="shared" si="91"/>
        <v xml:space="preserve"> </v>
      </c>
      <c r="K564" s="15"/>
      <c r="L564" s="15">
        <f t="shared" si="94"/>
        <v>0</v>
      </c>
      <c r="M564" s="5" t="str">
        <f t="shared" si="95"/>
        <v/>
      </c>
      <c r="N564" s="25" t="str">
        <f>IF(ISBLANK($E564)," ", COUNTIF($M$4:$M564,$M564))</f>
        <v xml:space="preserve"> </v>
      </c>
      <c r="O564" s="25" t="str">
        <f t="shared" si="92"/>
        <v xml:space="preserve"> </v>
      </c>
      <c r="P564" s="5" t="str">
        <f t="shared" si="96"/>
        <v/>
      </c>
      <c r="Q564" s="5" t="str">
        <f t="shared" si="97"/>
        <v/>
      </c>
      <c r="R564" s="5" t="str">
        <f t="shared" si="93"/>
        <v/>
      </c>
    </row>
    <row r="565" spans="1:18" ht="20.25" x14ac:dyDescent="0.3">
      <c r="A565" s="14"/>
      <c r="B565" s="15">
        <v>561</v>
      </c>
      <c r="C565" s="15"/>
      <c r="D565" s="15"/>
      <c r="E565" s="16"/>
      <c r="F565" s="15"/>
      <c r="G565" s="15"/>
      <c r="H565" s="16"/>
      <c r="I565" s="15" t="str">
        <f t="shared" si="90"/>
        <v xml:space="preserve"> </v>
      </c>
      <c r="J565" s="15" t="str">
        <f t="shared" si="91"/>
        <v xml:space="preserve"> </v>
      </c>
      <c r="K565" s="15"/>
      <c r="L565" s="15">
        <f t="shared" si="94"/>
        <v>0</v>
      </c>
      <c r="M565" s="5" t="str">
        <f t="shared" si="95"/>
        <v/>
      </c>
      <c r="N565" s="25" t="str">
        <f>IF(ISBLANK($E565)," ", COUNTIF($M$4:$M565,$M565))</f>
        <v xml:space="preserve"> </v>
      </c>
      <c r="O565" s="25" t="str">
        <f t="shared" si="92"/>
        <v xml:space="preserve"> </v>
      </c>
      <c r="P565" s="5" t="str">
        <f t="shared" si="96"/>
        <v/>
      </c>
      <c r="Q565" s="5" t="str">
        <f t="shared" si="97"/>
        <v/>
      </c>
      <c r="R565" s="5" t="str">
        <f t="shared" si="93"/>
        <v/>
      </c>
    </row>
    <row r="566" spans="1:18" ht="20.25" x14ac:dyDescent="0.3">
      <c r="A566" s="14"/>
      <c r="B566" s="15">
        <v>562</v>
      </c>
      <c r="C566" s="15"/>
      <c r="D566" s="15"/>
      <c r="E566" s="16"/>
      <c r="F566" s="15"/>
      <c r="G566" s="15"/>
      <c r="H566" s="16"/>
      <c r="I566" s="15" t="str">
        <f t="shared" si="90"/>
        <v xml:space="preserve"> </v>
      </c>
      <c r="J566" s="15" t="str">
        <f t="shared" si="91"/>
        <v xml:space="preserve"> </v>
      </c>
      <c r="K566" s="15"/>
      <c r="L566" s="15">
        <f t="shared" si="94"/>
        <v>0</v>
      </c>
      <c r="M566" s="5" t="str">
        <f t="shared" si="95"/>
        <v/>
      </c>
      <c r="N566" s="25" t="str">
        <f>IF(ISBLANK($E566)," ", COUNTIF($M$4:$M566,$M566))</f>
        <v xml:space="preserve"> </v>
      </c>
      <c r="O566" s="25" t="str">
        <f t="shared" si="92"/>
        <v xml:space="preserve"> </v>
      </c>
      <c r="P566" s="5" t="str">
        <f t="shared" si="96"/>
        <v/>
      </c>
      <c r="Q566" s="5" t="str">
        <f t="shared" si="97"/>
        <v/>
      </c>
      <c r="R566" s="5" t="str">
        <f t="shared" si="93"/>
        <v/>
      </c>
    </row>
    <row r="567" spans="1:18" ht="20.25" x14ac:dyDescent="0.3">
      <c r="A567" s="14"/>
      <c r="B567" s="15">
        <v>563</v>
      </c>
      <c r="C567" s="15"/>
      <c r="D567" s="15"/>
      <c r="E567" s="16"/>
      <c r="F567" s="15"/>
      <c r="G567" s="15"/>
      <c r="H567" s="16"/>
      <c r="I567" s="15" t="str">
        <f t="shared" si="90"/>
        <v xml:space="preserve"> </v>
      </c>
      <c r="J567" s="15" t="str">
        <f t="shared" si="91"/>
        <v xml:space="preserve"> </v>
      </c>
      <c r="K567" s="15"/>
      <c r="L567" s="15">
        <f t="shared" si="94"/>
        <v>0</v>
      </c>
      <c r="M567" s="5" t="str">
        <f t="shared" si="95"/>
        <v/>
      </c>
      <c r="N567" s="25" t="str">
        <f>IF(ISBLANK($E567)," ", COUNTIF($M$4:$M567,$M567))</f>
        <v xml:space="preserve"> </v>
      </c>
      <c r="O567" s="25" t="str">
        <f t="shared" si="92"/>
        <v xml:space="preserve"> </v>
      </c>
      <c r="P567" s="5" t="str">
        <f t="shared" si="96"/>
        <v/>
      </c>
      <c r="Q567" s="5" t="str">
        <f t="shared" si="97"/>
        <v/>
      </c>
      <c r="R567" s="5" t="str">
        <f t="shared" si="93"/>
        <v/>
      </c>
    </row>
    <row r="568" spans="1:18" ht="20.25" x14ac:dyDescent="0.3">
      <c r="A568" s="14"/>
      <c r="B568" s="15">
        <v>564</v>
      </c>
      <c r="C568" s="15"/>
      <c r="D568" s="15"/>
      <c r="E568" s="16"/>
      <c r="F568" s="15"/>
      <c r="G568" s="15"/>
      <c r="H568" s="16"/>
      <c r="I568" s="15" t="str">
        <f t="shared" si="90"/>
        <v xml:space="preserve"> </v>
      </c>
      <c r="J568" s="15" t="str">
        <f t="shared" si="91"/>
        <v xml:space="preserve"> </v>
      </c>
      <c r="K568" s="15"/>
      <c r="L568" s="15">
        <f t="shared" si="94"/>
        <v>0</v>
      </c>
      <c r="M568" s="5" t="str">
        <f t="shared" si="95"/>
        <v/>
      </c>
      <c r="N568" s="25" t="str">
        <f>IF(ISBLANK($E568)," ", COUNTIF($M$4:$M568,$M568))</f>
        <v xml:space="preserve"> </v>
      </c>
      <c r="O568" s="25" t="str">
        <f t="shared" si="92"/>
        <v xml:space="preserve"> </v>
      </c>
      <c r="P568" s="5" t="str">
        <f t="shared" si="96"/>
        <v/>
      </c>
      <c r="Q568" s="5" t="str">
        <f t="shared" si="97"/>
        <v/>
      </c>
      <c r="R568" s="5" t="str">
        <f t="shared" si="93"/>
        <v/>
      </c>
    </row>
    <row r="569" spans="1:18" ht="20.25" x14ac:dyDescent="0.3">
      <c r="A569" s="14"/>
      <c r="B569" s="15">
        <v>565</v>
      </c>
      <c r="C569" s="15"/>
      <c r="D569" s="15"/>
      <c r="E569" s="16"/>
      <c r="F569" s="15"/>
      <c r="G569" s="15"/>
      <c r="H569" s="16"/>
      <c r="I569" s="15" t="str">
        <f t="shared" si="90"/>
        <v xml:space="preserve"> </v>
      </c>
      <c r="J569" s="15" t="str">
        <f t="shared" si="91"/>
        <v xml:space="preserve"> </v>
      </c>
      <c r="K569" s="15"/>
      <c r="L569" s="15">
        <f t="shared" si="94"/>
        <v>0</v>
      </c>
      <c r="M569" s="5" t="str">
        <f t="shared" si="95"/>
        <v/>
      </c>
      <c r="N569" s="25" t="str">
        <f>IF(ISBLANK($E569)," ", COUNTIF($M$4:$M569,$M569))</f>
        <v xml:space="preserve"> </v>
      </c>
      <c r="O569" s="25" t="str">
        <f t="shared" si="92"/>
        <v xml:space="preserve"> </v>
      </c>
      <c r="P569" s="5" t="str">
        <f t="shared" si="96"/>
        <v/>
      </c>
      <c r="Q569" s="5" t="str">
        <f t="shared" si="97"/>
        <v/>
      </c>
      <c r="R569" s="5" t="str">
        <f t="shared" si="93"/>
        <v/>
      </c>
    </row>
    <row r="570" spans="1:18" ht="20.25" x14ac:dyDescent="0.3">
      <c r="A570" s="14"/>
      <c r="B570" s="15">
        <v>566</v>
      </c>
      <c r="C570" s="15"/>
      <c r="D570" s="15"/>
      <c r="E570" s="16"/>
      <c r="F570" s="15"/>
      <c r="G570" s="15"/>
      <c r="H570" s="16"/>
      <c r="I570" s="15" t="str">
        <f t="shared" si="90"/>
        <v xml:space="preserve"> </v>
      </c>
      <c r="J570" s="15" t="str">
        <f t="shared" si="91"/>
        <v xml:space="preserve"> </v>
      </c>
      <c r="K570" s="15"/>
      <c r="L570" s="15">
        <f t="shared" si="94"/>
        <v>0</v>
      </c>
      <c r="M570" s="5" t="str">
        <f t="shared" si="95"/>
        <v/>
      </c>
      <c r="N570" s="25" t="str">
        <f>IF(ISBLANK($E570)," ", COUNTIF($M$4:$M570,$M570))</f>
        <v xml:space="preserve"> </v>
      </c>
      <c r="O570" s="25" t="str">
        <f t="shared" si="92"/>
        <v xml:space="preserve"> </v>
      </c>
      <c r="P570" s="5" t="str">
        <f t="shared" si="96"/>
        <v/>
      </c>
      <c r="Q570" s="5" t="str">
        <f t="shared" si="97"/>
        <v/>
      </c>
      <c r="R570" s="5" t="str">
        <f t="shared" si="93"/>
        <v/>
      </c>
    </row>
    <row r="571" spans="1:18" ht="20.25" x14ac:dyDescent="0.3">
      <c r="A571" s="14"/>
      <c r="B571" s="15">
        <v>567</v>
      </c>
      <c r="C571" s="15"/>
      <c r="D571" s="15"/>
      <c r="E571" s="16"/>
      <c r="F571" s="15"/>
      <c r="G571" s="15"/>
      <c r="H571" s="16"/>
      <c r="I571" s="15" t="str">
        <f t="shared" si="90"/>
        <v xml:space="preserve"> </v>
      </c>
      <c r="J571" s="15" t="str">
        <f t="shared" si="91"/>
        <v xml:space="preserve"> </v>
      </c>
      <c r="K571" s="15"/>
      <c r="L571" s="15">
        <f t="shared" si="94"/>
        <v>0</v>
      </c>
      <c r="M571" s="5" t="str">
        <f t="shared" si="95"/>
        <v/>
      </c>
      <c r="N571" s="25" t="str">
        <f>IF(ISBLANK($E571)," ", COUNTIF($M$4:$M571,$M571))</f>
        <v xml:space="preserve"> </v>
      </c>
      <c r="O571" s="25" t="str">
        <f t="shared" si="92"/>
        <v xml:space="preserve"> </v>
      </c>
      <c r="P571" s="5" t="str">
        <f t="shared" si="96"/>
        <v/>
      </c>
      <c r="Q571" s="5" t="str">
        <f t="shared" si="97"/>
        <v/>
      </c>
      <c r="R571" s="5" t="str">
        <f t="shared" si="93"/>
        <v/>
      </c>
    </row>
    <row r="572" spans="1:18" ht="20.25" x14ac:dyDescent="0.3">
      <c r="A572" s="14"/>
      <c r="B572" s="15">
        <v>568</v>
      </c>
      <c r="C572" s="15"/>
      <c r="D572" s="15"/>
      <c r="E572" s="16"/>
      <c r="F572" s="15"/>
      <c r="G572" s="15"/>
      <c r="H572" s="16"/>
      <c r="I572" s="15" t="str">
        <f t="shared" si="90"/>
        <v xml:space="preserve"> </v>
      </c>
      <c r="J572" s="15" t="str">
        <f t="shared" si="91"/>
        <v xml:space="preserve"> </v>
      </c>
      <c r="K572" s="15"/>
      <c r="L572" s="15">
        <f t="shared" si="94"/>
        <v>0</v>
      </c>
      <c r="M572" s="5" t="str">
        <f t="shared" si="95"/>
        <v/>
      </c>
      <c r="N572" s="25" t="str">
        <f>IF(ISBLANK($E572)," ", COUNTIF($M$4:$M572,$M572))</f>
        <v xml:space="preserve"> </v>
      </c>
      <c r="O572" s="25" t="str">
        <f t="shared" si="92"/>
        <v xml:space="preserve"> </v>
      </c>
      <c r="P572" s="5" t="str">
        <f t="shared" si="96"/>
        <v/>
      </c>
      <c r="Q572" s="5" t="str">
        <f t="shared" si="97"/>
        <v/>
      </c>
      <c r="R572" s="5" t="str">
        <f t="shared" si="93"/>
        <v/>
      </c>
    </row>
    <row r="573" spans="1:18" ht="20.25" x14ac:dyDescent="0.3">
      <c r="A573" s="14"/>
      <c r="B573" s="15">
        <v>569</v>
      </c>
      <c r="C573" s="15"/>
      <c r="D573" s="15"/>
      <c r="E573" s="16"/>
      <c r="F573" s="15"/>
      <c r="G573" s="15"/>
      <c r="H573" s="16"/>
      <c r="I573" s="15" t="str">
        <f t="shared" si="90"/>
        <v xml:space="preserve"> </v>
      </c>
      <c r="J573" s="15" t="str">
        <f t="shared" si="91"/>
        <v xml:space="preserve"> </v>
      </c>
      <c r="K573" s="15"/>
      <c r="L573" s="15">
        <f t="shared" si="94"/>
        <v>0</v>
      </c>
      <c r="M573" s="5" t="str">
        <f t="shared" si="95"/>
        <v/>
      </c>
      <c r="N573" s="25" t="str">
        <f>IF(ISBLANK($E573)," ", COUNTIF($M$4:$M573,$M573))</f>
        <v xml:space="preserve"> </v>
      </c>
      <c r="O573" s="25" t="str">
        <f t="shared" si="92"/>
        <v xml:space="preserve"> </v>
      </c>
      <c r="P573" s="5" t="str">
        <f t="shared" si="96"/>
        <v/>
      </c>
      <c r="Q573" s="5" t="str">
        <f t="shared" si="97"/>
        <v/>
      </c>
      <c r="R573" s="5" t="str">
        <f t="shared" si="93"/>
        <v/>
      </c>
    </row>
    <row r="574" spans="1:18" ht="20.25" x14ac:dyDescent="0.3">
      <c r="A574" s="14"/>
      <c r="B574" s="15">
        <v>570</v>
      </c>
      <c r="C574" s="15"/>
      <c r="D574" s="15"/>
      <c r="E574" s="16"/>
      <c r="F574" s="15"/>
      <c r="G574" s="15"/>
      <c r="H574" s="16"/>
      <c r="I574" s="15" t="str">
        <f t="shared" si="90"/>
        <v xml:space="preserve"> </v>
      </c>
      <c r="J574" s="15" t="str">
        <f t="shared" si="91"/>
        <v xml:space="preserve"> </v>
      </c>
      <c r="K574" s="15"/>
      <c r="L574" s="15">
        <f t="shared" si="94"/>
        <v>0</v>
      </c>
      <c r="M574" s="5" t="str">
        <f t="shared" si="95"/>
        <v/>
      </c>
      <c r="N574" s="25" t="str">
        <f>IF(ISBLANK($E574)," ", COUNTIF($M$4:$M574,$M574))</f>
        <v xml:space="preserve"> </v>
      </c>
      <c r="O574" s="25" t="str">
        <f t="shared" si="92"/>
        <v xml:space="preserve"> </v>
      </c>
      <c r="P574" s="5" t="str">
        <f t="shared" si="96"/>
        <v/>
      </c>
      <c r="Q574" s="5" t="str">
        <f t="shared" si="97"/>
        <v/>
      </c>
      <c r="R574" s="5" t="str">
        <f t="shared" si="93"/>
        <v/>
      </c>
    </row>
    <row r="575" spans="1:18" ht="20.25" x14ac:dyDescent="0.3">
      <c r="A575" s="14"/>
      <c r="B575" s="15">
        <v>571</v>
      </c>
      <c r="C575" s="15"/>
      <c r="D575" s="15"/>
      <c r="E575" s="16"/>
      <c r="F575" s="15"/>
      <c r="G575" s="15"/>
      <c r="H575" s="16"/>
      <c r="I575" s="15" t="str">
        <f t="shared" si="90"/>
        <v xml:space="preserve"> </v>
      </c>
      <c r="J575" s="15" t="str">
        <f t="shared" si="91"/>
        <v xml:space="preserve"> </v>
      </c>
      <c r="K575" s="15"/>
      <c r="L575" s="15">
        <f t="shared" si="94"/>
        <v>0</v>
      </c>
      <c r="M575" s="5" t="str">
        <f t="shared" si="95"/>
        <v/>
      </c>
      <c r="N575" s="25" t="str">
        <f>IF(ISBLANK($E575)," ", COUNTIF($M$4:$M575,$M575))</f>
        <v xml:space="preserve"> </v>
      </c>
      <c r="O575" s="25" t="str">
        <f t="shared" si="92"/>
        <v xml:space="preserve"> </v>
      </c>
      <c r="P575" s="5" t="str">
        <f t="shared" si="96"/>
        <v/>
      </c>
      <c r="Q575" s="5" t="str">
        <f t="shared" si="97"/>
        <v/>
      </c>
      <c r="R575" s="5" t="str">
        <f t="shared" si="93"/>
        <v/>
      </c>
    </row>
    <row r="576" spans="1:18" ht="20.25" x14ac:dyDescent="0.3">
      <c r="A576" s="14"/>
      <c r="B576" s="15">
        <v>572</v>
      </c>
      <c r="C576" s="15"/>
      <c r="D576" s="15"/>
      <c r="E576" s="16"/>
      <c r="F576" s="15"/>
      <c r="G576" s="15"/>
      <c r="H576" s="16"/>
      <c r="I576" s="15" t="str">
        <f t="shared" si="90"/>
        <v xml:space="preserve"> </v>
      </c>
      <c r="J576" s="15" t="str">
        <f t="shared" si="91"/>
        <v xml:space="preserve"> </v>
      </c>
      <c r="K576" s="15"/>
      <c r="L576" s="15">
        <f t="shared" si="94"/>
        <v>0</v>
      </c>
      <c r="M576" s="5" t="str">
        <f t="shared" si="95"/>
        <v/>
      </c>
      <c r="N576" s="25" t="str">
        <f>IF(ISBLANK($E576)," ", COUNTIF($M$4:$M576,$M576))</f>
        <v xml:space="preserve"> </v>
      </c>
      <c r="O576" s="25" t="str">
        <f t="shared" si="92"/>
        <v xml:space="preserve"> </v>
      </c>
      <c r="P576" s="5" t="str">
        <f t="shared" si="96"/>
        <v/>
      </c>
      <c r="Q576" s="5" t="str">
        <f t="shared" si="97"/>
        <v/>
      </c>
      <c r="R576" s="5" t="str">
        <f t="shared" si="93"/>
        <v/>
      </c>
    </row>
    <row r="577" spans="1:18" ht="20.25" x14ac:dyDescent="0.3">
      <c r="A577" s="14"/>
      <c r="B577" s="15">
        <v>573</v>
      </c>
      <c r="C577" s="15"/>
      <c r="D577" s="15"/>
      <c r="E577" s="16"/>
      <c r="F577" s="15"/>
      <c r="G577" s="15"/>
      <c r="H577" s="16"/>
      <c r="I577" s="15" t="str">
        <f t="shared" ref="I577:I640" si="98">IF(ISBLANK($E577)," ",IF($E577&gt;$H577,$C577,$F577))</f>
        <v xml:space="preserve"> </v>
      </c>
      <c r="J577" s="15" t="str">
        <f t="shared" ref="J577:J640" si="99">IF(ISBLANK($E577)," ",IF($E577&gt;$H577,$D577,$G577))</f>
        <v xml:space="preserve"> </v>
      </c>
      <c r="K577" s="15"/>
      <c r="L577" s="15">
        <f t="shared" si="94"/>
        <v>0</v>
      </c>
      <c r="M577" s="5" t="str">
        <f t="shared" si="95"/>
        <v/>
      </c>
      <c r="N577" s="25" t="str">
        <f>IF(ISBLANK($E577)," ", COUNTIF($M$4:$M577,$M577))</f>
        <v xml:space="preserve"> </v>
      </c>
      <c r="O577" s="25" t="str">
        <f t="shared" ref="O577:O640" si="100">IF(N577 =" ", " ", IF(N577=1,15,(IF(N577=2,15,(IF(N577=3,15,15))))))</f>
        <v xml:space="preserve"> </v>
      </c>
      <c r="P577" s="5" t="str">
        <f t="shared" si="96"/>
        <v/>
      </c>
      <c r="Q577" s="5" t="str">
        <f t="shared" si="97"/>
        <v/>
      </c>
      <c r="R577" s="5" t="str">
        <f t="shared" si="93"/>
        <v/>
      </c>
    </row>
    <row r="578" spans="1:18" ht="20.25" x14ac:dyDescent="0.3">
      <c r="A578" s="14"/>
      <c r="B578" s="15">
        <v>574</v>
      </c>
      <c r="C578" s="15"/>
      <c r="D578" s="15"/>
      <c r="E578" s="16"/>
      <c r="F578" s="15"/>
      <c r="G578" s="15"/>
      <c r="H578" s="16"/>
      <c r="I578" s="15" t="str">
        <f t="shared" si="98"/>
        <v xml:space="preserve"> </v>
      </c>
      <c r="J578" s="15" t="str">
        <f t="shared" si="99"/>
        <v xml:space="preserve"> </v>
      </c>
      <c r="K578" s="15"/>
      <c r="L578" s="15">
        <f t="shared" ref="L578:L641" si="101">E578-H578</f>
        <v>0</v>
      </c>
      <c r="M578" s="5" t="str">
        <f t="shared" si="95"/>
        <v/>
      </c>
      <c r="N578" s="25" t="str">
        <f>IF(ISBLANK($E578)," ", COUNTIF($M$4:$M578,$M578))</f>
        <v xml:space="preserve"> </v>
      </c>
      <c r="O578" s="25" t="str">
        <f t="shared" si="100"/>
        <v xml:space="preserve"> </v>
      </c>
      <c r="P578" s="5" t="str">
        <f t="shared" si="96"/>
        <v/>
      </c>
      <c r="Q578" s="5" t="str">
        <f t="shared" si="97"/>
        <v/>
      </c>
      <c r="R578" s="5" t="str">
        <f t="shared" ref="R578:R641" si="102">IFERROR((P578*100000)+Q578,"")</f>
        <v/>
      </c>
    </row>
    <row r="579" spans="1:18" ht="20.25" x14ac:dyDescent="0.3">
      <c r="A579" s="14"/>
      <c r="B579" s="15">
        <v>575</v>
      </c>
      <c r="C579" s="15"/>
      <c r="D579" s="15"/>
      <c r="E579" s="16"/>
      <c r="F579" s="15"/>
      <c r="G579" s="15"/>
      <c r="H579" s="16"/>
      <c r="I579" s="15" t="str">
        <f t="shared" si="98"/>
        <v xml:space="preserve"> </v>
      </c>
      <c r="J579" s="15" t="str">
        <f t="shared" si="99"/>
        <v xml:space="preserve"> </v>
      </c>
      <c r="K579" s="15"/>
      <c r="L579" s="15">
        <f t="shared" si="101"/>
        <v>0</v>
      </c>
      <c r="M579" s="5" t="str">
        <f t="shared" si="95"/>
        <v/>
      </c>
      <c r="N579" s="25" t="str">
        <f>IF(ISBLANK($E579)," ", COUNTIF($M$4:$M579,$M579))</f>
        <v xml:space="preserve"> </v>
      </c>
      <c r="O579" s="25" t="str">
        <f t="shared" si="100"/>
        <v xml:space="preserve"> </v>
      </c>
      <c r="P579" s="5" t="str">
        <f t="shared" si="96"/>
        <v/>
      </c>
      <c r="Q579" s="5" t="str">
        <f t="shared" si="97"/>
        <v/>
      </c>
      <c r="R579" s="5" t="str">
        <f t="shared" si="102"/>
        <v/>
      </c>
    </row>
    <row r="580" spans="1:18" ht="20.25" x14ac:dyDescent="0.3">
      <c r="A580" s="14"/>
      <c r="B580" s="15">
        <v>576</v>
      </c>
      <c r="C580" s="15"/>
      <c r="D580" s="15"/>
      <c r="E580" s="16"/>
      <c r="F580" s="15"/>
      <c r="G580" s="15"/>
      <c r="H580" s="16"/>
      <c r="I580" s="15" t="str">
        <f t="shared" si="98"/>
        <v xml:space="preserve"> </v>
      </c>
      <c r="J580" s="15" t="str">
        <f t="shared" si="99"/>
        <v xml:space="preserve"> </v>
      </c>
      <c r="K580" s="15"/>
      <c r="L580" s="15">
        <f t="shared" si="101"/>
        <v>0</v>
      </c>
      <c r="M580" s="5" t="str">
        <f t="shared" si="95"/>
        <v/>
      </c>
      <c r="N580" s="25" t="str">
        <f>IF(ISBLANK($E580)," ", COUNTIF($M$4:$M580,$M580))</f>
        <v xml:space="preserve"> </v>
      </c>
      <c r="O580" s="25" t="str">
        <f t="shared" si="100"/>
        <v xml:space="preserve"> </v>
      </c>
      <c r="P580" s="5" t="str">
        <f t="shared" si="96"/>
        <v/>
      </c>
      <c r="Q580" s="5" t="str">
        <f t="shared" si="97"/>
        <v/>
      </c>
      <c r="R580" s="5" t="str">
        <f t="shared" si="102"/>
        <v/>
      </c>
    </row>
    <row r="581" spans="1:18" ht="20.25" x14ac:dyDescent="0.3">
      <c r="A581" s="14"/>
      <c r="B581" s="15">
        <v>577</v>
      </c>
      <c r="C581" s="15"/>
      <c r="D581" s="15"/>
      <c r="E581" s="16"/>
      <c r="F581" s="15"/>
      <c r="G581" s="15"/>
      <c r="H581" s="16"/>
      <c r="I581" s="15" t="str">
        <f t="shared" si="98"/>
        <v xml:space="preserve"> </v>
      </c>
      <c r="J581" s="15" t="str">
        <f t="shared" si="99"/>
        <v xml:space="preserve"> </v>
      </c>
      <c r="K581" s="15"/>
      <c r="L581" s="15">
        <f t="shared" si="101"/>
        <v>0</v>
      </c>
      <c r="M581" s="5" t="str">
        <f t="shared" si="95"/>
        <v/>
      </c>
      <c r="N581" s="25" t="str">
        <f>IF(ISBLANK($E581)," ", COUNTIF($M$4:$M581,$M581))</f>
        <v xml:space="preserve"> </v>
      </c>
      <c r="O581" s="25" t="str">
        <f t="shared" si="100"/>
        <v xml:space="preserve"> </v>
      </c>
      <c r="P581" s="5" t="str">
        <f t="shared" si="96"/>
        <v/>
      </c>
      <c r="Q581" s="5" t="str">
        <f t="shared" si="97"/>
        <v/>
      </c>
      <c r="R581" s="5" t="str">
        <f t="shared" si="102"/>
        <v/>
      </c>
    </row>
    <row r="582" spans="1:18" ht="20.25" x14ac:dyDescent="0.3">
      <c r="A582" s="14"/>
      <c r="B582" s="15">
        <v>578</v>
      </c>
      <c r="C582" s="15"/>
      <c r="D582" s="15"/>
      <c r="E582" s="16"/>
      <c r="F582" s="15"/>
      <c r="G582" s="15"/>
      <c r="H582" s="16"/>
      <c r="I582" s="15" t="str">
        <f t="shared" si="98"/>
        <v xml:space="preserve"> </v>
      </c>
      <c r="J582" s="15" t="str">
        <f t="shared" si="99"/>
        <v xml:space="preserve"> </v>
      </c>
      <c r="K582" s="15"/>
      <c r="L582" s="15">
        <f t="shared" si="101"/>
        <v>0</v>
      </c>
      <c r="M582" s="5" t="str">
        <f t="shared" si="95"/>
        <v/>
      </c>
      <c r="N582" s="25" t="str">
        <f>IF(ISBLANK($E582)," ", COUNTIF($M$4:$M582,$M582))</f>
        <v xml:space="preserve"> </v>
      </c>
      <c r="O582" s="25" t="str">
        <f t="shared" si="100"/>
        <v xml:space="preserve"> </v>
      </c>
      <c r="P582" s="5" t="str">
        <f t="shared" si="96"/>
        <v/>
      </c>
      <c r="Q582" s="5" t="str">
        <f t="shared" si="97"/>
        <v/>
      </c>
      <c r="R582" s="5" t="str">
        <f t="shared" si="102"/>
        <v/>
      </c>
    </row>
    <row r="583" spans="1:18" ht="20.25" x14ac:dyDescent="0.3">
      <c r="A583" s="14"/>
      <c r="B583" s="15">
        <v>579</v>
      </c>
      <c r="C583" s="15"/>
      <c r="D583" s="15"/>
      <c r="E583" s="16"/>
      <c r="F583" s="15"/>
      <c r="G583" s="15"/>
      <c r="H583" s="16"/>
      <c r="I583" s="15" t="str">
        <f t="shared" si="98"/>
        <v xml:space="preserve"> </v>
      </c>
      <c r="J583" s="15" t="str">
        <f t="shared" si="99"/>
        <v xml:space="preserve"> </v>
      </c>
      <c r="K583" s="15"/>
      <c r="L583" s="15">
        <f t="shared" si="101"/>
        <v>0</v>
      </c>
      <c r="M583" s="5" t="str">
        <f t="shared" si="95"/>
        <v/>
      </c>
      <c r="N583" s="25" t="str">
        <f>IF(ISBLANK($E583)," ", COUNTIF($M$4:$M583,$M583))</f>
        <v xml:space="preserve"> </v>
      </c>
      <c r="O583" s="25" t="str">
        <f t="shared" si="100"/>
        <v xml:space="preserve"> </v>
      </c>
      <c r="P583" s="5" t="str">
        <f t="shared" si="96"/>
        <v/>
      </c>
      <c r="Q583" s="5" t="str">
        <f t="shared" si="97"/>
        <v/>
      </c>
      <c r="R583" s="5" t="str">
        <f t="shared" si="102"/>
        <v/>
      </c>
    </row>
    <row r="584" spans="1:18" ht="20.25" x14ac:dyDescent="0.3">
      <c r="A584" s="14"/>
      <c r="B584" s="15">
        <v>580</v>
      </c>
      <c r="C584" s="15"/>
      <c r="D584" s="15"/>
      <c r="E584" s="16"/>
      <c r="F584" s="15"/>
      <c r="G584" s="15"/>
      <c r="H584" s="16"/>
      <c r="I584" s="15" t="str">
        <f t="shared" si="98"/>
        <v xml:space="preserve"> </v>
      </c>
      <c r="J584" s="15" t="str">
        <f t="shared" si="99"/>
        <v xml:space="preserve"> </v>
      </c>
      <c r="K584" s="15"/>
      <c r="L584" s="15">
        <f t="shared" si="101"/>
        <v>0</v>
      </c>
      <c r="M584" s="5" t="str">
        <f t="shared" si="95"/>
        <v/>
      </c>
      <c r="N584" s="25" t="str">
        <f>IF(ISBLANK($E584)," ", COUNTIF($M$4:$M584,$M584))</f>
        <v xml:space="preserve"> </v>
      </c>
      <c r="O584" s="25" t="str">
        <f t="shared" si="100"/>
        <v xml:space="preserve"> </v>
      </c>
      <c r="P584" s="5" t="str">
        <f t="shared" si="96"/>
        <v/>
      </c>
      <c r="Q584" s="5" t="str">
        <f t="shared" si="97"/>
        <v/>
      </c>
      <c r="R584" s="5" t="str">
        <f t="shared" si="102"/>
        <v/>
      </c>
    </row>
    <row r="585" spans="1:18" ht="20.25" x14ac:dyDescent="0.3">
      <c r="A585" s="14"/>
      <c r="B585" s="15">
        <v>581</v>
      </c>
      <c r="C585" s="15"/>
      <c r="D585" s="15"/>
      <c r="E585" s="16"/>
      <c r="F585" s="15"/>
      <c r="G585" s="15"/>
      <c r="H585" s="16"/>
      <c r="I585" s="15" t="str">
        <f t="shared" si="98"/>
        <v xml:space="preserve"> </v>
      </c>
      <c r="J585" s="15" t="str">
        <f t="shared" si="99"/>
        <v xml:space="preserve"> </v>
      </c>
      <c r="K585" s="15"/>
      <c r="L585" s="15">
        <f t="shared" si="101"/>
        <v>0</v>
      </c>
      <c r="M585" s="5" t="str">
        <f t="shared" si="95"/>
        <v/>
      </c>
      <c r="N585" s="25" t="str">
        <f>IF(ISBLANK($E585)," ", COUNTIF($M$4:$M585,$M585))</f>
        <v xml:space="preserve"> </v>
      </c>
      <c r="O585" s="25" t="str">
        <f t="shared" si="100"/>
        <v xml:space="preserve"> </v>
      </c>
      <c r="P585" s="5" t="str">
        <f t="shared" si="96"/>
        <v/>
      </c>
      <c r="Q585" s="5" t="str">
        <f t="shared" si="97"/>
        <v/>
      </c>
      <c r="R585" s="5" t="str">
        <f t="shared" si="102"/>
        <v/>
      </c>
    </row>
    <row r="586" spans="1:18" ht="20.25" x14ac:dyDescent="0.3">
      <c r="A586" s="14"/>
      <c r="B586" s="15">
        <v>582</v>
      </c>
      <c r="C586" s="15"/>
      <c r="D586" s="15"/>
      <c r="E586" s="16"/>
      <c r="F586" s="15"/>
      <c r="G586" s="15"/>
      <c r="H586" s="16"/>
      <c r="I586" s="15" t="str">
        <f t="shared" si="98"/>
        <v xml:space="preserve"> </v>
      </c>
      <c r="J586" s="15" t="str">
        <f t="shared" si="99"/>
        <v xml:space="preserve"> </v>
      </c>
      <c r="K586" s="15"/>
      <c r="L586" s="15">
        <f t="shared" si="101"/>
        <v>0</v>
      </c>
      <c r="M586" s="5" t="str">
        <f t="shared" si="95"/>
        <v/>
      </c>
      <c r="N586" s="25" t="str">
        <f>IF(ISBLANK($E586)," ", COUNTIF($M$4:$M586,$M586))</f>
        <v xml:space="preserve"> </v>
      </c>
      <c r="O586" s="25" t="str">
        <f t="shared" si="100"/>
        <v xml:space="preserve"> </v>
      </c>
      <c r="P586" s="5" t="str">
        <f t="shared" si="96"/>
        <v/>
      </c>
      <c r="Q586" s="5" t="str">
        <f t="shared" si="97"/>
        <v/>
      </c>
      <c r="R586" s="5" t="str">
        <f t="shared" si="102"/>
        <v/>
      </c>
    </row>
    <row r="587" spans="1:18" ht="20.25" x14ac:dyDescent="0.3">
      <c r="A587" s="14"/>
      <c r="B587" s="15">
        <v>583</v>
      </c>
      <c r="C587" s="15"/>
      <c r="D587" s="15"/>
      <c r="E587" s="16"/>
      <c r="F587" s="15"/>
      <c r="G587" s="15"/>
      <c r="H587" s="16"/>
      <c r="I587" s="15" t="str">
        <f t="shared" si="98"/>
        <v xml:space="preserve"> </v>
      </c>
      <c r="J587" s="15" t="str">
        <f t="shared" si="99"/>
        <v xml:space="preserve"> </v>
      </c>
      <c r="K587" s="15"/>
      <c r="L587" s="15">
        <f t="shared" si="101"/>
        <v>0</v>
      </c>
      <c r="M587" s="5" t="str">
        <f t="shared" si="95"/>
        <v/>
      </c>
      <c r="N587" s="25" t="str">
        <f>IF(ISBLANK($E587)," ", COUNTIF($M$4:$M587,$M587))</f>
        <v xml:space="preserve"> </v>
      </c>
      <c r="O587" s="25" t="str">
        <f t="shared" si="100"/>
        <v xml:space="preserve"> </v>
      </c>
      <c r="P587" s="5" t="str">
        <f t="shared" si="96"/>
        <v/>
      </c>
      <c r="Q587" s="5" t="str">
        <f t="shared" si="97"/>
        <v/>
      </c>
      <c r="R587" s="5" t="str">
        <f t="shared" si="102"/>
        <v/>
      </c>
    </row>
    <row r="588" spans="1:18" ht="20.25" x14ac:dyDescent="0.3">
      <c r="A588" s="14"/>
      <c r="B588" s="15">
        <v>584</v>
      </c>
      <c r="C588" s="15"/>
      <c r="D588" s="15"/>
      <c r="E588" s="16"/>
      <c r="F588" s="15"/>
      <c r="G588" s="15"/>
      <c r="H588" s="16"/>
      <c r="I588" s="15" t="str">
        <f t="shared" si="98"/>
        <v xml:space="preserve"> </v>
      </c>
      <c r="J588" s="15" t="str">
        <f t="shared" si="99"/>
        <v xml:space="preserve"> </v>
      </c>
      <c r="K588" s="15"/>
      <c r="L588" s="15">
        <f t="shared" si="101"/>
        <v>0</v>
      </c>
      <c r="M588" s="5" t="str">
        <f t="shared" si="95"/>
        <v/>
      </c>
      <c r="N588" s="25" t="str">
        <f>IF(ISBLANK($E588)," ", COUNTIF($M$4:$M588,$M588))</f>
        <v xml:space="preserve"> </v>
      </c>
      <c r="O588" s="25" t="str">
        <f t="shared" si="100"/>
        <v xml:space="preserve"> </v>
      </c>
      <c r="P588" s="5" t="str">
        <f t="shared" si="96"/>
        <v/>
      </c>
      <c r="Q588" s="5" t="str">
        <f t="shared" si="97"/>
        <v/>
      </c>
      <c r="R588" s="5" t="str">
        <f t="shared" si="102"/>
        <v/>
      </c>
    </row>
    <row r="589" spans="1:18" ht="20.25" x14ac:dyDescent="0.3">
      <c r="A589" s="14"/>
      <c r="B589" s="15">
        <v>585</v>
      </c>
      <c r="C589" s="15"/>
      <c r="D589" s="15"/>
      <c r="E589" s="16"/>
      <c r="F589" s="15"/>
      <c r="G589" s="15"/>
      <c r="H589" s="16"/>
      <c r="I589" s="15" t="str">
        <f t="shared" si="98"/>
        <v xml:space="preserve"> </v>
      </c>
      <c r="J589" s="15" t="str">
        <f t="shared" si="99"/>
        <v xml:space="preserve"> </v>
      </c>
      <c r="K589" s="15"/>
      <c r="L589" s="15">
        <f t="shared" si="101"/>
        <v>0</v>
      </c>
      <c r="M589" s="5" t="str">
        <f t="shared" si="95"/>
        <v/>
      </c>
      <c r="N589" s="25" t="str">
        <f>IF(ISBLANK($E589)," ", COUNTIF($M$4:$M589,$M589))</f>
        <v xml:space="preserve"> </v>
      </c>
      <c r="O589" s="25" t="str">
        <f t="shared" si="100"/>
        <v xml:space="preserve"> </v>
      </c>
      <c r="P589" s="5" t="str">
        <f t="shared" si="96"/>
        <v/>
      </c>
      <c r="Q589" s="5" t="str">
        <f t="shared" si="97"/>
        <v/>
      </c>
      <c r="R589" s="5" t="str">
        <f t="shared" si="102"/>
        <v/>
      </c>
    </row>
    <row r="590" spans="1:18" ht="20.25" x14ac:dyDescent="0.3">
      <c r="A590" s="14"/>
      <c r="B590" s="15">
        <v>586</v>
      </c>
      <c r="C590" s="15"/>
      <c r="D590" s="15"/>
      <c r="E590" s="16"/>
      <c r="F590" s="15"/>
      <c r="G590" s="15"/>
      <c r="H590" s="16"/>
      <c r="I590" s="15" t="str">
        <f t="shared" si="98"/>
        <v xml:space="preserve"> </v>
      </c>
      <c r="J590" s="15" t="str">
        <f t="shared" si="99"/>
        <v xml:space="preserve"> </v>
      </c>
      <c r="K590" s="15"/>
      <c r="L590" s="15">
        <f t="shared" si="101"/>
        <v>0</v>
      </c>
      <c r="M590" s="5" t="str">
        <f t="shared" si="95"/>
        <v/>
      </c>
      <c r="N590" s="25" t="str">
        <f>IF(ISBLANK($E590)," ", COUNTIF($M$4:$M590,$M590))</f>
        <v xml:space="preserve"> </v>
      </c>
      <c r="O590" s="25" t="str">
        <f t="shared" si="100"/>
        <v xml:space="preserve"> </v>
      </c>
      <c r="P590" s="5" t="str">
        <f t="shared" si="96"/>
        <v/>
      </c>
      <c r="Q590" s="5" t="str">
        <f t="shared" si="97"/>
        <v/>
      </c>
      <c r="R590" s="5" t="str">
        <f t="shared" si="102"/>
        <v/>
      </c>
    </row>
    <row r="591" spans="1:18" ht="20.25" x14ac:dyDescent="0.3">
      <c r="A591" s="14"/>
      <c r="B591" s="15">
        <v>587</v>
      </c>
      <c r="C591" s="15"/>
      <c r="D591" s="15"/>
      <c r="E591" s="16"/>
      <c r="F591" s="15"/>
      <c r="G591" s="15"/>
      <c r="H591" s="16"/>
      <c r="I591" s="15" t="str">
        <f t="shared" si="98"/>
        <v xml:space="preserve"> </v>
      </c>
      <c r="J591" s="15" t="str">
        <f t="shared" si="99"/>
        <v xml:space="preserve"> </v>
      </c>
      <c r="K591" s="15"/>
      <c r="L591" s="15">
        <f t="shared" si="101"/>
        <v>0</v>
      </c>
      <c r="M591" s="5" t="str">
        <f t="shared" si="95"/>
        <v/>
      </c>
      <c r="N591" s="25" t="str">
        <f>IF(ISBLANK($E591)," ", COUNTIF($M$4:$M591,$M591))</f>
        <v xml:space="preserve"> </v>
      </c>
      <c r="O591" s="25" t="str">
        <f t="shared" si="100"/>
        <v xml:space="preserve"> </v>
      </c>
      <c r="P591" s="5" t="str">
        <f t="shared" si="96"/>
        <v/>
      </c>
      <c r="Q591" s="5" t="str">
        <f t="shared" si="97"/>
        <v/>
      </c>
      <c r="R591" s="5" t="str">
        <f t="shared" si="102"/>
        <v/>
      </c>
    </row>
    <row r="592" spans="1:18" ht="20.25" x14ac:dyDescent="0.3">
      <c r="A592" s="14"/>
      <c r="B592" s="15">
        <v>588</v>
      </c>
      <c r="C592" s="15"/>
      <c r="D592" s="15"/>
      <c r="E592" s="16"/>
      <c r="F592" s="15"/>
      <c r="G592" s="15"/>
      <c r="H592" s="16"/>
      <c r="I592" s="15" t="str">
        <f t="shared" si="98"/>
        <v xml:space="preserve"> </v>
      </c>
      <c r="J592" s="15" t="str">
        <f t="shared" si="99"/>
        <v xml:space="preserve"> </v>
      </c>
      <c r="K592" s="15"/>
      <c r="L592" s="15">
        <f t="shared" si="101"/>
        <v>0</v>
      </c>
      <c r="M592" s="5" t="str">
        <f t="shared" si="95"/>
        <v/>
      </c>
      <c r="N592" s="25" t="str">
        <f>IF(ISBLANK($E592)," ", COUNTIF($M$4:$M592,$M592))</f>
        <v xml:space="preserve"> </v>
      </c>
      <c r="O592" s="25" t="str">
        <f t="shared" si="100"/>
        <v xml:space="preserve"> </v>
      </c>
      <c r="P592" s="5" t="str">
        <f t="shared" si="96"/>
        <v/>
      </c>
      <c r="Q592" s="5" t="str">
        <f t="shared" si="97"/>
        <v/>
      </c>
      <c r="R592" s="5" t="str">
        <f t="shared" si="102"/>
        <v/>
      </c>
    </row>
    <row r="593" spans="1:18" ht="20.25" x14ac:dyDescent="0.3">
      <c r="A593" s="14"/>
      <c r="B593" s="15">
        <v>589</v>
      </c>
      <c r="C593" s="15"/>
      <c r="D593" s="15"/>
      <c r="E593" s="16"/>
      <c r="F593" s="15"/>
      <c r="G593" s="15"/>
      <c r="H593" s="16"/>
      <c r="I593" s="15" t="str">
        <f t="shared" si="98"/>
        <v xml:space="preserve"> </v>
      </c>
      <c r="J593" s="15" t="str">
        <f t="shared" si="99"/>
        <v xml:space="preserve"> </v>
      </c>
      <c r="K593" s="15"/>
      <c r="L593" s="15">
        <f t="shared" si="101"/>
        <v>0</v>
      </c>
      <c r="M593" s="5" t="str">
        <f t="shared" si="95"/>
        <v/>
      </c>
      <c r="N593" s="25" t="str">
        <f>IF(ISBLANK($E593)," ", COUNTIF($M$4:$M593,$M593))</f>
        <v xml:space="preserve"> </v>
      </c>
      <c r="O593" s="25" t="str">
        <f t="shared" si="100"/>
        <v xml:space="preserve"> </v>
      </c>
      <c r="P593" s="5" t="str">
        <f t="shared" si="96"/>
        <v/>
      </c>
      <c r="Q593" s="5" t="str">
        <f t="shared" si="97"/>
        <v/>
      </c>
      <c r="R593" s="5" t="str">
        <f t="shared" si="102"/>
        <v/>
      </c>
    </row>
    <row r="594" spans="1:18" ht="20.25" x14ac:dyDescent="0.3">
      <c r="A594" s="14"/>
      <c r="B594" s="15">
        <v>590</v>
      </c>
      <c r="C594" s="15"/>
      <c r="D594" s="15"/>
      <c r="E594" s="16"/>
      <c r="F594" s="15"/>
      <c r="G594" s="15"/>
      <c r="H594" s="16"/>
      <c r="I594" s="15" t="str">
        <f t="shared" si="98"/>
        <v xml:space="preserve"> </v>
      </c>
      <c r="J594" s="15" t="str">
        <f t="shared" si="99"/>
        <v xml:space="preserve"> </v>
      </c>
      <c r="K594" s="15"/>
      <c r="L594" s="15">
        <f t="shared" si="101"/>
        <v>0</v>
      </c>
      <c r="M594" s="5" t="str">
        <f t="shared" si="95"/>
        <v/>
      </c>
      <c r="N594" s="25" t="str">
        <f>IF(ISBLANK($E594)," ", COUNTIF($M$4:$M594,$M594))</f>
        <v xml:space="preserve"> </v>
      </c>
      <c r="O594" s="25" t="str">
        <f t="shared" si="100"/>
        <v xml:space="preserve"> </v>
      </c>
      <c r="P594" s="5" t="str">
        <f t="shared" si="96"/>
        <v/>
      </c>
      <c r="Q594" s="5" t="str">
        <f t="shared" si="97"/>
        <v/>
      </c>
      <c r="R594" s="5" t="str">
        <f t="shared" si="102"/>
        <v/>
      </c>
    </row>
    <row r="595" spans="1:18" ht="20.25" x14ac:dyDescent="0.3">
      <c r="A595" s="14"/>
      <c r="B595" s="15">
        <v>591</v>
      </c>
      <c r="C595" s="15"/>
      <c r="D595" s="15"/>
      <c r="E595" s="16"/>
      <c r="F595" s="15"/>
      <c r="G595" s="15"/>
      <c r="H595" s="16"/>
      <c r="I595" s="15" t="str">
        <f t="shared" si="98"/>
        <v xml:space="preserve"> </v>
      </c>
      <c r="J595" s="15" t="str">
        <f t="shared" si="99"/>
        <v xml:space="preserve"> </v>
      </c>
      <c r="K595" s="15"/>
      <c r="L595" s="15">
        <f t="shared" si="101"/>
        <v>0</v>
      </c>
      <c r="M595" s="5" t="str">
        <f t="shared" si="95"/>
        <v/>
      </c>
      <c r="N595" s="25" t="str">
        <f>IF(ISBLANK($E595)," ", COUNTIF($M$4:$M595,$M595))</f>
        <v xml:space="preserve"> </v>
      </c>
      <c r="O595" s="25" t="str">
        <f t="shared" si="100"/>
        <v xml:space="preserve"> </v>
      </c>
      <c r="P595" s="5" t="str">
        <f t="shared" si="96"/>
        <v/>
      </c>
      <c r="Q595" s="5" t="str">
        <f t="shared" si="97"/>
        <v/>
      </c>
      <c r="R595" s="5" t="str">
        <f t="shared" si="102"/>
        <v/>
      </c>
    </row>
    <row r="596" spans="1:18" ht="20.25" x14ac:dyDescent="0.3">
      <c r="A596" s="14"/>
      <c r="B596" s="15">
        <v>592</v>
      </c>
      <c r="C596" s="15"/>
      <c r="D596" s="15"/>
      <c r="E596" s="16"/>
      <c r="F596" s="15"/>
      <c r="G596" s="15"/>
      <c r="H596" s="16"/>
      <c r="I596" s="15" t="str">
        <f t="shared" si="98"/>
        <v xml:space="preserve"> </v>
      </c>
      <c r="J596" s="15" t="str">
        <f t="shared" si="99"/>
        <v xml:space="preserve"> </v>
      </c>
      <c r="K596" s="15"/>
      <c r="L596" s="15">
        <f t="shared" si="101"/>
        <v>0</v>
      </c>
      <c r="M596" s="5" t="str">
        <f t="shared" si="95"/>
        <v/>
      </c>
      <c r="N596" s="25" t="str">
        <f>IF(ISBLANK($E596)," ", COUNTIF($M$4:$M596,$M596))</f>
        <v xml:space="preserve"> </v>
      </c>
      <c r="O596" s="25" t="str">
        <f t="shared" si="100"/>
        <v xml:space="preserve"> </v>
      </c>
      <c r="P596" s="5" t="str">
        <f t="shared" si="96"/>
        <v/>
      </c>
      <c r="Q596" s="5" t="str">
        <f t="shared" si="97"/>
        <v/>
      </c>
      <c r="R596" s="5" t="str">
        <f t="shared" si="102"/>
        <v/>
      </c>
    </row>
    <row r="597" spans="1:18" ht="20.25" x14ac:dyDescent="0.3">
      <c r="A597" s="14"/>
      <c r="B597" s="15">
        <v>593</v>
      </c>
      <c r="C597" s="15"/>
      <c r="D597" s="15"/>
      <c r="E597" s="16"/>
      <c r="F597" s="15"/>
      <c r="G597" s="15"/>
      <c r="H597" s="16"/>
      <c r="I597" s="15" t="str">
        <f t="shared" si="98"/>
        <v xml:space="preserve"> </v>
      </c>
      <c r="J597" s="15" t="str">
        <f t="shared" si="99"/>
        <v xml:space="preserve"> </v>
      </c>
      <c r="K597" s="15"/>
      <c r="L597" s="15">
        <f t="shared" si="101"/>
        <v>0</v>
      </c>
      <c r="M597" s="5" t="str">
        <f t="shared" si="95"/>
        <v/>
      </c>
      <c r="N597" s="25" t="str">
        <f>IF(ISBLANK($E597)," ", COUNTIF($M$4:$M597,$M597))</f>
        <v xml:space="preserve"> </v>
      </c>
      <c r="O597" s="25" t="str">
        <f t="shared" si="100"/>
        <v xml:space="preserve"> </v>
      </c>
      <c r="P597" s="5" t="str">
        <f t="shared" si="96"/>
        <v/>
      </c>
      <c r="Q597" s="5" t="str">
        <f t="shared" si="97"/>
        <v/>
      </c>
      <c r="R597" s="5" t="str">
        <f t="shared" si="102"/>
        <v/>
      </c>
    </row>
    <row r="598" spans="1:18" ht="20.25" x14ac:dyDescent="0.3">
      <c r="A598" s="14"/>
      <c r="B598" s="15">
        <v>594</v>
      </c>
      <c r="C598" s="15"/>
      <c r="D598" s="15"/>
      <c r="E598" s="16"/>
      <c r="F598" s="15"/>
      <c r="G598" s="15"/>
      <c r="H598" s="16"/>
      <c r="I598" s="15" t="str">
        <f t="shared" si="98"/>
        <v xml:space="preserve"> </v>
      </c>
      <c r="J598" s="15" t="str">
        <f t="shared" si="99"/>
        <v xml:space="preserve"> </v>
      </c>
      <c r="K598" s="15"/>
      <c r="L598" s="15">
        <f t="shared" si="101"/>
        <v>0</v>
      </c>
      <c r="M598" s="5" t="str">
        <f t="shared" si="95"/>
        <v/>
      </c>
      <c r="N598" s="25" t="str">
        <f>IF(ISBLANK($E598)," ", COUNTIF($M$4:$M598,$M598))</f>
        <v xml:space="preserve"> </v>
      </c>
      <c r="O598" s="25" t="str">
        <f t="shared" si="100"/>
        <v xml:space="preserve"> </v>
      </c>
      <c r="P598" s="5" t="str">
        <f t="shared" si="96"/>
        <v/>
      </c>
      <c r="Q598" s="5" t="str">
        <f t="shared" si="97"/>
        <v/>
      </c>
      <c r="R598" s="5" t="str">
        <f t="shared" si="102"/>
        <v/>
      </c>
    </row>
    <row r="599" spans="1:18" ht="20.25" x14ac:dyDescent="0.3">
      <c r="A599" s="14"/>
      <c r="B599" s="15">
        <v>595</v>
      </c>
      <c r="C599" s="15"/>
      <c r="D599" s="15"/>
      <c r="E599" s="16"/>
      <c r="F599" s="15"/>
      <c r="G599" s="15"/>
      <c r="H599" s="16"/>
      <c r="I599" s="15" t="str">
        <f t="shared" si="98"/>
        <v xml:space="preserve"> </v>
      </c>
      <c r="J599" s="15" t="str">
        <f t="shared" si="99"/>
        <v xml:space="preserve"> </v>
      </c>
      <c r="K599" s="15"/>
      <c r="L599" s="15">
        <f t="shared" si="101"/>
        <v>0</v>
      </c>
      <c r="M599" s="5" t="str">
        <f t="shared" si="95"/>
        <v/>
      </c>
      <c r="N599" s="25" t="str">
        <f>IF(ISBLANK($E599)," ", COUNTIF($M$4:$M599,$M599))</f>
        <v xml:space="preserve"> </v>
      </c>
      <c r="O599" s="25" t="str">
        <f t="shared" si="100"/>
        <v xml:space="preserve"> </v>
      </c>
      <c r="P599" s="5" t="str">
        <f t="shared" si="96"/>
        <v/>
      </c>
      <c r="Q599" s="5" t="str">
        <f t="shared" si="97"/>
        <v/>
      </c>
      <c r="R599" s="5" t="str">
        <f t="shared" si="102"/>
        <v/>
      </c>
    </row>
    <row r="600" spans="1:18" ht="20.25" x14ac:dyDescent="0.3">
      <c r="A600" s="14"/>
      <c r="B600" s="15">
        <v>596</v>
      </c>
      <c r="C600" s="15"/>
      <c r="D600" s="15"/>
      <c r="E600" s="16"/>
      <c r="F600" s="15"/>
      <c r="G600" s="15"/>
      <c r="H600" s="16"/>
      <c r="I600" s="15" t="str">
        <f t="shared" si="98"/>
        <v xml:space="preserve"> </v>
      </c>
      <c r="J600" s="15" t="str">
        <f t="shared" si="99"/>
        <v xml:space="preserve"> </v>
      </c>
      <c r="K600" s="15"/>
      <c r="L600" s="15">
        <f t="shared" si="101"/>
        <v>0</v>
      </c>
      <c r="M600" s="5" t="str">
        <f t="shared" si="95"/>
        <v/>
      </c>
      <c r="N600" s="25" t="str">
        <f>IF(ISBLANK($E600)," ", COUNTIF($M$4:$M600,$M600))</f>
        <v xml:space="preserve"> </v>
      </c>
      <c r="O600" s="25" t="str">
        <f t="shared" si="100"/>
        <v xml:space="preserve"> </v>
      </c>
      <c r="P600" s="5" t="str">
        <f t="shared" si="96"/>
        <v/>
      </c>
      <c r="Q600" s="5" t="str">
        <f t="shared" si="97"/>
        <v/>
      </c>
      <c r="R600" s="5" t="str">
        <f t="shared" si="102"/>
        <v/>
      </c>
    </row>
    <row r="601" spans="1:18" ht="20.25" x14ac:dyDescent="0.3">
      <c r="A601" s="14"/>
      <c r="B601" s="15">
        <v>597</v>
      </c>
      <c r="C601" s="15"/>
      <c r="D601" s="15"/>
      <c r="E601" s="16"/>
      <c r="F601" s="15"/>
      <c r="G601" s="15"/>
      <c r="H601" s="16"/>
      <c r="I601" s="15" t="str">
        <f t="shared" si="98"/>
        <v xml:space="preserve"> </v>
      </c>
      <c r="J601" s="15" t="str">
        <f t="shared" si="99"/>
        <v xml:space="preserve"> </v>
      </c>
      <c r="K601" s="15"/>
      <c r="L601" s="15">
        <f t="shared" si="101"/>
        <v>0</v>
      </c>
      <c r="M601" s="5" t="str">
        <f t="shared" si="95"/>
        <v/>
      </c>
      <c r="N601" s="25" t="str">
        <f>IF(ISBLANK($E601)," ", COUNTIF($M$4:$M601,$M601))</f>
        <v xml:space="preserve"> </v>
      </c>
      <c r="O601" s="25" t="str">
        <f t="shared" si="100"/>
        <v xml:space="preserve"> </v>
      </c>
      <c r="P601" s="5" t="str">
        <f t="shared" si="96"/>
        <v/>
      </c>
      <c r="Q601" s="5" t="str">
        <f t="shared" si="97"/>
        <v/>
      </c>
      <c r="R601" s="5" t="str">
        <f t="shared" si="102"/>
        <v/>
      </c>
    </row>
    <row r="602" spans="1:18" ht="20.25" x14ac:dyDescent="0.3">
      <c r="A602" s="14"/>
      <c r="B602" s="15">
        <v>598</v>
      </c>
      <c r="C602" s="15"/>
      <c r="D602" s="15"/>
      <c r="E602" s="16"/>
      <c r="F602" s="15"/>
      <c r="G602" s="15"/>
      <c r="H602" s="16"/>
      <c r="I602" s="15" t="str">
        <f t="shared" si="98"/>
        <v xml:space="preserve"> </v>
      </c>
      <c r="J602" s="15" t="str">
        <f t="shared" si="99"/>
        <v xml:space="preserve"> </v>
      </c>
      <c r="K602" s="15"/>
      <c r="L602" s="15">
        <f t="shared" si="101"/>
        <v>0</v>
      </c>
      <c r="M602" s="5" t="str">
        <f t="shared" si="95"/>
        <v/>
      </c>
      <c r="N602" s="25" t="str">
        <f>IF(ISBLANK($E602)," ", COUNTIF($M$4:$M602,$M602))</f>
        <v xml:space="preserve"> </v>
      </c>
      <c r="O602" s="25" t="str">
        <f t="shared" si="100"/>
        <v xml:space="preserve"> </v>
      </c>
      <c r="P602" s="5" t="str">
        <f t="shared" si="96"/>
        <v/>
      </c>
      <c r="Q602" s="5" t="str">
        <f t="shared" si="97"/>
        <v/>
      </c>
      <c r="R602" s="5" t="str">
        <f t="shared" si="102"/>
        <v/>
      </c>
    </row>
    <row r="603" spans="1:18" ht="20.25" x14ac:dyDescent="0.3">
      <c r="A603" s="14"/>
      <c r="B603" s="15">
        <v>599</v>
      </c>
      <c r="C603" s="15"/>
      <c r="D603" s="15"/>
      <c r="E603" s="16"/>
      <c r="F603" s="15"/>
      <c r="G603" s="15"/>
      <c r="H603" s="16"/>
      <c r="I603" s="15" t="str">
        <f t="shared" si="98"/>
        <v xml:space="preserve"> </v>
      </c>
      <c r="J603" s="15" t="str">
        <f t="shared" si="99"/>
        <v xml:space="preserve"> </v>
      </c>
      <c r="K603" s="15"/>
      <c r="L603" s="15">
        <f t="shared" si="101"/>
        <v>0</v>
      </c>
      <c r="M603" s="5" t="str">
        <f t="shared" si="95"/>
        <v/>
      </c>
      <c r="N603" s="25" t="str">
        <f>IF(ISBLANK($E603)," ", COUNTIF($M$4:$M603,$M603))</f>
        <v xml:space="preserve"> </v>
      </c>
      <c r="O603" s="25" t="str">
        <f t="shared" si="100"/>
        <v xml:space="preserve"> </v>
      </c>
      <c r="P603" s="5" t="str">
        <f t="shared" si="96"/>
        <v/>
      </c>
      <c r="Q603" s="5" t="str">
        <f t="shared" si="97"/>
        <v/>
      </c>
      <c r="R603" s="5" t="str">
        <f t="shared" si="102"/>
        <v/>
      </c>
    </row>
    <row r="604" spans="1:18" ht="20.25" x14ac:dyDescent="0.3">
      <c r="A604" s="14"/>
      <c r="B604" s="15">
        <v>600</v>
      </c>
      <c r="C604" s="15"/>
      <c r="D604" s="15"/>
      <c r="E604" s="16"/>
      <c r="F604" s="15"/>
      <c r="G604" s="15"/>
      <c r="H604" s="16"/>
      <c r="I604" s="15" t="str">
        <f t="shared" si="98"/>
        <v xml:space="preserve"> </v>
      </c>
      <c r="J604" s="15" t="str">
        <f t="shared" si="99"/>
        <v xml:space="preserve"> </v>
      </c>
      <c r="K604" s="15"/>
      <c r="L604" s="15">
        <f t="shared" si="101"/>
        <v>0</v>
      </c>
      <c r="M604" s="5" t="str">
        <f t="shared" si="95"/>
        <v/>
      </c>
      <c r="N604" s="25" t="str">
        <f>IF(ISBLANK($E604)," ", COUNTIF($M$4:$M604,$M604))</f>
        <v xml:space="preserve"> </v>
      </c>
      <c r="O604" s="25" t="str">
        <f t="shared" si="100"/>
        <v xml:space="preserve"> </v>
      </c>
      <c r="P604" s="5" t="str">
        <f t="shared" si="96"/>
        <v/>
      </c>
      <c r="Q604" s="5" t="str">
        <f t="shared" si="97"/>
        <v/>
      </c>
      <c r="R604" s="5" t="str">
        <f t="shared" si="102"/>
        <v/>
      </c>
    </row>
    <row r="605" spans="1:18" ht="20.25" x14ac:dyDescent="0.3">
      <c r="A605" s="14"/>
      <c r="B605" s="15">
        <v>601</v>
      </c>
      <c r="C605" s="15"/>
      <c r="D605" s="15"/>
      <c r="E605" s="16"/>
      <c r="F605" s="15"/>
      <c r="G605" s="15"/>
      <c r="H605" s="16"/>
      <c r="I605" s="15" t="str">
        <f t="shared" si="98"/>
        <v xml:space="preserve"> </v>
      </c>
      <c r="J605" s="15" t="str">
        <f t="shared" si="99"/>
        <v xml:space="preserve"> </v>
      </c>
      <c r="K605" s="15"/>
      <c r="L605" s="15">
        <f t="shared" si="101"/>
        <v>0</v>
      </c>
      <c r="M605" s="5" t="str">
        <f t="shared" si="95"/>
        <v/>
      </c>
      <c r="N605" s="25" t="str">
        <f>IF(ISBLANK($E605)," ", COUNTIF($M$4:$M605,$M605))</f>
        <v xml:space="preserve"> </v>
      </c>
      <c r="O605" s="25" t="str">
        <f t="shared" si="100"/>
        <v xml:space="preserve"> </v>
      </c>
      <c r="P605" s="5" t="str">
        <f t="shared" si="96"/>
        <v/>
      </c>
      <c r="Q605" s="5" t="str">
        <f t="shared" si="97"/>
        <v/>
      </c>
      <c r="R605" s="5" t="str">
        <f t="shared" si="102"/>
        <v/>
      </c>
    </row>
    <row r="606" spans="1:18" ht="20.25" x14ac:dyDescent="0.3">
      <c r="A606" s="14"/>
      <c r="B606" s="15">
        <v>602</v>
      </c>
      <c r="C606" s="15"/>
      <c r="D606" s="15"/>
      <c r="E606" s="16"/>
      <c r="F606" s="15"/>
      <c r="G606" s="15"/>
      <c r="H606" s="16"/>
      <c r="I606" s="15" t="str">
        <f t="shared" si="98"/>
        <v xml:space="preserve"> </v>
      </c>
      <c r="J606" s="15" t="str">
        <f t="shared" si="99"/>
        <v xml:space="preserve"> </v>
      </c>
      <c r="K606" s="15"/>
      <c r="L606" s="15">
        <f t="shared" si="101"/>
        <v>0</v>
      </c>
      <c r="M606" s="5" t="str">
        <f t="shared" si="95"/>
        <v/>
      </c>
      <c r="N606" s="25" t="str">
        <f>IF(ISBLANK($E606)," ", COUNTIF($M$4:$M606,$M606))</f>
        <v xml:space="preserve"> </v>
      </c>
      <c r="O606" s="25" t="str">
        <f t="shared" si="100"/>
        <v xml:space="preserve"> </v>
      </c>
      <c r="P606" s="5" t="str">
        <f t="shared" si="96"/>
        <v/>
      </c>
      <c r="Q606" s="5" t="str">
        <f t="shared" si="97"/>
        <v/>
      </c>
      <c r="R606" s="5" t="str">
        <f t="shared" si="102"/>
        <v/>
      </c>
    </row>
    <row r="607" spans="1:18" ht="20.25" x14ac:dyDescent="0.3">
      <c r="A607" s="14"/>
      <c r="B607" s="15">
        <v>603</v>
      </c>
      <c r="C607" s="15"/>
      <c r="D607" s="15"/>
      <c r="E607" s="16"/>
      <c r="F607" s="15"/>
      <c r="G607" s="15"/>
      <c r="H607" s="16"/>
      <c r="I607" s="15" t="str">
        <f t="shared" si="98"/>
        <v xml:space="preserve"> </v>
      </c>
      <c r="J607" s="15" t="str">
        <f t="shared" si="99"/>
        <v xml:space="preserve"> </v>
      </c>
      <c r="K607" s="15"/>
      <c r="L607" s="15">
        <f t="shared" si="101"/>
        <v>0</v>
      </c>
      <c r="M607" s="5" t="str">
        <f t="shared" si="95"/>
        <v/>
      </c>
      <c r="N607" s="25" t="str">
        <f>IF(ISBLANK($E607)," ", COUNTIF($M$4:$M607,$M607))</f>
        <v xml:space="preserve"> </v>
      </c>
      <c r="O607" s="25" t="str">
        <f t="shared" si="100"/>
        <v xml:space="preserve"> </v>
      </c>
      <c r="P607" s="5" t="str">
        <f t="shared" si="96"/>
        <v/>
      </c>
      <c r="Q607" s="5" t="str">
        <f t="shared" si="97"/>
        <v/>
      </c>
      <c r="R607" s="5" t="str">
        <f t="shared" si="102"/>
        <v/>
      </c>
    </row>
    <row r="608" spans="1:18" ht="20.25" x14ac:dyDescent="0.3">
      <c r="A608" s="14"/>
      <c r="B608" s="15">
        <v>604</v>
      </c>
      <c r="C608" s="15"/>
      <c r="D608" s="15"/>
      <c r="E608" s="16"/>
      <c r="F608" s="15"/>
      <c r="G608" s="15"/>
      <c r="H608" s="16"/>
      <c r="I608" s="15" t="str">
        <f t="shared" si="98"/>
        <v xml:space="preserve"> </v>
      </c>
      <c r="J608" s="15" t="str">
        <f t="shared" si="99"/>
        <v xml:space="preserve"> </v>
      </c>
      <c r="K608" s="15"/>
      <c r="L608" s="15">
        <f t="shared" si="101"/>
        <v>0</v>
      </c>
      <c r="M608" s="5" t="str">
        <f t="shared" si="95"/>
        <v/>
      </c>
      <c r="N608" s="25" t="str">
        <f>IF(ISBLANK($E608)," ", COUNTIF($M$4:$M608,$M608))</f>
        <v xml:space="preserve"> </v>
      </c>
      <c r="O608" s="25" t="str">
        <f t="shared" si="100"/>
        <v xml:space="preserve"> </v>
      </c>
      <c r="P608" s="5" t="str">
        <f t="shared" si="96"/>
        <v/>
      </c>
      <c r="Q608" s="5" t="str">
        <f t="shared" si="97"/>
        <v/>
      </c>
      <c r="R608" s="5" t="str">
        <f t="shared" si="102"/>
        <v/>
      </c>
    </row>
    <row r="609" spans="1:18" ht="20.25" x14ac:dyDescent="0.3">
      <c r="A609" s="14"/>
      <c r="B609" s="15">
        <v>605</v>
      </c>
      <c r="C609" s="15"/>
      <c r="D609" s="15"/>
      <c r="E609" s="16"/>
      <c r="F609" s="15"/>
      <c r="G609" s="15"/>
      <c r="H609" s="16"/>
      <c r="I609" s="15" t="str">
        <f t="shared" si="98"/>
        <v xml:space="preserve"> </v>
      </c>
      <c r="J609" s="15" t="str">
        <f t="shared" si="99"/>
        <v xml:space="preserve"> </v>
      </c>
      <c r="K609" s="15"/>
      <c r="L609" s="15">
        <f t="shared" si="101"/>
        <v>0</v>
      </c>
      <c r="M609" s="5" t="str">
        <f t="shared" si="95"/>
        <v/>
      </c>
      <c r="N609" s="25" t="str">
        <f>IF(ISBLANK($E609)," ", COUNTIF($M$4:$M609,$M609))</f>
        <v xml:space="preserve"> </v>
      </c>
      <c r="O609" s="25" t="str">
        <f t="shared" si="100"/>
        <v xml:space="preserve"> </v>
      </c>
      <c r="P609" s="5" t="str">
        <f t="shared" si="96"/>
        <v/>
      </c>
      <c r="Q609" s="5" t="str">
        <f t="shared" si="97"/>
        <v/>
      </c>
      <c r="R609" s="5" t="str">
        <f t="shared" si="102"/>
        <v/>
      </c>
    </row>
    <row r="610" spans="1:18" ht="20.25" x14ac:dyDescent="0.3">
      <c r="A610" s="14"/>
      <c r="B610" s="15">
        <v>606</v>
      </c>
      <c r="C610" s="15"/>
      <c r="D610" s="15"/>
      <c r="E610" s="16"/>
      <c r="F610" s="15"/>
      <c r="G610" s="15"/>
      <c r="H610" s="16"/>
      <c r="I610" s="15" t="str">
        <f t="shared" si="98"/>
        <v xml:space="preserve"> </v>
      </c>
      <c r="J610" s="15" t="str">
        <f t="shared" si="99"/>
        <v xml:space="preserve"> </v>
      </c>
      <c r="K610" s="15"/>
      <c r="L610" s="15">
        <f t="shared" si="101"/>
        <v>0</v>
      </c>
      <c r="M610" s="5" t="str">
        <f t="shared" si="95"/>
        <v/>
      </c>
      <c r="N610" s="25" t="str">
        <f>IF(ISBLANK($E610)," ", COUNTIF($M$4:$M610,$M610))</f>
        <v xml:space="preserve"> </v>
      </c>
      <c r="O610" s="25" t="str">
        <f t="shared" si="100"/>
        <v xml:space="preserve"> </v>
      </c>
      <c r="P610" s="5" t="str">
        <f t="shared" si="96"/>
        <v/>
      </c>
      <c r="Q610" s="5" t="str">
        <f t="shared" si="97"/>
        <v/>
      </c>
      <c r="R610" s="5" t="str">
        <f t="shared" si="102"/>
        <v/>
      </c>
    </row>
    <row r="611" spans="1:18" ht="20.25" x14ac:dyDescent="0.3">
      <c r="A611" s="14"/>
      <c r="B611" s="15">
        <v>607</v>
      </c>
      <c r="C611" s="15"/>
      <c r="D611" s="15"/>
      <c r="E611" s="16"/>
      <c r="F611" s="15"/>
      <c r="G611" s="15"/>
      <c r="H611" s="16"/>
      <c r="I611" s="15" t="str">
        <f t="shared" si="98"/>
        <v xml:space="preserve"> </v>
      </c>
      <c r="J611" s="15" t="str">
        <f t="shared" si="99"/>
        <v xml:space="preserve"> </v>
      </c>
      <c r="K611" s="15"/>
      <c r="L611" s="15">
        <f t="shared" si="101"/>
        <v>0</v>
      </c>
      <c r="M611" s="5" t="str">
        <f t="shared" si="95"/>
        <v/>
      </c>
      <c r="N611" s="25" t="str">
        <f>IF(ISBLANK($E611)," ", COUNTIF($M$4:$M611,$M611))</f>
        <v xml:space="preserve"> </v>
      </c>
      <c r="O611" s="25" t="str">
        <f t="shared" si="100"/>
        <v xml:space="preserve"> </v>
      </c>
      <c r="P611" s="5" t="str">
        <f t="shared" si="96"/>
        <v/>
      </c>
      <c r="Q611" s="5" t="str">
        <f t="shared" si="97"/>
        <v/>
      </c>
      <c r="R611" s="5" t="str">
        <f t="shared" si="102"/>
        <v/>
      </c>
    </row>
    <row r="612" spans="1:18" ht="20.25" x14ac:dyDescent="0.3">
      <c r="A612" s="14"/>
      <c r="B612" s="15">
        <v>608</v>
      </c>
      <c r="C612" s="15"/>
      <c r="D612" s="15"/>
      <c r="E612" s="16"/>
      <c r="F612" s="15"/>
      <c r="G612" s="15"/>
      <c r="H612" s="16"/>
      <c r="I612" s="15" t="str">
        <f t="shared" si="98"/>
        <v xml:space="preserve"> </v>
      </c>
      <c r="J612" s="15" t="str">
        <f t="shared" si="99"/>
        <v xml:space="preserve"> </v>
      </c>
      <c r="K612" s="15"/>
      <c r="L612" s="15">
        <f t="shared" si="101"/>
        <v>0</v>
      </c>
      <c r="M612" s="5" t="str">
        <f t="shared" si="95"/>
        <v/>
      </c>
      <c r="N612" s="25" t="str">
        <f>IF(ISBLANK($E612)," ", COUNTIF($M$4:$M612,$M612))</f>
        <v xml:space="preserve"> </v>
      </c>
      <c r="O612" s="25" t="str">
        <f t="shared" si="100"/>
        <v xml:space="preserve"> </v>
      </c>
      <c r="P612" s="5" t="str">
        <f t="shared" si="96"/>
        <v/>
      </c>
      <c r="Q612" s="5" t="str">
        <f t="shared" si="97"/>
        <v/>
      </c>
      <c r="R612" s="5" t="str">
        <f t="shared" si="102"/>
        <v/>
      </c>
    </row>
    <row r="613" spans="1:18" ht="20.25" x14ac:dyDescent="0.3">
      <c r="A613" s="14"/>
      <c r="B613" s="15">
        <v>609</v>
      </c>
      <c r="C613" s="15"/>
      <c r="D613" s="15"/>
      <c r="E613" s="16"/>
      <c r="F613" s="15"/>
      <c r="G613" s="15"/>
      <c r="H613" s="16"/>
      <c r="I613" s="15" t="str">
        <f t="shared" si="98"/>
        <v xml:space="preserve"> </v>
      </c>
      <c r="J613" s="15" t="str">
        <f t="shared" si="99"/>
        <v xml:space="preserve"> </v>
      </c>
      <c r="K613" s="15"/>
      <c r="L613" s="15">
        <f t="shared" si="101"/>
        <v>0</v>
      </c>
      <c r="M613" s="5" t="str">
        <f t="shared" si="95"/>
        <v/>
      </c>
      <c r="N613" s="25" t="str">
        <f>IF(ISBLANK($E613)," ", COUNTIF($M$4:$M613,$M613))</f>
        <v xml:space="preserve"> </v>
      </c>
      <c r="O613" s="25" t="str">
        <f t="shared" si="100"/>
        <v xml:space="preserve"> </v>
      </c>
      <c r="P613" s="5" t="str">
        <f t="shared" si="96"/>
        <v/>
      </c>
      <c r="Q613" s="5" t="str">
        <f t="shared" si="97"/>
        <v/>
      </c>
      <c r="R613" s="5" t="str">
        <f t="shared" si="102"/>
        <v/>
      </c>
    </row>
    <row r="614" spans="1:18" ht="20.25" x14ac:dyDescent="0.3">
      <c r="A614" s="14"/>
      <c r="B614" s="15">
        <v>610</v>
      </c>
      <c r="C614" s="15"/>
      <c r="D614" s="15"/>
      <c r="E614" s="16"/>
      <c r="F614" s="15"/>
      <c r="G614" s="15"/>
      <c r="H614" s="16"/>
      <c r="I614" s="15" t="str">
        <f t="shared" si="98"/>
        <v xml:space="preserve"> </v>
      </c>
      <c r="J614" s="15" t="str">
        <f t="shared" si="99"/>
        <v xml:space="preserve"> </v>
      </c>
      <c r="K614" s="15"/>
      <c r="L614" s="15">
        <f t="shared" si="101"/>
        <v>0</v>
      </c>
      <c r="M614" s="5" t="str">
        <f t="shared" si="95"/>
        <v/>
      </c>
      <c r="N614" s="25" t="str">
        <f>IF(ISBLANK($E614)," ", COUNTIF($M$4:$M614,$M614))</f>
        <v xml:space="preserve"> </v>
      </c>
      <c r="O614" s="25" t="str">
        <f t="shared" si="100"/>
        <v xml:space="preserve"> </v>
      </c>
      <c r="P614" s="5" t="str">
        <f t="shared" si="96"/>
        <v/>
      </c>
      <c r="Q614" s="5" t="str">
        <f t="shared" si="97"/>
        <v/>
      </c>
      <c r="R614" s="5" t="str">
        <f t="shared" si="102"/>
        <v/>
      </c>
    </row>
    <row r="615" spans="1:18" ht="20.25" x14ac:dyDescent="0.3">
      <c r="A615" s="14"/>
      <c r="B615" s="15">
        <v>611</v>
      </c>
      <c r="C615" s="15"/>
      <c r="D615" s="15"/>
      <c r="E615" s="16"/>
      <c r="F615" s="15"/>
      <c r="G615" s="15"/>
      <c r="H615" s="16"/>
      <c r="I615" s="15" t="str">
        <f t="shared" si="98"/>
        <v xml:space="preserve"> </v>
      </c>
      <c r="J615" s="15" t="str">
        <f t="shared" si="99"/>
        <v xml:space="preserve"> </v>
      </c>
      <c r="K615" s="15"/>
      <c r="L615" s="15">
        <f t="shared" si="101"/>
        <v>0</v>
      </c>
      <c r="M615" s="5" t="str">
        <f t="shared" si="95"/>
        <v/>
      </c>
      <c r="N615" s="25" t="str">
        <f>IF(ISBLANK($E615)," ", COUNTIF($M$4:$M615,$M615))</f>
        <v xml:space="preserve"> </v>
      </c>
      <c r="O615" s="25" t="str">
        <f t="shared" si="100"/>
        <v xml:space="preserve"> </v>
      </c>
      <c r="P615" s="5" t="str">
        <f t="shared" si="96"/>
        <v/>
      </c>
      <c r="Q615" s="5" t="str">
        <f t="shared" si="97"/>
        <v/>
      </c>
      <c r="R615" s="5" t="str">
        <f t="shared" si="102"/>
        <v/>
      </c>
    </row>
    <row r="616" spans="1:18" ht="20.25" x14ac:dyDescent="0.3">
      <c r="A616" s="14"/>
      <c r="B616" s="15">
        <v>612</v>
      </c>
      <c r="C616" s="15"/>
      <c r="D616" s="15"/>
      <c r="E616" s="16"/>
      <c r="F616" s="15"/>
      <c r="G616" s="15"/>
      <c r="H616" s="16"/>
      <c r="I616" s="15" t="str">
        <f t="shared" si="98"/>
        <v xml:space="preserve"> </v>
      </c>
      <c r="J616" s="15" t="str">
        <f t="shared" si="99"/>
        <v xml:space="preserve"> </v>
      </c>
      <c r="K616" s="15"/>
      <c r="L616" s="15">
        <f t="shared" si="101"/>
        <v>0</v>
      </c>
      <c r="M616" s="5" t="str">
        <f t="shared" ref="M616:M659" si="103">IF(ISBLANK($E616),"",VLOOKUP($I616,PLAYERS_IDS,2,FALSE)*VLOOKUP($J616,PLAYERS_IDS,2,FALSE))</f>
        <v/>
      </c>
      <c r="N616" s="25" t="str">
        <f>IF(ISBLANK($E616)," ", COUNTIF($M$4:$M616,$M616))</f>
        <v xml:space="preserve"> </v>
      </c>
      <c r="O616" s="25" t="str">
        <f t="shared" si="100"/>
        <v xml:space="preserve"> </v>
      </c>
      <c r="P616" s="5" t="str">
        <f t="shared" si="96"/>
        <v/>
      </c>
      <c r="Q616" s="5" t="str">
        <f t="shared" si="97"/>
        <v/>
      </c>
      <c r="R616" s="5" t="str">
        <f t="shared" si="102"/>
        <v/>
      </c>
    </row>
    <row r="617" spans="1:18" ht="20.25" x14ac:dyDescent="0.3">
      <c r="A617" s="14"/>
      <c r="B617" s="15">
        <v>613</v>
      </c>
      <c r="C617" s="15"/>
      <c r="D617" s="15"/>
      <c r="E617" s="16"/>
      <c r="F617" s="15"/>
      <c r="G617" s="15"/>
      <c r="H617" s="16"/>
      <c r="I617" s="15" t="str">
        <f t="shared" si="98"/>
        <v xml:space="preserve"> </v>
      </c>
      <c r="J617" s="15" t="str">
        <f t="shared" si="99"/>
        <v xml:space="preserve"> </v>
      </c>
      <c r="K617" s="15"/>
      <c r="L617" s="15">
        <f t="shared" si="101"/>
        <v>0</v>
      </c>
      <c r="M617" s="5" t="str">
        <f t="shared" si="103"/>
        <v/>
      </c>
      <c r="N617" s="25" t="str">
        <f>IF(ISBLANK($E617)," ", COUNTIF($M$4:$M617,$M617))</f>
        <v xml:space="preserve"> </v>
      </c>
      <c r="O617" s="25" t="str">
        <f t="shared" si="100"/>
        <v xml:space="preserve"> </v>
      </c>
      <c r="P617" s="5" t="str">
        <f t="shared" si="96"/>
        <v/>
      </c>
      <c r="Q617" s="5" t="str">
        <f t="shared" si="97"/>
        <v/>
      </c>
      <c r="R617" s="5" t="str">
        <f t="shared" si="102"/>
        <v/>
      </c>
    </row>
    <row r="618" spans="1:18" ht="20.25" x14ac:dyDescent="0.3">
      <c r="A618" s="14"/>
      <c r="B618" s="15">
        <v>614</v>
      </c>
      <c r="C618" s="15"/>
      <c r="D618" s="15"/>
      <c r="E618" s="16"/>
      <c r="F618" s="15"/>
      <c r="G618" s="15"/>
      <c r="H618" s="16"/>
      <c r="I618" s="15" t="str">
        <f t="shared" si="98"/>
        <v xml:space="preserve"> </v>
      </c>
      <c r="J618" s="15" t="str">
        <f t="shared" si="99"/>
        <v xml:space="preserve"> </v>
      </c>
      <c r="K618" s="15"/>
      <c r="L618" s="15">
        <f t="shared" si="101"/>
        <v>0</v>
      </c>
      <c r="M618" s="5" t="str">
        <f t="shared" si="103"/>
        <v/>
      </c>
      <c r="N618" s="25" t="str">
        <f>IF(ISBLANK($E618)," ", COUNTIF($M$4:$M618,$M618))</f>
        <v xml:space="preserve"> </v>
      </c>
      <c r="O618" s="25" t="str">
        <f t="shared" si="100"/>
        <v xml:space="preserve"> </v>
      </c>
      <c r="P618" s="5" t="str">
        <f t="shared" ref="P618:P659" si="104">IF(ISBLANK($F618),"",VLOOKUP($C618,PLAYERS_IDS,2,FALSE)*VLOOKUP($D618,PLAYERS_IDS,2,FALSE))</f>
        <v/>
      </c>
      <c r="Q618" s="5" t="str">
        <f t="shared" ref="Q618:Q659" si="105">IF(ISBLANK($F618), "",VLOOKUP($F618,PLAYERS_IDS,2,FALSE)*VLOOKUP($G618,PLAYERS_IDS,2,FALSE))</f>
        <v/>
      </c>
      <c r="R618" s="5" t="str">
        <f t="shared" si="102"/>
        <v/>
      </c>
    </row>
    <row r="619" spans="1:18" ht="20.25" x14ac:dyDescent="0.3">
      <c r="A619" s="14"/>
      <c r="B619" s="15">
        <v>615</v>
      </c>
      <c r="C619" s="15"/>
      <c r="D619" s="15"/>
      <c r="E619" s="16"/>
      <c r="F619" s="15"/>
      <c r="G619" s="15"/>
      <c r="H619" s="16"/>
      <c r="I619" s="15" t="str">
        <f t="shared" si="98"/>
        <v xml:space="preserve"> </v>
      </c>
      <c r="J619" s="15" t="str">
        <f t="shared" si="99"/>
        <v xml:space="preserve"> </v>
      </c>
      <c r="K619" s="15"/>
      <c r="L619" s="15">
        <f t="shared" si="101"/>
        <v>0</v>
      </c>
      <c r="M619" s="5" t="str">
        <f t="shared" si="103"/>
        <v/>
      </c>
      <c r="N619" s="25" t="str">
        <f>IF(ISBLANK($E619)," ", COUNTIF($M$4:$M619,$M619))</f>
        <v xml:space="preserve"> </v>
      </c>
      <c r="O619" s="25" t="str">
        <f t="shared" si="100"/>
        <v xml:space="preserve"> </v>
      </c>
      <c r="P619" s="5" t="str">
        <f t="shared" si="104"/>
        <v/>
      </c>
      <c r="Q619" s="5" t="str">
        <f t="shared" si="105"/>
        <v/>
      </c>
      <c r="R619" s="5" t="str">
        <f t="shared" si="102"/>
        <v/>
      </c>
    </row>
    <row r="620" spans="1:18" ht="20.25" x14ac:dyDescent="0.3">
      <c r="A620" s="14"/>
      <c r="B620" s="15">
        <v>616</v>
      </c>
      <c r="C620" s="15"/>
      <c r="D620" s="15"/>
      <c r="E620" s="16"/>
      <c r="F620" s="15"/>
      <c r="G620" s="15"/>
      <c r="H620" s="16"/>
      <c r="I620" s="15" t="str">
        <f t="shared" si="98"/>
        <v xml:space="preserve"> </v>
      </c>
      <c r="J620" s="15" t="str">
        <f t="shared" si="99"/>
        <v xml:space="preserve"> </v>
      </c>
      <c r="K620" s="15"/>
      <c r="L620" s="15">
        <f t="shared" si="101"/>
        <v>0</v>
      </c>
      <c r="M620" s="5" t="str">
        <f t="shared" si="103"/>
        <v/>
      </c>
      <c r="N620" s="25" t="str">
        <f>IF(ISBLANK($E620)," ", COUNTIF($M$4:$M620,$M620))</f>
        <v xml:space="preserve"> </v>
      </c>
      <c r="O620" s="25" t="str">
        <f t="shared" si="100"/>
        <v xml:space="preserve"> </v>
      </c>
      <c r="P620" s="5" t="str">
        <f t="shared" si="104"/>
        <v/>
      </c>
      <c r="Q620" s="5" t="str">
        <f t="shared" si="105"/>
        <v/>
      </c>
      <c r="R620" s="5" t="str">
        <f t="shared" si="102"/>
        <v/>
      </c>
    </row>
    <row r="621" spans="1:18" ht="20.25" x14ac:dyDescent="0.3">
      <c r="A621" s="14"/>
      <c r="B621" s="15">
        <v>617</v>
      </c>
      <c r="C621" s="15"/>
      <c r="D621" s="15"/>
      <c r="E621" s="16"/>
      <c r="F621" s="15"/>
      <c r="G621" s="15"/>
      <c r="H621" s="16"/>
      <c r="I621" s="15" t="str">
        <f t="shared" si="98"/>
        <v xml:space="preserve"> </v>
      </c>
      <c r="J621" s="15" t="str">
        <f t="shared" si="99"/>
        <v xml:space="preserve"> </v>
      </c>
      <c r="K621" s="15"/>
      <c r="L621" s="15">
        <f t="shared" si="101"/>
        <v>0</v>
      </c>
      <c r="M621" s="5" t="str">
        <f t="shared" si="103"/>
        <v/>
      </c>
      <c r="N621" s="25" t="str">
        <f>IF(ISBLANK($E621)," ", COUNTIF($M$4:$M621,$M621))</f>
        <v xml:space="preserve"> </v>
      </c>
      <c r="O621" s="25" t="str">
        <f t="shared" si="100"/>
        <v xml:space="preserve"> </v>
      </c>
      <c r="P621" s="5" t="str">
        <f t="shared" si="104"/>
        <v/>
      </c>
      <c r="Q621" s="5" t="str">
        <f t="shared" si="105"/>
        <v/>
      </c>
      <c r="R621" s="5" t="str">
        <f t="shared" si="102"/>
        <v/>
      </c>
    </row>
    <row r="622" spans="1:18" ht="20.25" x14ac:dyDescent="0.3">
      <c r="A622" s="14"/>
      <c r="B622" s="15">
        <v>618</v>
      </c>
      <c r="C622" s="15"/>
      <c r="D622" s="15"/>
      <c r="E622" s="16"/>
      <c r="F622" s="15"/>
      <c r="G622" s="15"/>
      <c r="H622" s="16"/>
      <c r="I622" s="15" t="str">
        <f t="shared" si="98"/>
        <v xml:space="preserve"> </v>
      </c>
      <c r="J622" s="15" t="str">
        <f t="shared" si="99"/>
        <v xml:space="preserve"> </v>
      </c>
      <c r="K622" s="15"/>
      <c r="L622" s="15">
        <f t="shared" si="101"/>
        <v>0</v>
      </c>
      <c r="M622" s="5" t="str">
        <f t="shared" si="103"/>
        <v/>
      </c>
      <c r="N622" s="25" t="str">
        <f>IF(ISBLANK($E622)," ", COUNTIF($M$4:$M622,$M622))</f>
        <v xml:space="preserve"> </v>
      </c>
      <c r="O622" s="25" t="str">
        <f t="shared" si="100"/>
        <v xml:space="preserve"> </v>
      </c>
      <c r="P622" s="5" t="str">
        <f t="shared" si="104"/>
        <v/>
      </c>
      <c r="Q622" s="5" t="str">
        <f t="shared" si="105"/>
        <v/>
      </c>
      <c r="R622" s="5" t="str">
        <f t="shared" si="102"/>
        <v/>
      </c>
    </row>
    <row r="623" spans="1:18" ht="20.25" x14ac:dyDescent="0.3">
      <c r="A623" s="14"/>
      <c r="B623" s="15">
        <v>619</v>
      </c>
      <c r="C623" s="15"/>
      <c r="D623" s="15"/>
      <c r="E623" s="16"/>
      <c r="F623" s="15"/>
      <c r="G623" s="15"/>
      <c r="H623" s="16"/>
      <c r="I623" s="15" t="str">
        <f t="shared" si="98"/>
        <v xml:space="preserve"> </v>
      </c>
      <c r="J623" s="15" t="str">
        <f t="shared" si="99"/>
        <v xml:space="preserve"> </v>
      </c>
      <c r="K623" s="15"/>
      <c r="L623" s="15">
        <f t="shared" si="101"/>
        <v>0</v>
      </c>
      <c r="M623" s="5" t="str">
        <f t="shared" si="103"/>
        <v/>
      </c>
      <c r="N623" s="25" t="str">
        <f>IF(ISBLANK($E623)," ", COUNTIF($M$4:$M623,$M623))</f>
        <v xml:space="preserve"> </v>
      </c>
      <c r="O623" s="25" t="str">
        <f t="shared" si="100"/>
        <v xml:space="preserve"> </v>
      </c>
      <c r="P623" s="5" t="str">
        <f t="shared" si="104"/>
        <v/>
      </c>
      <c r="Q623" s="5" t="str">
        <f t="shared" si="105"/>
        <v/>
      </c>
      <c r="R623" s="5" t="str">
        <f t="shared" si="102"/>
        <v/>
      </c>
    </row>
    <row r="624" spans="1:18" ht="20.25" x14ac:dyDescent="0.3">
      <c r="A624" s="14"/>
      <c r="B624" s="15">
        <v>620</v>
      </c>
      <c r="C624" s="15"/>
      <c r="D624" s="15"/>
      <c r="E624" s="16"/>
      <c r="F624" s="15"/>
      <c r="G624" s="15"/>
      <c r="H624" s="16"/>
      <c r="I624" s="15" t="str">
        <f t="shared" si="98"/>
        <v xml:space="preserve"> </v>
      </c>
      <c r="J624" s="15" t="str">
        <f t="shared" si="99"/>
        <v xml:space="preserve"> </v>
      </c>
      <c r="K624" s="15"/>
      <c r="L624" s="15">
        <f t="shared" si="101"/>
        <v>0</v>
      </c>
      <c r="M624" s="5" t="str">
        <f t="shared" si="103"/>
        <v/>
      </c>
      <c r="N624" s="25" t="str">
        <f>IF(ISBLANK($E624)," ", COUNTIF($M$4:$M624,$M624))</f>
        <v xml:space="preserve"> </v>
      </c>
      <c r="O624" s="25" t="str">
        <f t="shared" si="100"/>
        <v xml:space="preserve"> </v>
      </c>
      <c r="P624" s="5" t="str">
        <f t="shared" si="104"/>
        <v/>
      </c>
      <c r="Q624" s="5" t="str">
        <f t="shared" si="105"/>
        <v/>
      </c>
      <c r="R624" s="5" t="str">
        <f t="shared" si="102"/>
        <v/>
      </c>
    </row>
    <row r="625" spans="1:18" ht="20.25" x14ac:dyDescent="0.3">
      <c r="A625" s="14"/>
      <c r="B625" s="15">
        <v>621</v>
      </c>
      <c r="C625" s="15"/>
      <c r="D625" s="15"/>
      <c r="E625" s="16"/>
      <c r="F625" s="15"/>
      <c r="G625" s="15"/>
      <c r="H625" s="16"/>
      <c r="I625" s="15" t="str">
        <f t="shared" si="98"/>
        <v xml:space="preserve"> </v>
      </c>
      <c r="J625" s="15" t="str">
        <f t="shared" si="99"/>
        <v xml:space="preserve"> </v>
      </c>
      <c r="K625" s="15"/>
      <c r="L625" s="15">
        <f t="shared" si="101"/>
        <v>0</v>
      </c>
      <c r="M625" s="5" t="str">
        <f t="shared" si="103"/>
        <v/>
      </c>
      <c r="N625" s="25" t="str">
        <f>IF(ISBLANK($E625)," ", COUNTIF($M$4:$M625,$M625))</f>
        <v xml:space="preserve"> </v>
      </c>
      <c r="O625" s="25" t="str">
        <f t="shared" si="100"/>
        <v xml:space="preserve"> </v>
      </c>
      <c r="P625" s="5" t="str">
        <f t="shared" si="104"/>
        <v/>
      </c>
      <c r="Q625" s="5" t="str">
        <f t="shared" si="105"/>
        <v/>
      </c>
      <c r="R625" s="5" t="str">
        <f t="shared" si="102"/>
        <v/>
      </c>
    </row>
    <row r="626" spans="1:18" ht="20.25" x14ac:dyDescent="0.3">
      <c r="A626" s="14"/>
      <c r="B626" s="15">
        <v>622</v>
      </c>
      <c r="C626" s="15"/>
      <c r="D626" s="15"/>
      <c r="E626" s="16"/>
      <c r="F626" s="15"/>
      <c r="G626" s="15"/>
      <c r="H626" s="16"/>
      <c r="I626" s="15" t="str">
        <f t="shared" si="98"/>
        <v xml:space="preserve"> </v>
      </c>
      <c r="J626" s="15" t="str">
        <f t="shared" si="99"/>
        <v xml:space="preserve"> </v>
      </c>
      <c r="K626" s="15"/>
      <c r="L626" s="15">
        <f t="shared" si="101"/>
        <v>0</v>
      </c>
      <c r="M626" s="5" t="str">
        <f t="shared" si="103"/>
        <v/>
      </c>
      <c r="N626" s="25" t="str">
        <f>IF(ISBLANK($E626)," ", COUNTIF($M$4:$M626,$M626))</f>
        <v xml:space="preserve"> </v>
      </c>
      <c r="O626" s="25" t="str">
        <f t="shared" si="100"/>
        <v xml:space="preserve"> </v>
      </c>
      <c r="P626" s="5" t="str">
        <f t="shared" si="104"/>
        <v/>
      </c>
      <c r="Q626" s="5" t="str">
        <f t="shared" si="105"/>
        <v/>
      </c>
      <c r="R626" s="5" t="str">
        <f t="shared" si="102"/>
        <v/>
      </c>
    </row>
    <row r="627" spans="1:18" ht="20.25" x14ac:dyDescent="0.3">
      <c r="A627" s="14"/>
      <c r="B627" s="15">
        <v>623</v>
      </c>
      <c r="C627" s="15"/>
      <c r="D627" s="15"/>
      <c r="E627" s="16"/>
      <c r="F627" s="15"/>
      <c r="G627" s="15"/>
      <c r="H627" s="16"/>
      <c r="I627" s="15" t="str">
        <f t="shared" si="98"/>
        <v xml:space="preserve"> </v>
      </c>
      <c r="J627" s="15" t="str">
        <f t="shared" si="99"/>
        <v xml:space="preserve"> </v>
      </c>
      <c r="K627" s="15"/>
      <c r="L627" s="15">
        <f t="shared" si="101"/>
        <v>0</v>
      </c>
      <c r="M627" s="5" t="str">
        <f t="shared" si="103"/>
        <v/>
      </c>
      <c r="N627" s="25" t="str">
        <f>IF(ISBLANK($E627)," ", COUNTIF($M$4:$M627,$M627))</f>
        <v xml:space="preserve"> </v>
      </c>
      <c r="O627" s="25" t="str">
        <f t="shared" si="100"/>
        <v xml:space="preserve"> </v>
      </c>
      <c r="P627" s="5" t="str">
        <f t="shared" si="104"/>
        <v/>
      </c>
      <c r="Q627" s="5" t="str">
        <f t="shared" si="105"/>
        <v/>
      </c>
      <c r="R627" s="5" t="str">
        <f t="shared" si="102"/>
        <v/>
      </c>
    </row>
    <row r="628" spans="1:18" ht="20.25" x14ac:dyDescent="0.3">
      <c r="A628" s="14"/>
      <c r="B628" s="15">
        <v>624</v>
      </c>
      <c r="C628" s="15"/>
      <c r="D628" s="15"/>
      <c r="E628" s="16"/>
      <c r="F628" s="15"/>
      <c r="G628" s="15"/>
      <c r="H628" s="16"/>
      <c r="I628" s="15" t="str">
        <f t="shared" si="98"/>
        <v xml:space="preserve"> </v>
      </c>
      <c r="J628" s="15" t="str">
        <f t="shared" si="99"/>
        <v xml:space="preserve"> </v>
      </c>
      <c r="K628" s="15"/>
      <c r="L628" s="15">
        <f t="shared" si="101"/>
        <v>0</v>
      </c>
      <c r="M628" s="5" t="str">
        <f t="shared" si="103"/>
        <v/>
      </c>
      <c r="N628" s="25" t="str">
        <f>IF(ISBLANK($E628)," ", COUNTIF($M$4:$M628,$M628))</f>
        <v xml:space="preserve"> </v>
      </c>
      <c r="O628" s="25" t="str">
        <f t="shared" si="100"/>
        <v xml:space="preserve"> </v>
      </c>
      <c r="P628" s="5" t="str">
        <f t="shared" si="104"/>
        <v/>
      </c>
      <c r="Q628" s="5" t="str">
        <f t="shared" si="105"/>
        <v/>
      </c>
      <c r="R628" s="5" t="str">
        <f t="shared" si="102"/>
        <v/>
      </c>
    </row>
    <row r="629" spans="1:18" ht="20.25" x14ac:dyDescent="0.3">
      <c r="A629" s="14"/>
      <c r="B629" s="15">
        <v>625</v>
      </c>
      <c r="C629" s="15"/>
      <c r="D629" s="15"/>
      <c r="E629" s="16"/>
      <c r="F629" s="15"/>
      <c r="G629" s="15"/>
      <c r="H629" s="16"/>
      <c r="I629" s="15" t="str">
        <f t="shared" si="98"/>
        <v xml:space="preserve"> </v>
      </c>
      <c r="J629" s="15" t="str">
        <f t="shared" si="99"/>
        <v xml:space="preserve"> </v>
      </c>
      <c r="K629" s="15"/>
      <c r="L629" s="15">
        <f t="shared" si="101"/>
        <v>0</v>
      </c>
      <c r="M629" s="5" t="str">
        <f t="shared" si="103"/>
        <v/>
      </c>
      <c r="N629" s="25" t="str">
        <f>IF(ISBLANK($E629)," ", COUNTIF($M$4:$M629,$M629))</f>
        <v xml:space="preserve"> </v>
      </c>
      <c r="O629" s="25" t="str">
        <f t="shared" si="100"/>
        <v xml:space="preserve"> </v>
      </c>
      <c r="P629" s="5" t="str">
        <f t="shared" si="104"/>
        <v/>
      </c>
      <c r="Q629" s="5" t="str">
        <f t="shared" si="105"/>
        <v/>
      </c>
      <c r="R629" s="5" t="str">
        <f t="shared" si="102"/>
        <v/>
      </c>
    </row>
    <row r="630" spans="1:18" ht="20.25" x14ac:dyDescent="0.3">
      <c r="A630" s="14"/>
      <c r="B630" s="15">
        <v>626</v>
      </c>
      <c r="C630" s="15"/>
      <c r="D630" s="15"/>
      <c r="E630" s="16"/>
      <c r="F630" s="15"/>
      <c r="G630" s="15"/>
      <c r="H630" s="16"/>
      <c r="I630" s="15" t="str">
        <f t="shared" si="98"/>
        <v xml:space="preserve"> </v>
      </c>
      <c r="J630" s="15" t="str">
        <f t="shared" si="99"/>
        <v xml:space="preserve"> </v>
      </c>
      <c r="K630" s="15"/>
      <c r="L630" s="15">
        <f t="shared" si="101"/>
        <v>0</v>
      </c>
      <c r="M630" s="5" t="str">
        <f t="shared" si="103"/>
        <v/>
      </c>
      <c r="N630" s="25" t="str">
        <f>IF(ISBLANK($E630)," ", COUNTIF($M$4:$M630,$M630))</f>
        <v xml:space="preserve"> </v>
      </c>
      <c r="O630" s="25" t="str">
        <f t="shared" si="100"/>
        <v xml:space="preserve"> </v>
      </c>
      <c r="P630" s="5" t="str">
        <f t="shared" si="104"/>
        <v/>
      </c>
      <c r="Q630" s="5" t="str">
        <f t="shared" si="105"/>
        <v/>
      </c>
      <c r="R630" s="5" t="str">
        <f t="shared" si="102"/>
        <v/>
      </c>
    </row>
    <row r="631" spans="1:18" ht="20.25" x14ac:dyDescent="0.3">
      <c r="A631" s="14"/>
      <c r="B631" s="15">
        <v>627</v>
      </c>
      <c r="C631" s="15"/>
      <c r="D631" s="15"/>
      <c r="E631" s="16"/>
      <c r="F631" s="15"/>
      <c r="G631" s="15"/>
      <c r="H631" s="16"/>
      <c r="I631" s="15" t="str">
        <f t="shared" si="98"/>
        <v xml:space="preserve"> </v>
      </c>
      <c r="J631" s="15" t="str">
        <f t="shared" si="99"/>
        <v xml:space="preserve"> </v>
      </c>
      <c r="K631" s="15"/>
      <c r="L631" s="15">
        <f t="shared" si="101"/>
        <v>0</v>
      </c>
      <c r="M631" s="5" t="str">
        <f t="shared" si="103"/>
        <v/>
      </c>
      <c r="N631" s="25" t="str">
        <f>IF(ISBLANK($E631)," ", COUNTIF($M$4:$M631,$M631))</f>
        <v xml:space="preserve"> </v>
      </c>
      <c r="O631" s="25" t="str">
        <f t="shared" si="100"/>
        <v xml:space="preserve"> </v>
      </c>
      <c r="P631" s="5" t="str">
        <f t="shared" si="104"/>
        <v/>
      </c>
      <c r="Q631" s="5" t="str">
        <f t="shared" si="105"/>
        <v/>
      </c>
      <c r="R631" s="5" t="str">
        <f t="shared" si="102"/>
        <v/>
      </c>
    </row>
    <row r="632" spans="1:18" ht="20.25" x14ac:dyDescent="0.3">
      <c r="A632" s="14"/>
      <c r="B632" s="15">
        <v>628</v>
      </c>
      <c r="C632" s="15"/>
      <c r="D632" s="15"/>
      <c r="E632" s="16"/>
      <c r="F632" s="15"/>
      <c r="G632" s="15"/>
      <c r="H632" s="16"/>
      <c r="I632" s="15" t="str">
        <f t="shared" si="98"/>
        <v xml:space="preserve"> </v>
      </c>
      <c r="J632" s="15" t="str">
        <f t="shared" si="99"/>
        <v xml:space="preserve"> </v>
      </c>
      <c r="K632" s="15"/>
      <c r="L632" s="15">
        <f t="shared" si="101"/>
        <v>0</v>
      </c>
      <c r="M632" s="5" t="str">
        <f t="shared" si="103"/>
        <v/>
      </c>
      <c r="N632" s="25" t="str">
        <f>IF(ISBLANK($E632)," ", COUNTIF($M$4:$M632,$M632))</f>
        <v xml:space="preserve"> </v>
      </c>
      <c r="O632" s="25" t="str">
        <f t="shared" si="100"/>
        <v xml:space="preserve"> </v>
      </c>
      <c r="P632" s="5" t="str">
        <f t="shared" si="104"/>
        <v/>
      </c>
      <c r="Q632" s="5" t="str">
        <f t="shared" si="105"/>
        <v/>
      </c>
      <c r="R632" s="5" t="str">
        <f t="shared" si="102"/>
        <v/>
      </c>
    </row>
    <row r="633" spans="1:18" ht="20.25" x14ac:dyDescent="0.3">
      <c r="A633" s="14"/>
      <c r="B633" s="15">
        <v>629</v>
      </c>
      <c r="C633" s="15"/>
      <c r="D633" s="15"/>
      <c r="E633" s="16"/>
      <c r="F633" s="15"/>
      <c r="G633" s="15"/>
      <c r="H633" s="16"/>
      <c r="I633" s="15" t="str">
        <f t="shared" si="98"/>
        <v xml:space="preserve"> </v>
      </c>
      <c r="J633" s="15" t="str">
        <f t="shared" si="99"/>
        <v xml:space="preserve"> </v>
      </c>
      <c r="K633" s="15"/>
      <c r="L633" s="15">
        <f t="shared" si="101"/>
        <v>0</v>
      </c>
      <c r="M633" s="5" t="str">
        <f t="shared" si="103"/>
        <v/>
      </c>
      <c r="N633" s="25" t="str">
        <f>IF(ISBLANK($E633)," ", COUNTIF($M$4:$M633,$M633))</f>
        <v xml:space="preserve"> </v>
      </c>
      <c r="O633" s="25" t="str">
        <f t="shared" si="100"/>
        <v xml:space="preserve"> </v>
      </c>
      <c r="P633" s="5" t="str">
        <f t="shared" si="104"/>
        <v/>
      </c>
      <c r="Q633" s="5" t="str">
        <f t="shared" si="105"/>
        <v/>
      </c>
      <c r="R633" s="5" t="str">
        <f t="shared" si="102"/>
        <v/>
      </c>
    </row>
    <row r="634" spans="1:18" ht="20.25" x14ac:dyDescent="0.3">
      <c r="A634" s="14"/>
      <c r="B634" s="15">
        <v>630</v>
      </c>
      <c r="C634" s="15"/>
      <c r="D634" s="15"/>
      <c r="E634" s="16"/>
      <c r="F634" s="15"/>
      <c r="G634" s="15"/>
      <c r="H634" s="16"/>
      <c r="I634" s="15" t="str">
        <f t="shared" si="98"/>
        <v xml:space="preserve"> </v>
      </c>
      <c r="J634" s="15" t="str">
        <f t="shared" si="99"/>
        <v xml:space="preserve"> </v>
      </c>
      <c r="K634" s="15"/>
      <c r="L634" s="15">
        <f t="shared" si="101"/>
        <v>0</v>
      </c>
      <c r="M634" s="5" t="str">
        <f t="shared" si="103"/>
        <v/>
      </c>
      <c r="N634" s="25" t="str">
        <f>IF(ISBLANK($E634)," ", COUNTIF($M$4:$M634,$M634))</f>
        <v xml:space="preserve"> </v>
      </c>
      <c r="O634" s="25" t="str">
        <f t="shared" si="100"/>
        <v xml:space="preserve"> </v>
      </c>
      <c r="P634" s="5" t="str">
        <f t="shared" si="104"/>
        <v/>
      </c>
      <c r="Q634" s="5" t="str">
        <f t="shared" si="105"/>
        <v/>
      </c>
      <c r="R634" s="5" t="str">
        <f t="shared" si="102"/>
        <v/>
      </c>
    </row>
    <row r="635" spans="1:18" ht="20.25" x14ac:dyDescent="0.3">
      <c r="A635" s="14"/>
      <c r="B635" s="15">
        <v>631</v>
      </c>
      <c r="C635" s="15"/>
      <c r="D635" s="15"/>
      <c r="E635" s="16"/>
      <c r="F635" s="15"/>
      <c r="G635" s="15"/>
      <c r="H635" s="16"/>
      <c r="I635" s="15" t="str">
        <f t="shared" si="98"/>
        <v xml:space="preserve"> </v>
      </c>
      <c r="J635" s="15" t="str">
        <f t="shared" si="99"/>
        <v xml:space="preserve"> </v>
      </c>
      <c r="K635" s="15"/>
      <c r="L635" s="15">
        <f t="shared" si="101"/>
        <v>0</v>
      </c>
      <c r="M635" s="5" t="str">
        <f t="shared" si="103"/>
        <v/>
      </c>
      <c r="N635" s="25" t="str">
        <f>IF(ISBLANK($E635)," ", COUNTIF($M$4:$M635,$M635))</f>
        <v xml:space="preserve"> </v>
      </c>
      <c r="O635" s="25" t="str">
        <f t="shared" si="100"/>
        <v xml:space="preserve"> </v>
      </c>
      <c r="P635" s="5" t="str">
        <f t="shared" si="104"/>
        <v/>
      </c>
      <c r="Q635" s="5" t="str">
        <f t="shared" si="105"/>
        <v/>
      </c>
      <c r="R635" s="5" t="str">
        <f t="shared" si="102"/>
        <v/>
      </c>
    </row>
    <row r="636" spans="1:18" ht="20.25" x14ac:dyDescent="0.3">
      <c r="A636" s="56"/>
      <c r="B636" s="15">
        <v>632</v>
      </c>
      <c r="C636" s="15"/>
      <c r="D636" s="15"/>
      <c r="E636" s="16"/>
      <c r="F636" s="15"/>
      <c r="G636" s="15"/>
      <c r="H636" s="16"/>
      <c r="I636" s="15" t="str">
        <f t="shared" si="98"/>
        <v xml:space="preserve"> </v>
      </c>
      <c r="J636" s="15" t="str">
        <f t="shared" si="99"/>
        <v xml:space="preserve"> </v>
      </c>
      <c r="K636" s="15"/>
      <c r="L636" s="15">
        <f t="shared" si="101"/>
        <v>0</v>
      </c>
      <c r="M636" s="5" t="str">
        <f t="shared" si="103"/>
        <v/>
      </c>
      <c r="N636" s="25" t="str">
        <f>IF(ISBLANK($E636)," ", COUNTIF($M$4:$M636,$M636))</f>
        <v xml:space="preserve"> </v>
      </c>
      <c r="O636" s="25" t="str">
        <f t="shared" si="100"/>
        <v xml:space="preserve"> </v>
      </c>
      <c r="P636" s="5" t="str">
        <f t="shared" si="104"/>
        <v/>
      </c>
      <c r="Q636" s="5" t="str">
        <f t="shared" si="105"/>
        <v/>
      </c>
      <c r="R636" s="5" t="str">
        <f t="shared" si="102"/>
        <v/>
      </c>
    </row>
    <row r="637" spans="1:18" ht="20.25" x14ac:dyDescent="0.3">
      <c r="A637" s="56"/>
      <c r="B637" s="15">
        <v>633</v>
      </c>
      <c r="C637" s="15"/>
      <c r="D637" s="15"/>
      <c r="E637" s="16"/>
      <c r="F637" s="15"/>
      <c r="G637" s="15"/>
      <c r="H637" s="16"/>
      <c r="I637" s="15" t="str">
        <f t="shared" si="98"/>
        <v xml:space="preserve"> </v>
      </c>
      <c r="J637" s="15" t="str">
        <f t="shared" si="99"/>
        <v xml:space="preserve"> </v>
      </c>
      <c r="K637" s="15"/>
      <c r="L637" s="15">
        <f t="shared" si="101"/>
        <v>0</v>
      </c>
      <c r="M637" s="5" t="str">
        <f t="shared" si="103"/>
        <v/>
      </c>
      <c r="N637" s="25" t="str">
        <f>IF(ISBLANK($E637)," ", COUNTIF($M$4:$M637,$M637))</f>
        <v xml:space="preserve"> </v>
      </c>
      <c r="O637" s="25" t="str">
        <f t="shared" si="100"/>
        <v xml:space="preserve"> </v>
      </c>
      <c r="P637" s="5" t="str">
        <f t="shared" si="104"/>
        <v/>
      </c>
      <c r="Q637" s="5" t="str">
        <f t="shared" si="105"/>
        <v/>
      </c>
      <c r="R637" s="5" t="str">
        <f t="shared" si="102"/>
        <v/>
      </c>
    </row>
    <row r="638" spans="1:18" ht="20.25" x14ac:dyDescent="0.3">
      <c r="A638" s="56"/>
      <c r="B638" s="15">
        <v>634</v>
      </c>
      <c r="C638" s="15"/>
      <c r="D638" s="15"/>
      <c r="E638" s="16"/>
      <c r="F638" s="15"/>
      <c r="G638" s="15"/>
      <c r="H638" s="16"/>
      <c r="I638" s="15" t="str">
        <f t="shared" si="98"/>
        <v xml:space="preserve"> </v>
      </c>
      <c r="J638" s="15" t="str">
        <f t="shared" si="99"/>
        <v xml:space="preserve"> </v>
      </c>
      <c r="K638" s="15"/>
      <c r="L638" s="15">
        <f t="shared" si="101"/>
        <v>0</v>
      </c>
      <c r="M638" s="5" t="str">
        <f t="shared" si="103"/>
        <v/>
      </c>
      <c r="N638" s="25" t="str">
        <f>IF(ISBLANK($E638)," ", COUNTIF($M$4:$M638,$M638))</f>
        <v xml:space="preserve"> </v>
      </c>
      <c r="O638" s="25" t="str">
        <f t="shared" si="100"/>
        <v xml:space="preserve"> </v>
      </c>
      <c r="P638" s="5" t="str">
        <f t="shared" si="104"/>
        <v/>
      </c>
      <c r="Q638" s="5" t="str">
        <f t="shared" si="105"/>
        <v/>
      </c>
      <c r="R638" s="5" t="str">
        <f t="shared" si="102"/>
        <v/>
      </c>
    </row>
    <row r="639" spans="1:18" ht="20.25" x14ac:dyDescent="0.3">
      <c r="A639" s="56"/>
      <c r="B639" s="15">
        <v>635</v>
      </c>
      <c r="C639" s="15"/>
      <c r="D639" s="15"/>
      <c r="E639" s="16"/>
      <c r="F639" s="15"/>
      <c r="G639" s="15"/>
      <c r="H639" s="16"/>
      <c r="I639" s="15" t="str">
        <f t="shared" si="98"/>
        <v xml:space="preserve"> </v>
      </c>
      <c r="J639" s="15" t="str">
        <f t="shared" si="99"/>
        <v xml:space="preserve"> </v>
      </c>
      <c r="K639" s="15"/>
      <c r="L639" s="15">
        <f t="shared" si="101"/>
        <v>0</v>
      </c>
      <c r="M639" s="5" t="str">
        <f t="shared" si="103"/>
        <v/>
      </c>
      <c r="N639" s="25" t="str">
        <f>IF(ISBLANK($E639)," ", COUNTIF($M$4:$M639,$M639))</f>
        <v xml:space="preserve"> </v>
      </c>
      <c r="O639" s="25" t="str">
        <f t="shared" si="100"/>
        <v xml:space="preserve"> </v>
      </c>
      <c r="P639" s="5" t="str">
        <f t="shared" si="104"/>
        <v/>
      </c>
      <c r="Q639" s="5" t="str">
        <f t="shared" si="105"/>
        <v/>
      </c>
      <c r="R639" s="5" t="str">
        <f t="shared" si="102"/>
        <v/>
      </c>
    </row>
    <row r="640" spans="1:18" ht="20.25" x14ac:dyDescent="0.3">
      <c r="A640" s="56"/>
      <c r="B640" s="15">
        <v>636</v>
      </c>
      <c r="C640" s="15"/>
      <c r="D640" s="15"/>
      <c r="E640" s="16"/>
      <c r="F640" s="15"/>
      <c r="G640" s="15"/>
      <c r="H640" s="16"/>
      <c r="I640" s="15" t="str">
        <f t="shared" si="98"/>
        <v xml:space="preserve"> </v>
      </c>
      <c r="J640" s="15" t="str">
        <f t="shared" si="99"/>
        <v xml:space="preserve"> </v>
      </c>
      <c r="K640" s="15"/>
      <c r="L640" s="15">
        <f t="shared" si="101"/>
        <v>0</v>
      </c>
      <c r="M640" s="5" t="str">
        <f t="shared" si="103"/>
        <v/>
      </c>
      <c r="N640" s="25" t="str">
        <f>IF(ISBLANK($E640)," ", COUNTIF($M$4:$M640,$M640))</f>
        <v xml:space="preserve"> </v>
      </c>
      <c r="O640" s="25" t="str">
        <f t="shared" si="100"/>
        <v xml:space="preserve"> </v>
      </c>
      <c r="P640" s="5" t="str">
        <f t="shared" si="104"/>
        <v/>
      </c>
      <c r="Q640" s="5" t="str">
        <f t="shared" si="105"/>
        <v/>
      </c>
      <c r="R640" s="5" t="str">
        <f t="shared" si="102"/>
        <v/>
      </c>
    </row>
    <row r="641" spans="1:18" ht="20.25" x14ac:dyDescent="0.3">
      <c r="A641" s="56"/>
      <c r="B641" s="15">
        <v>637</v>
      </c>
      <c r="C641" s="15"/>
      <c r="D641" s="15"/>
      <c r="E641" s="16"/>
      <c r="F641" s="15"/>
      <c r="G641" s="15"/>
      <c r="H641" s="16"/>
      <c r="I641" s="15" t="str">
        <f t="shared" ref="I641:I659" si="106">IF(ISBLANK($E641)," ",IF($E641&gt;$H641,$C641,$F641))</f>
        <v xml:space="preserve"> </v>
      </c>
      <c r="J641" s="15" t="str">
        <f t="shared" ref="J641:J659" si="107">IF(ISBLANK($E641)," ",IF($E641&gt;$H641,$D641,$G641))</f>
        <v xml:space="preserve"> </v>
      </c>
      <c r="K641" s="15"/>
      <c r="L641" s="15">
        <f t="shared" si="101"/>
        <v>0</v>
      </c>
      <c r="M641" s="5" t="str">
        <f t="shared" si="103"/>
        <v/>
      </c>
      <c r="N641" s="25" t="str">
        <f>IF(ISBLANK($E641)," ", COUNTIF($M$4:$M641,$M641))</f>
        <v xml:space="preserve"> </v>
      </c>
      <c r="O641" s="25" t="str">
        <f t="shared" ref="O641:O659" si="108">IF(N641 =" ", " ", IF(N641=1,15,(IF(N641=2,15,(IF(N641=3,15,15))))))</f>
        <v xml:space="preserve"> </v>
      </c>
      <c r="P641" s="5" t="str">
        <f t="shared" si="104"/>
        <v/>
      </c>
      <c r="Q641" s="5" t="str">
        <f t="shared" si="105"/>
        <v/>
      </c>
      <c r="R641" s="5" t="str">
        <f t="shared" si="102"/>
        <v/>
      </c>
    </row>
    <row r="642" spans="1:18" ht="20.25" x14ac:dyDescent="0.3">
      <c r="A642" s="56"/>
      <c r="B642" s="15">
        <v>638</v>
      </c>
      <c r="C642" s="15"/>
      <c r="D642" s="15"/>
      <c r="E642" s="16"/>
      <c r="F642" s="15"/>
      <c r="G642" s="15"/>
      <c r="H642" s="16"/>
      <c r="I642" s="15" t="str">
        <f t="shared" si="106"/>
        <v xml:space="preserve"> </v>
      </c>
      <c r="J642" s="15" t="str">
        <f t="shared" si="107"/>
        <v xml:space="preserve"> </v>
      </c>
      <c r="K642" s="15"/>
      <c r="L642" s="15">
        <f t="shared" ref="L642:L659" si="109">E642-H642</f>
        <v>0</v>
      </c>
      <c r="M642" s="5" t="str">
        <f t="shared" si="103"/>
        <v/>
      </c>
      <c r="N642" s="25" t="str">
        <f>IF(ISBLANK($E642)," ", COUNTIF($M$4:$M642,$M642))</f>
        <v xml:space="preserve"> </v>
      </c>
      <c r="O642" s="25" t="str">
        <f t="shared" si="108"/>
        <v xml:space="preserve"> </v>
      </c>
      <c r="P642" s="5" t="str">
        <f t="shared" si="104"/>
        <v/>
      </c>
      <c r="Q642" s="5" t="str">
        <f t="shared" si="105"/>
        <v/>
      </c>
      <c r="R642" s="5" t="str">
        <f t="shared" ref="R642:R659" si="110">IFERROR((P642*100000)+Q642,"")</f>
        <v/>
      </c>
    </row>
    <row r="643" spans="1:18" ht="20.25" x14ac:dyDescent="0.3">
      <c r="A643" s="56"/>
      <c r="B643" s="15">
        <v>639</v>
      </c>
      <c r="C643" s="15"/>
      <c r="D643" s="15"/>
      <c r="E643" s="16"/>
      <c r="F643" s="15"/>
      <c r="G643" s="15"/>
      <c r="H643" s="16"/>
      <c r="I643" s="15" t="str">
        <f t="shared" si="106"/>
        <v xml:space="preserve"> </v>
      </c>
      <c r="J643" s="15" t="str">
        <f t="shared" si="107"/>
        <v xml:space="preserve"> </v>
      </c>
      <c r="K643" s="15"/>
      <c r="L643" s="15">
        <f t="shared" si="109"/>
        <v>0</v>
      </c>
      <c r="M643" s="5" t="str">
        <f t="shared" si="103"/>
        <v/>
      </c>
      <c r="N643" s="25" t="str">
        <f>IF(ISBLANK($E643)," ", COUNTIF($M$4:$M643,$M643))</f>
        <v xml:space="preserve"> </v>
      </c>
      <c r="O643" s="25" t="str">
        <f t="shared" si="108"/>
        <v xml:space="preserve"> </v>
      </c>
      <c r="P643" s="5" t="str">
        <f t="shared" si="104"/>
        <v/>
      </c>
      <c r="Q643" s="5" t="str">
        <f t="shared" si="105"/>
        <v/>
      </c>
      <c r="R643" s="5" t="str">
        <f t="shared" si="110"/>
        <v/>
      </c>
    </row>
    <row r="644" spans="1:18" ht="20.25" x14ac:dyDescent="0.3">
      <c r="A644" s="56"/>
      <c r="B644" s="15">
        <v>640</v>
      </c>
      <c r="C644" s="15"/>
      <c r="D644" s="15"/>
      <c r="E644" s="16"/>
      <c r="F644" s="15"/>
      <c r="G644" s="15"/>
      <c r="H644" s="16"/>
      <c r="I644" s="15" t="str">
        <f t="shared" si="106"/>
        <v xml:space="preserve"> </v>
      </c>
      <c r="J644" s="15" t="str">
        <f t="shared" si="107"/>
        <v xml:space="preserve"> </v>
      </c>
      <c r="K644" s="15"/>
      <c r="L644" s="15">
        <f t="shared" si="109"/>
        <v>0</v>
      </c>
      <c r="M644" s="5" t="str">
        <f t="shared" si="103"/>
        <v/>
      </c>
      <c r="N644" s="25" t="str">
        <f>IF(ISBLANK($E644)," ", COUNTIF($M$4:$M644,$M644))</f>
        <v xml:space="preserve"> </v>
      </c>
      <c r="O644" s="25" t="str">
        <f t="shared" si="108"/>
        <v xml:space="preserve"> </v>
      </c>
      <c r="P644" s="5" t="str">
        <f t="shared" si="104"/>
        <v/>
      </c>
      <c r="Q644" s="5" t="str">
        <f t="shared" si="105"/>
        <v/>
      </c>
      <c r="R644" s="5" t="str">
        <f t="shared" si="110"/>
        <v/>
      </c>
    </row>
    <row r="645" spans="1:18" ht="20.25" x14ac:dyDescent="0.3">
      <c r="A645" s="56"/>
      <c r="B645" s="15">
        <v>641</v>
      </c>
      <c r="C645" s="15"/>
      <c r="D645" s="15"/>
      <c r="E645" s="16"/>
      <c r="F645" s="15"/>
      <c r="G645" s="15"/>
      <c r="H645" s="16"/>
      <c r="I645" s="15" t="str">
        <f t="shared" si="106"/>
        <v xml:space="preserve"> </v>
      </c>
      <c r="J645" s="15" t="str">
        <f t="shared" si="107"/>
        <v xml:space="preserve"> </v>
      </c>
      <c r="K645" s="15"/>
      <c r="L645" s="15">
        <f t="shared" si="109"/>
        <v>0</v>
      </c>
      <c r="M645" s="5" t="str">
        <f t="shared" si="103"/>
        <v/>
      </c>
      <c r="N645" s="25" t="str">
        <f>IF(ISBLANK($E645)," ", COUNTIF($M$4:$M645,$M645))</f>
        <v xml:space="preserve"> </v>
      </c>
      <c r="O645" s="25" t="str">
        <f t="shared" si="108"/>
        <v xml:space="preserve"> </v>
      </c>
      <c r="P645" s="5" t="str">
        <f t="shared" si="104"/>
        <v/>
      </c>
      <c r="Q645" s="5" t="str">
        <f t="shared" si="105"/>
        <v/>
      </c>
      <c r="R645" s="5" t="str">
        <f t="shared" si="110"/>
        <v/>
      </c>
    </row>
    <row r="646" spans="1:18" ht="20.25" x14ac:dyDescent="0.3">
      <c r="A646" s="56"/>
      <c r="B646" s="15">
        <v>642</v>
      </c>
      <c r="C646" s="15"/>
      <c r="D646" s="15"/>
      <c r="E646" s="16"/>
      <c r="F646" s="15"/>
      <c r="G646" s="15"/>
      <c r="H646" s="16"/>
      <c r="I646" s="15" t="str">
        <f t="shared" si="106"/>
        <v xml:space="preserve"> </v>
      </c>
      <c r="J646" s="15" t="str">
        <f t="shared" si="107"/>
        <v xml:space="preserve"> </v>
      </c>
      <c r="K646" s="15"/>
      <c r="L646" s="15">
        <f t="shared" si="109"/>
        <v>0</v>
      </c>
      <c r="M646" s="5" t="str">
        <f t="shared" si="103"/>
        <v/>
      </c>
      <c r="N646" s="25" t="str">
        <f>IF(ISBLANK($E646)," ", COUNTIF($M$4:$M646,$M646))</f>
        <v xml:space="preserve"> </v>
      </c>
      <c r="O646" s="25" t="str">
        <f t="shared" si="108"/>
        <v xml:space="preserve"> </v>
      </c>
      <c r="P646" s="5" t="str">
        <f t="shared" si="104"/>
        <v/>
      </c>
      <c r="Q646" s="5" t="str">
        <f t="shared" si="105"/>
        <v/>
      </c>
      <c r="R646" s="5" t="str">
        <f t="shared" si="110"/>
        <v/>
      </c>
    </row>
    <row r="647" spans="1:18" ht="20.25" x14ac:dyDescent="0.3">
      <c r="A647" s="56"/>
      <c r="B647" s="15">
        <v>643</v>
      </c>
      <c r="C647" s="15"/>
      <c r="D647" s="15"/>
      <c r="E647" s="16"/>
      <c r="F647" s="15"/>
      <c r="G647" s="15"/>
      <c r="H647" s="16"/>
      <c r="I647" s="15" t="str">
        <f t="shared" si="106"/>
        <v xml:space="preserve"> </v>
      </c>
      <c r="J647" s="15" t="str">
        <f t="shared" si="107"/>
        <v xml:space="preserve"> </v>
      </c>
      <c r="K647" s="15"/>
      <c r="L647" s="15">
        <f t="shared" si="109"/>
        <v>0</v>
      </c>
      <c r="M647" s="5" t="str">
        <f t="shared" si="103"/>
        <v/>
      </c>
      <c r="N647" s="25" t="str">
        <f>IF(ISBLANK($E647)," ", COUNTIF($M$4:$M647,$M647))</f>
        <v xml:space="preserve"> </v>
      </c>
      <c r="O647" s="25" t="str">
        <f t="shared" si="108"/>
        <v xml:space="preserve"> </v>
      </c>
      <c r="P647" s="5" t="str">
        <f t="shared" si="104"/>
        <v/>
      </c>
      <c r="Q647" s="5" t="str">
        <f t="shared" si="105"/>
        <v/>
      </c>
      <c r="R647" s="5" t="str">
        <f t="shared" si="110"/>
        <v/>
      </c>
    </row>
    <row r="648" spans="1:18" ht="20.25" x14ac:dyDescent="0.3">
      <c r="A648" s="56"/>
      <c r="B648" s="15">
        <v>644</v>
      </c>
      <c r="C648" s="15"/>
      <c r="D648" s="15"/>
      <c r="E648" s="16"/>
      <c r="F648" s="15"/>
      <c r="G648" s="15"/>
      <c r="H648" s="16"/>
      <c r="I648" s="15" t="str">
        <f t="shared" si="106"/>
        <v xml:space="preserve"> </v>
      </c>
      <c r="J648" s="15" t="str">
        <f t="shared" si="107"/>
        <v xml:space="preserve"> </v>
      </c>
      <c r="K648" s="15"/>
      <c r="L648" s="15">
        <f t="shared" si="109"/>
        <v>0</v>
      </c>
      <c r="M648" s="5" t="str">
        <f t="shared" si="103"/>
        <v/>
      </c>
      <c r="N648" s="25" t="str">
        <f>IF(ISBLANK($E648)," ", COUNTIF($M$4:$M648,$M648))</f>
        <v xml:space="preserve"> </v>
      </c>
      <c r="O648" s="25" t="str">
        <f t="shared" si="108"/>
        <v xml:space="preserve"> </v>
      </c>
      <c r="P648" s="5" t="str">
        <f t="shared" si="104"/>
        <v/>
      </c>
      <c r="Q648" s="5" t="str">
        <f t="shared" si="105"/>
        <v/>
      </c>
      <c r="R648" s="5" t="str">
        <f t="shared" si="110"/>
        <v/>
      </c>
    </row>
    <row r="649" spans="1:18" ht="20.25" x14ac:dyDescent="0.3">
      <c r="A649" s="56"/>
      <c r="B649" s="15">
        <v>645</v>
      </c>
      <c r="C649" s="15"/>
      <c r="D649" s="15"/>
      <c r="E649" s="16"/>
      <c r="F649" s="15"/>
      <c r="G649" s="15"/>
      <c r="H649" s="16"/>
      <c r="I649" s="15" t="str">
        <f t="shared" si="106"/>
        <v xml:space="preserve"> </v>
      </c>
      <c r="J649" s="15" t="str">
        <f t="shared" si="107"/>
        <v xml:space="preserve"> </v>
      </c>
      <c r="K649" s="15"/>
      <c r="L649" s="15">
        <f t="shared" si="109"/>
        <v>0</v>
      </c>
      <c r="M649" s="5" t="str">
        <f t="shared" si="103"/>
        <v/>
      </c>
      <c r="N649" s="25" t="str">
        <f>IF(ISBLANK($E649)," ", COUNTIF($M$4:$M649,$M649))</f>
        <v xml:space="preserve"> </v>
      </c>
      <c r="O649" s="25" t="str">
        <f t="shared" si="108"/>
        <v xml:space="preserve"> </v>
      </c>
      <c r="P649" s="5" t="str">
        <f t="shared" si="104"/>
        <v/>
      </c>
      <c r="Q649" s="5" t="str">
        <f t="shared" si="105"/>
        <v/>
      </c>
      <c r="R649" s="5" t="str">
        <f t="shared" si="110"/>
        <v/>
      </c>
    </row>
    <row r="650" spans="1:18" ht="20.25" x14ac:dyDescent="0.3">
      <c r="A650" s="56"/>
      <c r="B650" s="15">
        <v>646</v>
      </c>
      <c r="C650" s="15"/>
      <c r="D650" s="15"/>
      <c r="E650" s="16"/>
      <c r="F650" s="15"/>
      <c r="G650" s="15"/>
      <c r="H650" s="16"/>
      <c r="I650" s="15" t="str">
        <f t="shared" si="106"/>
        <v xml:space="preserve"> </v>
      </c>
      <c r="J650" s="15" t="str">
        <f t="shared" si="107"/>
        <v xml:space="preserve"> </v>
      </c>
      <c r="K650" s="15"/>
      <c r="L650" s="15">
        <f t="shared" si="109"/>
        <v>0</v>
      </c>
      <c r="M650" s="5" t="str">
        <f t="shared" si="103"/>
        <v/>
      </c>
      <c r="N650" s="25" t="str">
        <f>IF(ISBLANK($E650)," ", COUNTIF($M$4:$M650,$M650))</f>
        <v xml:space="preserve"> </v>
      </c>
      <c r="O650" s="25" t="str">
        <f t="shared" si="108"/>
        <v xml:space="preserve"> </v>
      </c>
      <c r="P650" s="5" t="str">
        <f t="shared" si="104"/>
        <v/>
      </c>
      <c r="Q650" s="5" t="str">
        <f t="shared" si="105"/>
        <v/>
      </c>
      <c r="R650" s="5" t="str">
        <f t="shared" si="110"/>
        <v/>
      </c>
    </row>
    <row r="651" spans="1:18" ht="20.25" x14ac:dyDescent="0.3">
      <c r="A651" s="56"/>
      <c r="B651" s="15">
        <v>647</v>
      </c>
      <c r="C651" s="15"/>
      <c r="D651" s="15"/>
      <c r="E651" s="16"/>
      <c r="F651" s="15"/>
      <c r="G651" s="15"/>
      <c r="H651" s="16"/>
      <c r="I651" s="15" t="str">
        <f t="shared" si="106"/>
        <v xml:space="preserve"> </v>
      </c>
      <c r="J651" s="15" t="str">
        <f t="shared" si="107"/>
        <v xml:space="preserve"> </v>
      </c>
      <c r="K651" s="15"/>
      <c r="L651" s="15">
        <f t="shared" si="109"/>
        <v>0</v>
      </c>
      <c r="M651" s="5" t="str">
        <f t="shared" si="103"/>
        <v/>
      </c>
      <c r="N651" s="25" t="str">
        <f>IF(ISBLANK($E651)," ", COUNTIF($M$4:$M651,$M651))</f>
        <v xml:space="preserve"> </v>
      </c>
      <c r="O651" s="25" t="str">
        <f t="shared" si="108"/>
        <v xml:space="preserve"> </v>
      </c>
      <c r="P651" s="5" t="str">
        <f t="shared" si="104"/>
        <v/>
      </c>
      <c r="Q651" s="5" t="str">
        <f t="shared" si="105"/>
        <v/>
      </c>
      <c r="R651" s="5" t="str">
        <f t="shared" si="110"/>
        <v/>
      </c>
    </row>
    <row r="652" spans="1:18" ht="20.25" x14ac:dyDescent="0.3">
      <c r="A652" s="56"/>
      <c r="B652" s="15">
        <v>648</v>
      </c>
      <c r="C652" s="15"/>
      <c r="D652" s="15"/>
      <c r="E652" s="16"/>
      <c r="F652" s="15"/>
      <c r="G652" s="15"/>
      <c r="H652" s="16"/>
      <c r="I652" s="15" t="str">
        <f t="shared" si="106"/>
        <v xml:space="preserve"> </v>
      </c>
      <c r="J652" s="15" t="str">
        <f t="shared" si="107"/>
        <v xml:space="preserve"> </v>
      </c>
      <c r="K652" s="15"/>
      <c r="L652" s="15">
        <f t="shared" si="109"/>
        <v>0</v>
      </c>
      <c r="M652" s="5" t="str">
        <f t="shared" si="103"/>
        <v/>
      </c>
      <c r="N652" s="25" t="str">
        <f>IF(ISBLANK($E652)," ", COUNTIF($M$4:$M652,$M652))</f>
        <v xml:space="preserve"> </v>
      </c>
      <c r="O652" s="25" t="str">
        <f t="shared" si="108"/>
        <v xml:space="preserve"> </v>
      </c>
      <c r="P652" s="5" t="str">
        <f t="shared" si="104"/>
        <v/>
      </c>
      <c r="Q652" s="5" t="str">
        <f t="shared" si="105"/>
        <v/>
      </c>
      <c r="R652" s="5" t="str">
        <f t="shared" si="110"/>
        <v/>
      </c>
    </row>
    <row r="653" spans="1:18" ht="20.25" x14ac:dyDescent="0.3">
      <c r="A653" s="56"/>
      <c r="B653" s="15">
        <v>649</v>
      </c>
      <c r="C653" s="15"/>
      <c r="D653" s="15"/>
      <c r="E653" s="16"/>
      <c r="F653" s="15"/>
      <c r="G653" s="15"/>
      <c r="H653" s="16"/>
      <c r="I653" s="15" t="str">
        <f t="shared" si="106"/>
        <v xml:space="preserve"> </v>
      </c>
      <c r="J653" s="15" t="str">
        <f t="shared" si="107"/>
        <v xml:space="preserve"> </v>
      </c>
      <c r="K653" s="15"/>
      <c r="L653" s="15">
        <f t="shared" si="109"/>
        <v>0</v>
      </c>
      <c r="M653" s="5" t="str">
        <f t="shared" si="103"/>
        <v/>
      </c>
      <c r="N653" s="25" t="str">
        <f>IF(ISBLANK($E653)," ", COUNTIF($M$4:$M653,$M653))</f>
        <v xml:space="preserve"> </v>
      </c>
      <c r="O653" s="25" t="str">
        <f t="shared" si="108"/>
        <v xml:space="preserve"> </v>
      </c>
      <c r="P653" s="5" t="str">
        <f t="shared" si="104"/>
        <v/>
      </c>
      <c r="Q653" s="5" t="str">
        <f t="shared" si="105"/>
        <v/>
      </c>
      <c r="R653" s="5" t="str">
        <f t="shared" si="110"/>
        <v/>
      </c>
    </row>
    <row r="654" spans="1:18" ht="20.25" x14ac:dyDescent="0.3">
      <c r="A654" s="56"/>
      <c r="B654" s="15">
        <v>650</v>
      </c>
      <c r="C654" s="15"/>
      <c r="D654" s="15"/>
      <c r="E654" s="16"/>
      <c r="F654" s="15"/>
      <c r="G654" s="15"/>
      <c r="H654" s="16"/>
      <c r="I654" s="15" t="str">
        <f t="shared" si="106"/>
        <v xml:space="preserve"> </v>
      </c>
      <c r="J654" s="15" t="str">
        <f t="shared" si="107"/>
        <v xml:space="preserve"> </v>
      </c>
      <c r="K654" s="15"/>
      <c r="L654" s="15">
        <f t="shared" si="109"/>
        <v>0</v>
      </c>
      <c r="M654" s="5" t="str">
        <f t="shared" si="103"/>
        <v/>
      </c>
      <c r="N654" s="25" t="str">
        <f>IF(ISBLANK($E654)," ", COUNTIF($M$4:$M654,$M654))</f>
        <v xml:space="preserve"> </v>
      </c>
      <c r="O654" s="25" t="str">
        <f t="shared" si="108"/>
        <v xml:space="preserve"> </v>
      </c>
      <c r="P654" s="5" t="str">
        <f t="shared" si="104"/>
        <v/>
      </c>
      <c r="Q654" s="5" t="str">
        <f t="shared" si="105"/>
        <v/>
      </c>
      <c r="R654" s="5" t="str">
        <f t="shared" si="110"/>
        <v/>
      </c>
    </row>
    <row r="655" spans="1:18" ht="20.25" x14ac:dyDescent="0.3">
      <c r="A655" s="56"/>
      <c r="B655" s="15">
        <v>651</v>
      </c>
      <c r="C655" s="15"/>
      <c r="D655" s="15"/>
      <c r="E655" s="16"/>
      <c r="F655" s="15"/>
      <c r="G655" s="15"/>
      <c r="H655" s="16"/>
      <c r="I655" s="15" t="str">
        <f t="shared" si="106"/>
        <v xml:space="preserve"> </v>
      </c>
      <c r="J655" s="15" t="str">
        <f t="shared" si="107"/>
        <v xml:space="preserve"> </v>
      </c>
      <c r="K655" s="15"/>
      <c r="L655" s="15">
        <f t="shared" si="109"/>
        <v>0</v>
      </c>
      <c r="M655" s="5" t="str">
        <f t="shared" si="103"/>
        <v/>
      </c>
      <c r="N655" s="25" t="str">
        <f>IF(ISBLANK($E655)," ", COUNTIF($M$4:$M655,$M655))</f>
        <v xml:space="preserve"> </v>
      </c>
      <c r="O655" s="25" t="str">
        <f t="shared" si="108"/>
        <v xml:space="preserve"> </v>
      </c>
      <c r="P655" s="5" t="str">
        <f t="shared" si="104"/>
        <v/>
      </c>
      <c r="Q655" s="5" t="str">
        <f t="shared" si="105"/>
        <v/>
      </c>
      <c r="R655" s="5" t="str">
        <f t="shared" si="110"/>
        <v/>
      </c>
    </row>
    <row r="656" spans="1:18" ht="20.25" x14ac:dyDescent="0.3">
      <c r="A656" s="56"/>
      <c r="B656" s="15">
        <v>652</v>
      </c>
      <c r="C656" s="15"/>
      <c r="D656" s="15"/>
      <c r="E656" s="16"/>
      <c r="F656" s="15"/>
      <c r="G656" s="15"/>
      <c r="H656" s="16"/>
      <c r="I656" s="15" t="str">
        <f t="shared" si="106"/>
        <v xml:space="preserve"> </v>
      </c>
      <c r="J656" s="15" t="str">
        <f t="shared" si="107"/>
        <v xml:space="preserve"> </v>
      </c>
      <c r="K656" s="15"/>
      <c r="L656" s="15">
        <f t="shared" si="109"/>
        <v>0</v>
      </c>
      <c r="M656" s="5" t="str">
        <f t="shared" si="103"/>
        <v/>
      </c>
      <c r="N656" s="25" t="str">
        <f>IF(ISBLANK($E656)," ", COUNTIF($M$4:$M656,$M656))</f>
        <v xml:space="preserve"> </v>
      </c>
      <c r="O656" s="25" t="str">
        <f t="shared" si="108"/>
        <v xml:space="preserve"> </v>
      </c>
      <c r="P656" s="5" t="str">
        <f t="shared" si="104"/>
        <v/>
      </c>
      <c r="Q656" s="5" t="str">
        <f t="shared" si="105"/>
        <v/>
      </c>
      <c r="R656" s="5" t="str">
        <f t="shared" si="110"/>
        <v/>
      </c>
    </row>
    <row r="657" spans="1:18" ht="20.25" x14ac:dyDescent="0.3">
      <c r="A657" s="56"/>
      <c r="B657" s="15">
        <v>653</v>
      </c>
      <c r="C657" s="15"/>
      <c r="D657" s="15"/>
      <c r="E657" s="16"/>
      <c r="F657" s="15"/>
      <c r="G657" s="15"/>
      <c r="H657" s="16"/>
      <c r="I657" s="15" t="str">
        <f t="shared" si="106"/>
        <v xml:space="preserve"> </v>
      </c>
      <c r="J657" s="15" t="str">
        <f t="shared" si="107"/>
        <v xml:space="preserve"> </v>
      </c>
      <c r="K657" s="15"/>
      <c r="L657" s="15">
        <f t="shared" si="109"/>
        <v>0</v>
      </c>
      <c r="M657" s="5" t="str">
        <f t="shared" si="103"/>
        <v/>
      </c>
      <c r="N657" s="25" t="str">
        <f>IF(ISBLANK($E657)," ", COUNTIF($M$4:$M657,$M657))</f>
        <v xml:space="preserve"> </v>
      </c>
      <c r="O657" s="25" t="str">
        <f t="shared" si="108"/>
        <v xml:space="preserve"> </v>
      </c>
      <c r="P657" s="5" t="str">
        <f t="shared" si="104"/>
        <v/>
      </c>
      <c r="Q657" s="5" t="str">
        <f t="shared" si="105"/>
        <v/>
      </c>
      <c r="R657" s="5" t="str">
        <f t="shared" si="110"/>
        <v/>
      </c>
    </row>
    <row r="658" spans="1:18" ht="20.25" x14ac:dyDescent="0.3">
      <c r="A658" s="56"/>
      <c r="B658" s="15">
        <v>654</v>
      </c>
      <c r="C658" s="15"/>
      <c r="D658" s="15"/>
      <c r="E658" s="16"/>
      <c r="F658" s="15"/>
      <c r="G658" s="15"/>
      <c r="H658" s="16"/>
      <c r="I658" s="15" t="str">
        <f t="shared" si="106"/>
        <v xml:space="preserve"> </v>
      </c>
      <c r="J658" s="15" t="str">
        <f t="shared" si="107"/>
        <v xml:space="preserve"> </v>
      </c>
      <c r="K658" s="15"/>
      <c r="L658" s="15">
        <f t="shared" si="109"/>
        <v>0</v>
      </c>
      <c r="M658" s="5" t="str">
        <f t="shared" si="103"/>
        <v/>
      </c>
      <c r="N658" s="25" t="str">
        <f>IF(ISBLANK($E658)," ", COUNTIF($M$4:$M658,$M658))</f>
        <v xml:space="preserve"> </v>
      </c>
      <c r="O658" s="25" t="str">
        <f t="shared" si="108"/>
        <v xml:space="preserve"> </v>
      </c>
      <c r="P658" s="5" t="str">
        <f t="shared" si="104"/>
        <v/>
      </c>
      <c r="Q658" s="5" t="str">
        <f t="shared" si="105"/>
        <v/>
      </c>
      <c r="R658" s="5" t="str">
        <f t="shared" si="110"/>
        <v/>
      </c>
    </row>
    <row r="659" spans="1:18" ht="20.25" x14ac:dyDescent="0.3">
      <c r="A659" s="56"/>
      <c r="B659" s="15">
        <v>655</v>
      </c>
      <c r="C659" s="15"/>
      <c r="D659" s="15"/>
      <c r="E659" s="16"/>
      <c r="F659" s="15"/>
      <c r="G659" s="15"/>
      <c r="H659" s="16"/>
      <c r="I659" s="15" t="str">
        <f t="shared" si="106"/>
        <v xml:space="preserve"> </v>
      </c>
      <c r="J659" s="15" t="str">
        <f t="shared" si="107"/>
        <v xml:space="preserve"> </v>
      </c>
      <c r="K659" s="15"/>
      <c r="L659" s="15">
        <f t="shared" si="109"/>
        <v>0</v>
      </c>
      <c r="M659" s="5" t="str">
        <f t="shared" si="103"/>
        <v/>
      </c>
      <c r="N659" s="25" t="str">
        <f>IF(ISBLANK($E659)," ", COUNTIF($M$4:$M659,$M659))</f>
        <v xml:space="preserve"> </v>
      </c>
      <c r="O659" s="25" t="str">
        <f t="shared" si="108"/>
        <v xml:space="preserve"> </v>
      </c>
      <c r="P659" s="5" t="str">
        <f t="shared" si="104"/>
        <v/>
      </c>
      <c r="Q659" s="5" t="str">
        <f t="shared" si="105"/>
        <v/>
      </c>
      <c r="R659" s="5" t="str">
        <f t="shared" si="110"/>
        <v/>
      </c>
    </row>
    <row r="660" spans="1:18" ht="20.25" x14ac:dyDescent="0.3">
      <c r="A660" s="56"/>
      <c r="B660" s="15">
        <v>656</v>
      </c>
    </row>
  </sheetData>
  <autoFilter ref="A4:R660"/>
  <sortState ref="U3:AD27">
    <sortCondition descending="1" ref="Y3:Y27"/>
    <sortCondition descending="1" ref="AB3:AB27"/>
    <sortCondition descending="1" ref="AD3:AD27"/>
  </sortState>
  <mergeCells count="5">
    <mergeCell ref="U1:AA1"/>
    <mergeCell ref="B2:C2"/>
    <mergeCell ref="C3:D3"/>
    <mergeCell ref="F3:G3"/>
    <mergeCell ref="I3:J3"/>
  </mergeCells>
  <conditionalFormatting sqref="A240:A257 A5:A24">
    <cfRule type="timePeriod" dxfId="139" priority="172" timePeriod="last7Days">
      <formula>AND(TODAY()-FLOOR(A5,1)&lt;=6,FLOOR(A5,1)&lt;=TODAY())</formula>
    </cfRule>
  </conditionalFormatting>
  <conditionalFormatting sqref="R1:R1048576">
    <cfRule type="duplicateValues" dxfId="138" priority="171"/>
  </conditionalFormatting>
  <conditionalFormatting sqref="F385:G388 C385:D388 F390:G500 C390:D500 C508:D540 C506:D506 F508:G540 F506:G506 C582:D587 C588:C646 D638:H646 F608:G627 D608:D637 F628:H637 C660:C1048576 C232:C304 D232:D279 F232:F304 G233:G304 F5:G152 F154:G231 C5:D231">
    <cfRule type="expression" dxfId="137" priority="169">
      <formula>NOT(ISNA(VLOOKUP(C5,GROUP_B,1,FALSE)))</formula>
    </cfRule>
    <cfRule type="expression" dxfId="136" priority="170">
      <formula>NOT(ISNA(VLOOKUP(C5,GROUP_A,1,FALSE)))</formula>
    </cfRule>
  </conditionalFormatting>
  <conditionalFormatting sqref="D335:D348 D588:D595">
    <cfRule type="expression" dxfId="135" priority="165">
      <formula>NOT(ISNA(VLOOKUP(D335,GROUP_B,1,FALSE)))</formula>
    </cfRule>
    <cfRule type="expression" dxfId="134" priority="166">
      <formula>NOT(ISNA(VLOOKUP(D335,GROUP_A,1,FALSE)))</formula>
    </cfRule>
  </conditionalFormatting>
  <conditionalFormatting sqref="D306:D310 D321:D334">
    <cfRule type="expression" dxfId="133" priority="152">
      <formula>NOT(ISNA(VLOOKUP(D306,GROUP_B,1,FALSE)))</formula>
    </cfRule>
    <cfRule type="expression" dxfId="132" priority="153">
      <formula>NOT(ISNA(VLOOKUP(D306,GROUP_A,1,FALSE)))</formula>
    </cfRule>
  </conditionalFormatting>
  <conditionalFormatting sqref="D311:D320">
    <cfRule type="expression" dxfId="131" priority="150">
      <formula>NOT(ISNA(VLOOKUP(D311,GROUP_B,1,FALSE)))</formula>
    </cfRule>
    <cfRule type="expression" dxfId="130" priority="151">
      <formula>NOT(ISNA(VLOOKUP(D311,GROUP_A,1,FALSE)))</formula>
    </cfRule>
  </conditionalFormatting>
  <conditionalFormatting sqref="D281:D304">
    <cfRule type="expression" dxfId="129" priority="148">
      <formula>NOT(ISNA(VLOOKUP(D281,GROUP_B,1,FALSE)))</formula>
    </cfRule>
    <cfRule type="expression" dxfId="128" priority="149">
      <formula>NOT(ISNA(VLOOKUP(D281,GROUP_A,1,FALSE)))</formula>
    </cfRule>
  </conditionalFormatting>
  <conditionalFormatting sqref="D280">
    <cfRule type="expression" dxfId="127" priority="146">
      <formula>NOT(ISNA(VLOOKUP(D280,GROUP_B,1,FALSE)))</formula>
    </cfRule>
    <cfRule type="expression" dxfId="126" priority="147">
      <formula>NOT(ISNA(VLOOKUP(D280,GROUP_A,1,FALSE)))</formula>
    </cfRule>
  </conditionalFormatting>
  <conditionalFormatting sqref="F153:G153">
    <cfRule type="expression" dxfId="125" priority="141">
      <formula>NOT(ISNA(VLOOKUP(F153,GROUP_B,1,FALSE)))</formula>
    </cfRule>
    <cfRule type="expression" dxfId="124" priority="142">
      <formula>NOT(ISNA(VLOOKUP(F153,GROUP_A,1,FALSE)))</formula>
    </cfRule>
  </conditionalFormatting>
  <conditionalFormatting sqref="C306:C348">
    <cfRule type="expression" dxfId="123" priority="137">
      <formula>NOT(ISNA(VLOOKUP(C306,GROUP_B,1,FALSE)))</formula>
    </cfRule>
    <cfRule type="expression" dxfId="122" priority="138">
      <formula>NOT(ISNA(VLOOKUP(C306,GROUP_A,1,FALSE)))</formula>
    </cfRule>
  </conditionalFormatting>
  <conditionalFormatting sqref="F306:F348">
    <cfRule type="expression" dxfId="121" priority="133">
      <formula>NOT(ISNA(VLOOKUP(F306,GROUP_B,1,FALSE)))</formula>
    </cfRule>
    <cfRule type="expression" dxfId="120" priority="134">
      <formula>NOT(ISNA(VLOOKUP(F306,GROUP_A,1,FALSE)))</formula>
    </cfRule>
  </conditionalFormatting>
  <conditionalFormatting sqref="G232">
    <cfRule type="expression" dxfId="119" priority="131">
      <formula>NOT(ISNA(VLOOKUP(G232,GROUP_B,1,FALSE)))</formula>
    </cfRule>
    <cfRule type="expression" dxfId="118" priority="132">
      <formula>NOT(ISNA(VLOOKUP(G232,GROUP_A,1,FALSE)))</formula>
    </cfRule>
  </conditionalFormatting>
  <conditionalFormatting sqref="G306:G348">
    <cfRule type="expression" dxfId="117" priority="129">
      <formula>NOT(ISNA(VLOOKUP(G306,GROUP_B,1,FALSE)))</formula>
    </cfRule>
    <cfRule type="expression" dxfId="116" priority="130">
      <formula>NOT(ISNA(VLOOKUP(G306,GROUP_A,1,FALSE)))</formula>
    </cfRule>
  </conditionalFormatting>
  <conditionalFormatting sqref="A263:A281">
    <cfRule type="timePeriod" dxfId="115" priority="127" timePeriod="last7Days">
      <formula>AND(TODAY()-FLOOR(A263,1)&lt;=6,FLOOR(A263,1)&lt;=TODAY())</formula>
    </cfRule>
  </conditionalFormatting>
  <conditionalFormatting sqref="N1:N1048576">
    <cfRule type="cellIs" dxfId="114" priority="126" operator="greaterThan">
      <formula>5</formula>
    </cfRule>
  </conditionalFormatting>
  <conditionalFormatting sqref="A282">
    <cfRule type="timePeriod" dxfId="113" priority="125" timePeriod="last7Days">
      <formula>AND(TODAY()-FLOOR(A282,1)&lt;=6,FLOOR(A282,1)&lt;=TODAY())</formula>
    </cfRule>
  </conditionalFormatting>
  <conditionalFormatting sqref="D305">
    <cfRule type="expression" dxfId="112" priority="120">
      <formula>NOT(ISNA(VLOOKUP(D305,GROUP_B,1,FALSE)))</formula>
    </cfRule>
    <cfRule type="expression" dxfId="111" priority="121">
      <formula>NOT(ISNA(VLOOKUP(D305,GROUP_A,1,FALSE)))</formula>
    </cfRule>
  </conditionalFormatting>
  <conditionalFormatting sqref="C305">
    <cfRule type="expression" dxfId="110" priority="118">
      <formula>NOT(ISNA(VLOOKUP(C305,GROUP_B,1,FALSE)))</formula>
    </cfRule>
    <cfRule type="expression" dxfId="109" priority="119">
      <formula>NOT(ISNA(VLOOKUP(C305,GROUP_A,1,FALSE)))</formula>
    </cfRule>
  </conditionalFormatting>
  <conditionalFormatting sqref="F305">
    <cfRule type="expression" dxfId="108" priority="116">
      <formula>NOT(ISNA(VLOOKUP(F305,GROUP_B,1,FALSE)))</formula>
    </cfRule>
    <cfRule type="expression" dxfId="107" priority="117">
      <formula>NOT(ISNA(VLOOKUP(F305,GROUP_A,1,FALSE)))</formula>
    </cfRule>
  </conditionalFormatting>
  <conditionalFormatting sqref="G305">
    <cfRule type="expression" dxfId="106" priority="114">
      <formula>NOT(ISNA(VLOOKUP(G305,GROUP_B,1,FALSE)))</formula>
    </cfRule>
    <cfRule type="expression" dxfId="105" priority="115">
      <formula>NOT(ISNA(VLOOKUP(G305,GROUP_A,1,FALSE)))</formula>
    </cfRule>
  </conditionalFormatting>
  <conditionalFormatting sqref="A309:A381">
    <cfRule type="timePeriod" dxfId="104" priority="111" timePeriod="last7Days">
      <formula>AND(TODAY()-FLOOR(A309,1)&lt;=6,FLOOR(A309,1)&lt;=TODAY())</formula>
    </cfRule>
  </conditionalFormatting>
  <conditionalFormatting sqref="C501:D501 C349:D384 F349:G384 F501:G501">
    <cfRule type="expression" dxfId="103" priority="109">
      <formula>NOT(ISNA(VLOOKUP(C349,GROUP_B,1,FALSE)))</formula>
    </cfRule>
    <cfRule type="expression" dxfId="102" priority="110">
      <formula>NOT(ISNA(VLOOKUP(C349,GROUP_A,1,FALSE)))</formula>
    </cfRule>
  </conditionalFormatting>
  <conditionalFormatting sqref="A382:A388">
    <cfRule type="timePeriod" dxfId="101" priority="108" timePeriod="last7Days">
      <formula>AND(TODAY()-FLOOR(A382,1)&lt;=6,FLOOR(A382,1)&lt;=TODAY())</formula>
    </cfRule>
  </conditionalFormatting>
  <conditionalFormatting sqref="A389:A390">
    <cfRule type="timePeriod" dxfId="100" priority="107" timePeriod="last7Days">
      <formula>AND(TODAY()-FLOOR(A389,1)&lt;=6,FLOOR(A389,1)&lt;=TODAY())</formula>
    </cfRule>
  </conditionalFormatting>
  <conditionalFormatting sqref="M358:M388 M444:M446">
    <cfRule type="duplicateValues" dxfId="99" priority="106"/>
  </conditionalFormatting>
  <conditionalFormatting sqref="F389:G389 C389:D389">
    <cfRule type="expression" dxfId="98" priority="104">
      <formula>NOT(ISNA(VLOOKUP(C389,GROUP_B,1,FALSE)))</formula>
    </cfRule>
    <cfRule type="expression" dxfId="97" priority="105">
      <formula>NOT(ISNA(VLOOKUP(C389,GROUP_A,1,FALSE)))</formula>
    </cfRule>
  </conditionalFormatting>
  <conditionalFormatting sqref="M358:M388">
    <cfRule type="duplicateValues" dxfId="96" priority="103"/>
  </conditionalFormatting>
  <conditionalFormatting sqref="A391:A410">
    <cfRule type="timePeriod" dxfId="95" priority="102" timePeriod="last7Days">
      <formula>AND(TODAY()-FLOOR(A391,1)&lt;=6,FLOOR(A391,1)&lt;=TODAY())</formula>
    </cfRule>
  </conditionalFormatting>
  <conditionalFormatting sqref="A411:A415">
    <cfRule type="timePeriod" dxfId="94" priority="101" timePeriod="last7Days">
      <formula>AND(TODAY()-FLOOR(A411,1)&lt;=6,FLOOR(A411,1)&lt;=TODAY())</formula>
    </cfRule>
  </conditionalFormatting>
  <conditionalFormatting sqref="A416:A424">
    <cfRule type="timePeriod" dxfId="93" priority="100" timePeriod="last7Days">
      <formula>AND(TODAY()-FLOOR(A416,1)&lt;=6,FLOOR(A416,1)&lt;=TODAY())</formula>
    </cfRule>
  </conditionalFormatting>
  <conditionalFormatting sqref="M389:M422">
    <cfRule type="duplicateValues" dxfId="92" priority="99"/>
  </conditionalFormatting>
  <conditionalFormatting sqref="M389:M422">
    <cfRule type="duplicateValues" dxfId="91" priority="98"/>
  </conditionalFormatting>
  <conditionalFormatting sqref="A425:A448">
    <cfRule type="timePeriod" dxfId="90" priority="97" timePeriod="last7Days">
      <formula>AND(TODAY()-FLOOR(A425,1)&lt;=6,FLOOR(A425,1)&lt;=TODAY())</formula>
    </cfRule>
  </conditionalFormatting>
  <conditionalFormatting sqref="M423:M443">
    <cfRule type="duplicateValues" dxfId="89" priority="96"/>
  </conditionalFormatting>
  <conditionalFormatting sqref="M423:M443">
    <cfRule type="duplicateValues" dxfId="88" priority="95"/>
  </conditionalFormatting>
  <conditionalFormatting sqref="M423:M446">
    <cfRule type="duplicateValues" dxfId="87" priority="94"/>
  </conditionalFormatting>
  <conditionalFormatting sqref="A449:A462">
    <cfRule type="timePeriod" dxfId="86" priority="93" timePeriod="last7Days">
      <formula>AND(TODAY()-FLOOR(A449,1)&lt;=6,FLOOR(A449,1)&lt;=TODAY())</formula>
    </cfRule>
  </conditionalFormatting>
  <conditionalFormatting sqref="A463">
    <cfRule type="timePeriod" dxfId="85" priority="92" timePeriod="last7Days">
      <formula>AND(TODAY()-FLOOR(A463,1)&lt;=6,FLOOR(A463,1)&lt;=TODAY())</formula>
    </cfRule>
  </conditionalFormatting>
  <conditionalFormatting sqref="A464:A500">
    <cfRule type="timePeriod" dxfId="84" priority="91" timePeriod="last7Days">
      <formula>AND(TODAY()-FLOOR(A464,1)&lt;=6,FLOOR(A464,1)&lt;=TODAY())</formula>
    </cfRule>
  </conditionalFormatting>
  <conditionalFormatting sqref="A501:A508">
    <cfRule type="timePeriod" dxfId="83" priority="90" timePeriod="last7Days">
      <formula>AND(TODAY()-FLOOR(A501,1)&lt;=6,FLOOR(A501,1)&lt;=TODAY())</formula>
    </cfRule>
  </conditionalFormatting>
  <conditionalFormatting sqref="C502:D505">
    <cfRule type="expression" dxfId="82" priority="88">
      <formula>NOT(ISNA(VLOOKUP(C502,GROUP_B,1,FALSE)))</formula>
    </cfRule>
    <cfRule type="expression" dxfId="81" priority="89">
      <formula>NOT(ISNA(VLOOKUP(C502,GROUP_A,1,FALSE)))</formula>
    </cfRule>
  </conditionalFormatting>
  <conditionalFormatting sqref="F502:G505">
    <cfRule type="expression" dxfId="80" priority="86">
      <formula>NOT(ISNA(VLOOKUP(F502,GROUP_B,1,FALSE)))</formula>
    </cfRule>
    <cfRule type="expression" dxfId="79" priority="87">
      <formula>NOT(ISNA(VLOOKUP(F502,GROUP_A,1,FALSE)))</formula>
    </cfRule>
  </conditionalFormatting>
  <conditionalFormatting sqref="C507:D507 F507:G507">
    <cfRule type="expression" dxfId="78" priority="84">
      <formula>NOT(ISNA(VLOOKUP(C507,GROUP_B,1,FALSE)))</formula>
    </cfRule>
    <cfRule type="expression" dxfId="77" priority="85">
      <formula>NOT(ISNA(VLOOKUP(C507,GROUP_A,1,FALSE)))</formula>
    </cfRule>
  </conditionalFormatting>
  <conditionalFormatting sqref="A509:A528">
    <cfRule type="timePeriod" dxfId="76" priority="83" timePeriod="last7Days">
      <formula>AND(TODAY()-FLOOR(A509,1)&lt;=6,FLOOR(A509,1)&lt;=TODAY())</formula>
    </cfRule>
  </conditionalFormatting>
  <conditionalFormatting sqref="A529:A544">
    <cfRule type="timePeriod" dxfId="75" priority="82" timePeriod="last7Days">
      <formula>AND(TODAY()-FLOOR(A529,1)&lt;=6,FLOOR(A529,1)&lt;=TODAY())</formula>
    </cfRule>
  </conditionalFormatting>
  <conditionalFormatting sqref="C541:D573 F541:G573 F576:G581 C576:D607">
    <cfRule type="expression" dxfId="74" priority="80">
      <formula>NOT(ISNA(VLOOKUP(C541,GROUP_B,1,FALSE)))</formula>
    </cfRule>
    <cfRule type="expression" dxfId="73" priority="81">
      <formula>NOT(ISNA(VLOOKUP(C541,GROUP_A,1,FALSE)))</formula>
    </cfRule>
  </conditionalFormatting>
  <conditionalFormatting sqref="A545:A552">
    <cfRule type="timePeriod" dxfId="72" priority="79" timePeriod="last7Days">
      <formula>AND(TODAY()-FLOOR(A545,1)&lt;=6,FLOOR(A545,1)&lt;=TODAY())</formula>
    </cfRule>
  </conditionalFormatting>
  <conditionalFormatting sqref="A553:A572">
    <cfRule type="timePeriod" dxfId="71" priority="78" timePeriod="last7Days">
      <formula>AND(TODAY()-FLOOR(A553,1)&lt;=6,FLOOR(A553,1)&lt;=TODAY())</formula>
    </cfRule>
  </conditionalFormatting>
  <conditionalFormatting sqref="A573:A582">
    <cfRule type="timePeriod" dxfId="70" priority="77" timePeriod="last7Days">
      <formula>AND(TODAY()-FLOOR(A573,1)&lt;=6,FLOOR(A573,1)&lt;=TODAY())</formula>
    </cfRule>
  </conditionalFormatting>
  <conditionalFormatting sqref="F574:G574 C574:D574">
    <cfRule type="expression" dxfId="69" priority="75">
      <formula>NOT(ISNA(VLOOKUP(C574,GROUP_B,1,FALSE)))</formula>
    </cfRule>
    <cfRule type="expression" dxfId="68" priority="76">
      <formula>NOT(ISNA(VLOOKUP(C574,GROUP_A,1,FALSE)))</formula>
    </cfRule>
  </conditionalFormatting>
  <conditionalFormatting sqref="F575:G575 C575:D575">
    <cfRule type="expression" dxfId="67" priority="73">
      <formula>NOT(ISNA(VLOOKUP(C575,GROUP_B,1,FALSE)))</formula>
    </cfRule>
    <cfRule type="expression" dxfId="66" priority="74">
      <formula>NOT(ISNA(VLOOKUP(C575,GROUP_A,1,FALSE)))</formula>
    </cfRule>
  </conditionalFormatting>
  <conditionalFormatting sqref="F579:G580 C579:D580">
    <cfRule type="expression" dxfId="65" priority="71">
      <formula>NOT(ISNA(VLOOKUP(C579,GROUP_B,1,FALSE)))</formula>
    </cfRule>
    <cfRule type="expression" dxfId="64" priority="72">
      <formula>NOT(ISNA(VLOOKUP(C579,GROUP_A,1,FALSE)))</formula>
    </cfRule>
  </conditionalFormatting>
  <conditionalFormatting sqref="F582:G607">
    <cfRule type="expression" dxfId="63" priority="69">
      <formula>NOT(ISNA(VLOOKUP(F582,GROUP_B,1,FALSE)))</formula>
    </cfRule>
    <cfRule type="expression" dxfId="62" priority="70">
      <formula>NOT(ISNA(VLOOKUP(F582,GROUP_A,1,FALSE)))</formula>
    </cfRule>
  </conditionalFormatting>
  <conditionalFormatting sqref="A611:A636">
    <cfRule type="timePeriod" dxfId="61" priority="64" timePeriod="last7Days">
      <formula>AND(TODAY()-FLOOR(A611,1)&lt;=6,FLOOR(A611,1)&lt;=TODAY())</formula>
    </cfRule>
  </conditionalFormatting>
  <conditionalFormatting sqref="A583:A607">
    <cfRule type="timePeriod" dxfId="60" priority="68" timePeriod="last7Days">
      <formula>AND(TODAY()-FLOOR(A583,1)&lt;=6,FLOOR(A583,1)&lt;=TODAY())</formula>
    </cfRule>
  </conditionalFormatting>
  <conditionalFormatting sqref="A608:A610">
    <cfRule type="timePeriod" dxfId="59" priority="67" timePeriod="last7Days">
      <formula>AND(TODAY()-FLOOR(A608,1)&lt;=6,FLOOR(A608,1)&lt;=TODAY())</formula>
    </cfRule>
  </conditionalFormatting>
  <conditionalFormatting sqref="C638:H646 F608:G627 C608:D637 F628:H637">
    <cfRule type="expression" dxfId="58" priority="65">
      <formula>NOT(ISNA(VLOOKUP(C608,GROUP_B,1,FALSE)))</formula>
    </cfRule>
    <cfRule type="expression" dxfId="57" priority="66">
      <formula>NOT(ISNA(VLOOKUP(C608,GROUP_A,1,FALSE)))</formula>
    </cfRule>
  </conditionalFormatting>
  <conditionalFormatting sqref="A637:A647">
    <cfRule type="timePeriod" dxfId="56" priority="63" timePeriod="last7Days">
      <formula>AND(TODAY()-FLOOR(A637,1)&lt;=6,FLOOR(A637,1)&lt;=TODAY())</formula>
    </cfRule>
  </conditionalFormatting>
  <conditionalFormatting sqref="C647:H658">
    <cfRule type="expression" dxfId="55" priority="61">
      <formula>NOT(ISNA(VLOOKUP(C647,GROUP_B,1,FALSE)))</formula>
    </cfRule>
    <cfRule type="expression" dxfId="54" priority="62">
      <formula>NOT(ISNA(VLOOKUP(C647,GROUP_A,1,FALSE)))</formula>
    </cfRule>
  </conditionalFormatting>
  <conditionalFormatting sqref="C647:H658">
    <cfRule type="expression" dxfId="53" priority="59">
      <formula>NOT(ISNA(VLOOKUP(C647,GROUP_B,1,FALSE)))</formula>
    </cfRule>
    <cfRule type="expression" dxfId="52" priority="60">
      <formula>NOT(ISNA(VLOOKUP(C647,GROUP_A,1,FALSE)))</formula>
    </cfRule>
  </conditionalFormatting>
  <conditionalFormatting sqref="A648:A659">
    <cfRule type="timePeriod" dxfId="51" priority="58" timePeriod="last7Days">
      <formula>AND(TODAY()-FLOOR(A648,1)&lt;=6,FLOOR(A648,1)&lt;=TODAY())</formula>
    </cfRule>
  </conditionalFormatting>
  <conditionalFormatting sqref="M551:M552 M564:M567 M558:M561 M570:M573 M575:M579 M554:M556 M609:M634">
    <cfRule type="duplicateValues" dxfId="50" priority="173"/>
  </conditionalFormatting>
  <conditionalFormatting sqref="M609:M634">
    <cfRule type="duplicateValues" dxfId="49" priority="174"/>
    <cfRule type="duplicateValues" dxfId="48" priority="175"/>
    <cfRule type="duplicateValues" dxfId="47" priority="176"/>
  </conditionalFormatting>
  <conditionalFormatting sqref="M635:M659">
    <cfRule type="duplicateValues" dxfId="46" priority="57"/>
  </conditionalFormatting>
  <conditionalFormatting sqref="C659:H659">
    <cfRule type="expression" dxfId="45" priority="55">
      <formula>NOT(ISNA(VLOOKUP(C659,GROUP_B,1,FALSE)))</formula>
    </cfRule>
    <cfRule type="expression" dxfId="44" priority="56">
      <formula>NOT(ISNA(VLOOKUP(C659,GROUP_A,1,FALSE)))</formula>
    </cfRule>
  </conditionalFormatting>
  <conditionalFormatting sqref="C659:H659">
    <cfRule type="expression" dxfId="43" priority="53">
      <formula>NOT(ISNA(VLOOKUP(C659,GROUP_B,1,FALSE)))</formula>
    </cfRule>
    <cfRule type="expression" dxfId="42" priority="54">
      <formula>NOT(ISNA(VLOOKUP(C659,GROUP_A,1,FALSE)))</formula>
    </cfRule>
  </conditionalFormatting>
  <conditionalFormatting sqref="A660">
    <cfRule type="timePeriod" dxfId="41" priority="52" timePeriod="last7Days">
      <formula>AND(TODAY()-FLOOR(A660,1)&lt;=6,FLOOR(A660,1)&lt;=TODAY())</formula>
    </cfRule>
  </conditionalFormatting>
  <conditionalFormatting sqref="R5:R25">
    <cfRule type="duplicateValues" dxfId="40" priority="50"/>
  </conditionalFormatting>
  <conditionalFormatting sqref="M26:M56">
    <cfRule type="duplicateValues" dxfId="39" priority="46"/>
  </conditionalFormatting>
  <conditionalFormatting sqref="R26:R56">
    <cfRule type="duplicateValues" dxfId="38" priority="45"/>
  </conditionalFormatting>
  <conditionalFormatting sqref="A61:A83">
    <cfRule type="timePeriod" dxfId="37" priority="44" timePeriod="last7Days">
      <formula>AND(TODAY()-FLOOR(A61,1)&lt;=6,FLOOR(A61,1)&lt;=TODAY())</formula>
    </cfRule>
  </conditionalFormatting>
  <conditionalFormatting sqref="A85:A104">
    <cfRule type="timePeriod" dxfId="36" priority="41" timePeriod="last7Days">
      <formula>AND(TODAY()-FLOOR(A85,1)&lt;=6,FLOOR(A85,1)&lt;=TODAY())</formula>
    </cfRule>
  </conditionalFormatting>
  <conditionalFormatting sqref="A107">
    <cfRule type="timePeriod" dxfId="35" priority="40" timePeriod="last7Days">
      <formula>AND(TODAY()-FLOOR(A107,1)&lt;=6,FLOOR(A107,1)&lt;=TODAY())</formula>
    </cfRule>
  </conditionalFormatting>
  <conditionalFormatting sqref="R79:R110">
    <cfRule type="duplicateValues" dxfId="34" priority="37"/>
  </conditionalFormatting>
  <conditionalFormatting sqref="A148:A149">
    <cfRule type="timePeriod" dxfId="33" priority="35" timePeriod="last7Days">
      <formula>AND(TODAY()-FLOOR(A148,1)&lt;=6,FLOOR(A148,1)&lt;=TODAY())</formula>
    </cfRule>
  </conditionalFormatting>
  <conditionalFormatting sqref="A174">
    <cfRule type="timePeriod" dxfId="32" priority="34" timePeriod="last7Days">
      <formula>AND(TODAY()-FLOOR(A174,1)&lt;=6,FLOOR(A174,1)&lt;=TODAY())</formula>
    </cfRule>
  </conditionalFormatting>
  <conditionalFormatting sqref="A175">
    <cfRule type="timePeriod" dxfId="31" priority="33" timePeriod="last7Days">
      <formula>AND(TODAY()-FLOOR(A175,1)&lt;=6,FLOOR(A175,1)&lt;=TODAY())</formula>
    </cfRule>
  </conditionalFormatting>
  <conditionalFormatting sqref="A206:A207">
    <cfRule type="timePeriod" dxfId="30" priority="30" timePeriod="last7Days">
      <formula>AND(TODAY()-FLOOR(A206,1)&lt;=6,FLOOR(A206,1)&lt;=TODAY())</formula>
    </cfRule>
  </conditionalFormatting>
  <conditionalFormatting sqref="A222:A228">
    <cfRule type="timePeriod" dxfId="29" priority="28" timePeriod="last7Days">
      <formula>AND(TODAY()-FLOOR(A222,1)&lt;=6,FLOOR(A222,1)&lt;=TODAY())</formula>
    </cfRule>
  </conditionalFormatting>
  <conditionalFormatting sqref="A229">
    <cfRule type="timePeriod" dxfId="28" priority="27" timePeriod="last7Days">
      <formula>AND(TODAY()-FLOOR(A229,1)&lt;=6,FLOOR(A229,1)&lt;=TODAY())</formula>
    </cfRule>
  </conditionalFormatting>
  <conditionalFormatting sqref="A230:A239">
    <cfRule type="timePeriod" dxfId="27" priority="26" timePeriod="last7Days">
      <formula>AND(TODAY()-FLOOR(A230,1)&lt;=6,FLOOR(A230,1)&lt;=TODAY())</formula>
    </cfRule>
  </conditionalFormatting>
  <conditionalFormatting sqref="A258:A260">
    <cfRule type="timePeriod" dxfId="26" priority="24" timePeriod="last7Days">
      <formula>AND(TODAY()-FLOOR(A258,1)&lt;=6,FLOOR(A258,1)&lt;=TODAY())</formula>
    </cfRule>
  </conditionalFormatting>
  <conditionalFormatting sqref="A261">
    <cfRule type="timePeriod" dxfId="25" priority="23" timePeriod="last7Days">
      <formula>AND(TODAY()-FLOOR(A261,1)&lt;=6,FLOOR(A261,1)&lt;=TODAY())</formula>
    </cfRule>
  </conditionalFormatting>
  <conditionalFormatting sqref="A262">
    <cfRule type="timePeriod" dxfId="24" priority="22" timePeriod="last7Days">
      <formula>AND(TODAY()-FLOOR(A262,1)&lt;=6,FLOOR(A262,1)&lt;=TODAY())</formula>
    </cfRule>
  </conditionalFormatting>
  <conditionalFormatting sqref="A283:A291">
    <cfRule type="timePeriod" dxfId="23" priority="21" timePeriod="last7Days">
      <formula>AND(TODAY()-FLOOR(A283,1)&lt;=6,FLOOR(A283,1)&lt;=TODAY())</formula>
    </cfRule>
  </conditionalFormatting>
  <conditionalFormatting sqref="A292">
    <cfRule type="timePeriod" dxfId="22" priority="20" timePeriod="last7Days">
      <formula>AND(TODAY()-FLOOR(A292,1)&lt;=6,FLOOR(A292,1)&lt;=TODAY())</formula>
    </cfRule>
  </conditionalFormatting>
  <conditionalFormatting sqref="A293:A297">
    <cfRule type="timePeriod" dxfId="21" priority="19" timePeriod="last7Days">
      <formula>AND(TODAY()-FLOOR(A293,1)&lt;=6,FLOOR(A293,1)&lt;=TODAY())</formula>
    </cfRule>
  </conditionalFormatting>
  <conditionalFormatting sqref="A298:A308">
    <cfRule type="timePeriod" dxfId="20" priority="18" timePeriod="last7Days">
      <formula>AND(TODAY()-FLOOR(A298,1)&lt;=6,FLOOR(A298,1)&lt;=TODAY())</formula>
    </cfRule>
  </conditionalFormatting>
  <conditionalFormatting sqref="A25:A27">
    <cfRule type="timePeriod" dxfId="19" priority="17" timePeriod="last7Days">
      <formula>AND(TODAY()-FLOOR(A25,1)&lt;=6,FLOOR(A25,1)&lt;=TODAY())</formula>
    </cfRule>
  </conditionalFormatting>
  <conditionalFormatting sqref="A28:A60">
    <cfRule type="timePeriod" dxfId="18" priority="15" timePeriod="last7Days">
      <formula>AND(TODAY()-FLOOR(A28,1)&lt;=6,FLOOR(A28,1)&lt;=TODAY())</formula>
    </cfRule>
  </conditionalFormatting>
  <conditionalFormatting sqref="M27:M47">
    <cfRule type="duplicateValues" dxfId="17" priority="14"/>
  </conditionalFormatting>
  <conditionalFormatting sqref="A84">
    <cfRule type="timePeriod" dxfId="16" priority="13" timePeriod="last7Days">
      <formula>AND(TODAY()-FLOOR(A84,1)&lt;=6,FLOOR(A84,1)&lt;=TODAY())</formula>
    </cfRule>
  </conditionalFormatting>
  <conditionalFormatting sqref="A105:A106">
    <cfRule type="timePeriod" dxfId="15" priority="12" timePeriod="last7Days">
      <formula>AND(TODAY()-FLOOR(A105,1)&lt;=6,FLOOR(A105,1)&lt;=TODAY())</formula>
    </cfRule>
  </conditionalFormatting>
  <conditionalFormatting sqref="A108:A124">
    <cfRule type="timePeriod" dxfId="14" priority="11" timePeriod="last7Days">
      <formula>AND(TODAY()-FLOOR(A108,1)&lt;=6,FLOOR(A108,1)&lt;=TODAY())</formula>
    </cfRule>
  </conditionalFormatting>
  <conditionalFormatting sqref="A125:A147">
    <cfRule type="timePeriod" dxfId="13" priority="10" timePeriod="last7Days">
      <formula>AND(TODAY()-FLOOR(A125,1)&lt;=6,FLOOR(A125,1)&lt;=TODAY())</formula>
    </cfRule>
  </conditionalFormatting>
  <conditionalFormatting sqref="M124:M147">
    <cfRule type="duplicateValues" dxfId="12" priority="9"/>
  </conditionalFormatting>
  <conditionalFormatting sqref="A150:A170">
    <cfRule type="timePeriod" dxfId="11" priority="8" timePeriod="last7Days">
      <formula>AND(TODAY()-FLOOR(A150,1)&lt;=6,FLOOR(A150,1)&lt;=TODAY())</formula>
    </cfRule>
  </conditionalFormatting>
  <conditionalFormatting sqref="A171:A173">
    <cfRule type="timePeriod" dxfId="10" priority="7" timePeriod="last7Days">
      <formula>AND(TODAY()-FLOOR(A171,1)&lt;=6,FLOOR(A171,1)&lt;=TODAY())</formula>
    </cfRule>
  </conditionalFormatting>
  <conditionalFormatting sqref="M148:M173">
    <cfRule type="duplicateValues" dxfId="9" priority="6"/>
  </conditionalFormatting>
  <conditionalFormatting sqref="A176:A192">
    <cfRule type="timePeriod" dxfId="8" priority="5" timePeriod="last7Days">
      <formula>AND(TODAY()-FLOOR(A176,1)&lt;=6,FLOOR(A176,1)&lt;=TODAY())</formula>
    </cfRule>
  </conditionalFormatting>
  <conditionalFormatting sqref="A193:A205">
    <cfRule type="timePeriod" dxfId="7" priority="4" timePeriod="last7Days">
      <formula>AND(TODAY()-FLOOR(A193,1)&lt;=6,FLOOR(A193,1)&lt;=TODAY())</formula>
    </cfRule>
  </conditionalFormatting>
  <conditionalFormatting sqref="A208:A221">
    <cfRule type="timePeriod" dxfId="6" priority="3" timePeriod="last7Days">
      <formula>AND(TODAY()-FLOOR(A208,1)&lt;=6,FLOOR(A208,1)&lt;=TODAY())</formula>
    </cfRule>
  </conditionalFormatting>
  <conditionalFormatting sqref="C1">
    <cfRule type="timePeriod" dxfId="5" priority="2" timePeriod="last7Days">
      <formula>AND(TODAY()-FLOOR(C1,1)&lt;=6,FLOOR(C1,1)&lt;=TODAY())</formula>
    </cfRule>
  </conditionalFormatting>
  <conditionalFormatting sqref="G1">
    <cfRule type="timePeriod" dxfId="4" priority="1" timePeriod="last7Days">
      <formula>AND(TODAY()-FLOOR(G1,1)&lt;=6,FLOOR(G1,1)&lt;=TODAY())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S39"/>
  <sheetViews>
    <sheetView workbookViewId="0">
      <selection activeCell="C4" sqref="C4"/>
    </sheetView>
  </sheetViews>
  <sheetFormatPr defaultRowHeight="12.75" x14ac:dyDescent="0.2"/>
  <cols>
    <col min="1" max="1" width="5.85546875" bestFit="1" customWidth="1"/>
    <col min="2" max="2" width="13" customWidth="1"/>
    <col min="3" max="3" width="9.5703125" bestFit="1" customWidth="1"/>
    <col min="4" max="4" width="10.5703125" customWidth="1"/>
    <col min="5" max="5" width="11.5703125" bestFit="1" customWidth="1"/>
    <col min="6" max="6" width="11.140625" hidden="1" customWidth="1"/>
    <col min="7" max="7" width="20" hidden="1" customWidth="1"/>
    <col min="8" max="8" width="10.28515625" customWidth="1"/>
    <col min="9" max="9" width="22" bestFit="1" customWidth="1"/>
    <col min="13" max="13" width="43.85546875" bestFit="1" customWidth="1"/>
    <col min="14" max="14" width="20.140625" bestFit="1" customWidth="1"/>
    <col min="15" max="15" width="13.7109375" bestFit="1" customWidth="1"/>
    <col min="16" max="16" width="6.7109375" bestFit="1" customWidth="1"/>
    <col min="17" max="17" width="9.5703125" bestFit="1" customWidth="1"/>
    <col min="18" max="18" width="13.5703125" bestFit="1" customWidth="1"/>
    <col min="19" max="19" width="12.42578125" bestFit="1" customWidth="1"/>
  </cols>
  <sheetData>
    <row r="2" spans="1:9" x14ac:dyDescent="0.2">
      <c r="B2" s="44"/>
      <c r="C2" s="132" t="s">
        <v>100</v>
      </c>
      <c r="D2" s="132"/>
      <c r="E2" s="131" t="s">
        <v>105</v>
      </c>
      <c r="F2" s="131" t="s">
        <v>106</v>
      </c>
      <c r="G2" s="132" t="s">
        <v>103</v>
      </c>
      <c r="H2" s="131" t="s">
        <v>107</v>
      </c>
      <c r="I2" s="132" t="s">
        <v>103</v>
      </c>
    </row>
    <row r="3" spans="1:9" ht="25.5" customHeight="1" x14ac:dyDescent="0.2">
      <c r="A3" s="55" t="s">
        <v>122</v>
      </c>
      <c r="B3" s="44" t="s">
        <v>22</v>
      </c>
      <c r="C3" s="44" t="s">
        <v>101</v>
      </c>
      <c r="D3" s="44" t="s">
        <v>102</v>
      </c>
      <c r="E3" s="131"/>
      <c r="F3" s="131"/>
      <c r="G3" s="132"/>
      <c r="H3" s="131"/>
      <c r="I3" s="132"/>
    </row>
    <row r="4" spans="1:9" x14ac:dyDescent="0.2">
      <c r="A4" s="5">
        <v>1</v>
      </c>
      <c r="B4" s="42">
        <v>46271</v>
      </c>
      <c r="C4" s="5"/>
      <c r="D4" s="5"/>
      <c r="E4" s="5"/>
      <c r="F4" s="42"/>
      <c r="G4" s="42"/>
      <c r="H4" s="5"/>
      <c r="I4" s="42"/>
    </row>
    <row r="5" spans="1:9" x14ac:dyDescent="0.2">
      <c r="A5" s="5">
        <v>2</v>
      </c>
      <c r="B5" s="42">
        <f>B4+7</f>
        <v>46278</v>
      </c>
      <c r="C5" s="5"/>
      <c r="D5" s="5"/>
      <c r="E5" s="5"/>
      <c r="F5" s="5"/>
      <c r="G5" s="5"/>
      <c r="H5" s="5"/>
      <c r="I5" s="42"/>
    </row>
    <row r="6" spans="1:9" x14ac:dyDescent="0.2">
      <c r="A6" s="5">
        <v>3</v>
      </c>
      <c r="B6" s="42">
        <f t="shared" ref="B6:B15" si="0">B5+7</f>
        <v>46285</v>
      </c>
      <c r="C6" s="5"/>
      <c r="D6" s="5"/>
      <c r="E6" s="5"/>
      <c r="F6" s="5"/>
      <c r="G6" s="5"/>
      <c r="H6" s="5"/>
      <c r="I6" s="42"/>
    </row>
    <row r="7" spans="1:9" ht="12.75" customHeight="1" x14ac:dyDescent="0.2">
      <c r="A7" s="5">
        <v>4</v>
      </c>
      <c r="B7" s="42">
        <f t="shared" si="0"/>
        <v>46292</v>
      </c>
      <c r="C7" s="5"/>
      <c r="D7" s="5"/>
      <c r="E7" s="5"/>
      <c r="F7" s="5"/>
      <c r="G7" s="5"/>
      <c r="H7" s="5"/>
      <c r="I7" s="5"/>
    </row>
    <row r="8" spans="1:9" ht="12.75" customHeight="1" x14ac:dyDescent="0.2">
      <c r="A8" s="5">
        <v>5</v>
      </c>
      <c r="B8" s="42">
        <f t="shared" si="0"/>
        <v>46299</v>
      </c>
      <c r="C8" s="5"/>
      <c r="D8" s="5"/>
      <c r="E8" s="5"/>
      <c r="F8" s="5"/>
      <c r="G8" s="5"/>
      <c r="H8" s="5"/>
      <c r="I8" s="5"/>
    </row>
    <row r="9" spans="1:9" ht="12.75" customHeight="1" x14ac:dyDescent="0.2">
      <c r="A9" s="5"/>
      <c r="B9" s="42">
        <f t="shared" si="0"/>
        <v>46306</v>
      </c>
      <c r="C9" s="125" t="s">
        <v>146</v>
      </c>
      <c r="D9" s="126"/>
      <c r="E9" s="126"/>
      <c r="F9" s="126"/>
      <c r="G9" s="126"/>
      <c r="H9" s="126"/>
      <c r="I9" s="127"/>
    </row>
    <row r="10" spans="1:9" ht="12.75" customHeight="1" x14ac:dyDescent="0.2">
      <c r="A10" s="5"/>
      <c r="B10" s="42">
        <f t="shared" si="0"/>
        <v>46313</v>
      </c>
      <c r="C10" s="128"/>
      <c r="D10" s="129"/>
      <c r="E10" s="129"/>
      <c r="F10" s="129"/>
      <c r="G10" s="129"/>
      <c r="H10" s="129"/>
      <c r="I10" s="130"/>
    </row>
    <row r="11" spans="1:9" ht="12.75" customHeight="1" x14ac:dyDescent="0.2">
      <c r="A11" s="5">
        <v>6</v>
      </c>
      <c r="B11" s="42">
        <f t="shared" si="0"/>
        <v>46320</v>
      </c>
      <c r="C11" s="5"/>
      <c r="D11" s="5"/>
      <c r="E11" s="5"/>
      <c r="F11" s="5"/>
      <c r="G11" s="5"/>
      <c r="H11" s="5"/>
      <c r="I11" s="5"/>
    </row>
    <row r="12" spans="1:9" ht="12.75" customHeight="1" x14ac:dyDescent="0.2">
      <c r="A12" s="5">
        <v>7</v>
      </c>
      <c r="B12" s="42">
        <f t="shared" si="0"/>
        <v>46327</v>
      </c>
      <c r="C12" s="5"/>
      <c r="D12" s="5"/>
      <c r="E12" s="5"/>
      <c r="F12" s="5"/>
      <c r="G12" s="5"/>
      <c r="H12" s="5"/>
      <c r="I12" s="5"/>
    </row>
    <row r="13" spans="1:9" ht="12.75" customHeight="1" x14ac:dyDescent="0.2">
      <c r="A13" s="5">
        <v>8</v>
      </c>
      <c r="B13" s="42">
        <f t="shared" si="0"/>
        <v>46334</v>
      </c>
      <c r="C13" s="5"/>
      <c r="D13" s="5"/>
      <c r="E13" s="5"/>
      <c r="F13" s="5"/>
      <c r="G13" s="5"/>
      <c r="H13" s="5"/>
      <c r="I13" s="5"/>
    </row>
    <row r="14" spans="1:9" ht="12.75" customHeight="1" x14ac:dyDescent="0.2">
      <c r="A14" s="5">
        <v>9</v>
      </c>
      <c r="B14" s="42">
        <f t="shared" si="0"/>
        <v>46341</v>
      </c>
      <c r="C14" s="5"/>
      <c r="D14" s="5"/>
      <c r="E14" s="5"/>
      <c r="F14" s="5"/>
      <c r="G14" s="5"/>
      <c r="H14" s="5"/>
      <c r="I14" s="5"/>
    </row>
    <row r="15" spans="1:9" ht="12.75" customHeight="1" x14ac:dyDescent="0.2">
      <c r="A15" s="5">
        <v>10</v>
      </c>
      <c r="B15" s="42">
        <f t="shared" si="0"/>
        <v>46348</v>
      </c>
      <c r="C15" s="5"/>
      <c r="D15" s="5"/>
      <c r="E15" s="5"/>
      <c r="F15" s="5"/>
      <c r="G15" s="5"/>
      <c r="H15" s="5"/>
      <c r="I15" s="5"/>
    </row>
    <row r="16" spans="1:9" ht="12.75" customHeight="1" x14ac:dyDescent="0.2">
      <c r="A16" s="106"/>
      <c r="B16" s="107"/>
      <c r="C16" s="106"/>
      <c r="D16" s="106"/>
      <c r="E16" s="106"/>
      <c r="F16" s="106"/>
      <c r="G16" s="106"/>
      <c r="H16" s="106"/>
      <c r="I16" s="106"/>
    </row>
    <row r="17" spans="2:19" ht="12.75" customHeight="1" x14ac:dyDescent="0.2"/>
    <row r="18" spans="2:19" ht="12.75" customHeight="1" x14ac:dyDescent="0.2">
      <c r="B18" s="44" t="s">
        <v>104</v>
      </c>
      <c r="C18" s="47" t="str">
        <f>IFERROR(AVERAGEIF(C4:C14,"&gt;0"),"NA")</f>
        <v>NA</v>
      </c>
      <c r="D18" s="47" t="str">
        <f>IFERROR(AVERAGEIF(D4:D14,"&gt;0"),"NA")</f>
        <v>NA</v>
      </c>
      <c r="E18" s="47" t="str">
        <f>IFERROR(AVERAGEIF(E4:E14,"&gt;0"),"NA")</f>
        <v>NA</v>
      </c>
      <c r="F18" s="47" t="e">
        <f>AVERAGEIF(F4:F14,"&gt;0")</f>
        <v>#DIV/0!</v>
      </c>
      <c r="G18" s="5"/>
      <c r="H18" s="47" t="str">
        <f>IFERROR(AVERAGEIF(H4:H14,"&gt;0"),"NA")</f>
        <v>NA</v>
      </c>
      <c r="I18" s="5"/>
    </row>
    <row r="20" spans="2:19" x14ac:dyDescent="0.2">
      <c r="M20" s="43"/>
      <c r="N20" s="43"/>
      <c r="O20" s="43"/>
      <c r="P20" s="43"/>
      <c r="Q20" s="43"/>
      <c r="R20" s="43"/>
      <c r="S20" s="43"/>
    </row>
    <row r="34" spans="13:14" x14ac:dyDescent="0.2">
      <c r="M34" s="43"/>
      <c r="N34" s="43"/>
    </row>
    <row r="35" spans="13:14" x14ac:dyDescent="0.2">
      <c r="M35" s="43"/>
      <c r="N35" s="4"/>
    </row>
    <row r="36" spans="13:14" x14ac:dyDescent="0.2">
      <c r="N36" s="4"/>
    </row>
    <row r="37" spans="13:14" x14ac:dyDescent="0.2">
      <c r="N37" s="4"/>
    </row>
    <row r="38" spans="13:14" x14ac:dyDescent="0.2">
      <c r="N38" s="4"/>
    </row>
    <row r="39" spans="13:14" x14ac:dyDescent="0.2">
      <c r="N39" s="4"/>
    </row>
  </sheetData>
  <mergeCells count="7">
    <mergeCell ref="C9:I10"/>
    <mergeCell ref="H2:H3"/>
    <mergeCell ref="I2:I3"/>
    <mergeCell ref="C2:D2"/>
    <mergeCell ref="E2:E3"/>
    <mergeCell ref="F2:F3"/>
    <mergeCell ref="G2:G3"/>
  </mergeCells>
  <conditionalFormatting sqref="N45">
    <cfRule type="duplicateValues" dxfId="3" priority="9"/>
  </conditionalFormatting>
  <conditionalFormatting sqref="N45">
    <cfRule type="duplicateValues" dxfId="2" priority="8"/>
  </conditionalFormatting>
  <conditionalFormatting sqref="N46">
    <cfRule type="duplicateValues" dxfId="1" priority="7"/>
  </conditionalFormatting>
  <conditionalFormatting sqref="N46">
    <cfRule type="duplicateValues" dxfId="0" priority="6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C37"/>
  <sheetViews>
    <sheetView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Z29" sqref="AZ29"/>
    </sheetView>
  </sheetViews>
  <sheetFormatPr defaultRowHeight="12.75" x14ac:dyDescent="0.2"/>
  <cols>
    <col min="1" max="1" width="3" bestFit="1" customWidth="1"/>
    <col min="2" max="2" width="11.5703125" bestFit="1" customWidth="1"/>
    <col min="3" max="3" width="2.42578125" customWidth="1"/>
    <col min="4" max="4" width="2.85546875" customWidth="1"/>
    <col min="5" max="6" width="2.5703125" customWidth="1"/>
    <col min="7" max="7" width="2.140625" customWidth="1"/>
    <col min="8" max="9" width="2.7109375" customWidth="1"/>
    <col min="10" max="10" width="2.5703125" customWidth="1"/>
    <col min="11" max="11" width="2.140625" customWidth="1"/>
    <col min="12" max="12" width="2.7109375" customWidth="1"/>
    <col min="13" max="14" width="2.5703125" customWidth="1"/>
    <col min="15" max="15" width="2.7109375" customWidth="1"/>
    <col min="16" max="16" width="2.5703125" customWidth="1"/>
    <col min="17" max="17" width="2.7109375" customWidth="1"/>
    <col min="18" max="18" width="3.140625" customWidth="1"/>
    <col min="19" max="19" width="2.5703125" customWidth="1"/>
    <col min="20" max="20" width="2.7109375" customWidth="1"/>
    <col min="21" max="21" width="2.85546875" customWidth="1"/>
    <col min="22" max="22" width="3" customWidth="1"/>
    <col min="23" max="23" width="2.5703125" customWidth="1"/>
    <col min="24" max="24" width="2.42578125" customWidth="1"/>
    <col min="25" max="25" width="2.5703125" hidden="1" customWidth="1"/>
    <col min="26" max="29" width="2.7109375" hidden="1" customWidth="1"/>
    <col min="30" max="30" width="2.42578125" hidden="1" customWidth="1"/>
    <col min="31" max="32" width="2.5703125" hidden="1" customWidth="1"/>
    <col min="33" max="33" width="3" hidden="1" customWidth="1"/>
    <col min="34" max="35" width="2.42578125" hidden="1" customWidth="1"/>
    <col min="36" max="38" width="2.7109375" hidden="1" customWidth="1"/>
    <col min="39" max="39" width="2.5703125" hidden="1" customWidth="1"/>
    <col min="40" max="40" width="2.85546875" hidden="1" customWidth="1"/>
    <col min="41" max="41" width="2.28515625" hidden="1" customWidth="1"/>
    <col min="42" max="42" width="2.85546875" hidden="1" customWidth="1"/>
    <col min="43" max="44" width="2.5703125" hidden="1" customWidth="1"/>
    <col min="45" max="45" width="2.42578125" hidden="1" customWidth="1"/>
    <col min="46" max="46" width="2.85546875" hidden="1" customWidth="1"/>
    <col min="47" max="47" width="2.5703125" hidden="1" customWidth="1"/>
    <col min="48" max="49" width="2.7109375" hidden="1" customWidth="1"/>
    <col min="50" max="50" width="3.140625" hidden="1" customWidth="1"/>
    <col min="53" max="53" width="10.42578125" bestFit="1" customWidth="1"/>
    <col min="54" max="54" width="15.5703125" bestFit="1" customWidth="1"/>
    <col min="55" max="55" width="13.42578125" bestFit="1" customWidth="1"/>
  </cols>
  <sheetData>
    <row r="1" spans="1:55" x14ac:dyDescent="0.2">
      <c r="B1" s="45" t="s">
        <v>22</v>
      </c>
      <c r="C1" s="133">
        <v>45396</v>
      </c>
      <c r="D1" s="133"/>
      <c r="E1" s="133">
        <f>C1+7</f>
        <v>45403</v>
      </c>
      <c r="F1" s="133"/>
      <c r="G1" s="133">
        <f>E1+7</f>
        <v>45410</v>
      </c>
      <c r="H1" s="133"/>
      <c r="I1" s="133">
        <f>G1+7</f>
        <v>45417</v>
      </c>
      <c r="J1" s="133"/>
      <c r="K1" s="133">
        <f>I1+7</f>
        <v>45424</v>
      </c>
      <c r="L1" s="133"/>
      <c r="M1" s="133">
        <f>K1+7</f>
        <v>45431</v>
      </c>
      <c r="N1" s="133"/>
      <c r="O1" s="133">
        <f>M1+7</f>
        <v>45438</v>
      </c>
      <c r="P1" s="133"/>
      <c r="Q1" s="133">
        <f>O1+7</f>
        <v>45445</v>
      </c>
      <c r="R1" s="133"/>
      <c r="S1" s="133">
        <f>Q1+7</f>
        <v>45452</v>
      </c>
      <c r="T1" s="133"/>
      <c r="U1" s="133">
        <f>S1+7</f>
        <v>45459</v>
      </c>
      <c r="V1" s="133"/>
      <c r="W1" s="133">
        <f>U1+7</f>
        <v>45466</v>
      </c>
      <c r="X1" s="133"/>
      <c r="Y1" s="133">
        <f>W1+7</f>
        <v>45473</v>
      </c>
      <c r="Z1" s="133"/>
      <c r="AA1" s="133">
        <f>Y1+7</f>
        <v>45480</v>
      </c>
      <c r="AB1" s="133"/>
      <c r="AC1" s="133">
        <f>AA1+7</f>
        <v>45487</v>
      </c>
      <c r="AD1" s="133"/>
      <c r="AE1" s="133">
        <f>AC1+7</f>
        <v>45494</v>
      </c>
      <c r="AF1" s="133"/>
      <c r="AG1" s="133">
        <f>AE1+7</f>
        <v>45501</v>
      </c>
      <c r="AH1" s="133"/>
      <c r="AI1" s="133">
        <f>AG1+14</f>
        <v>45515</v>
      </c>
      <c r="AJ1" s="133"/>
      <c r="AK1" s="133">
        <f>AI1+7</f>
        <v>45522</v>
      </c>
      <c r="AL1" s="133"/>
      <c r="AM1" s="133">
        <f>AK1+6</f>
        <v>45528</v>
      </c>
      <c r="AN1" s="133"/>
      <c r="AO1" s="133">
        <f>AM1+8</f>
        <v>45536</v>
      </c>
      <c r="AP1" s="133"/>
      <c r="AQ1" s="133">
        <f>AO1+7</f>
        <v>45543</v>
      </c>
      <c r="AR1" s="133"/>
      <c r="AS1" s="133">
        <f>AQ1+7</f>
        <v>45550</v>
      </c>
      <c r="AT1" s="133"/>
      <c r="AU1" s="133">
        <f>AS1+7</f>
        <v>45557</v>
      </c>
      <c r="AV1" s="133"/>
      <c r="AW1" s="133">
        <f>AU1+7</f>
        <v>45564</v>
      </c>
      <c r="AX1" s="133"/>
    </row>
    <row r="2" spans="1:55" x14ac:dyDescent="0.2">
      <c r="B2" s="43" t="s">
        <v>103</v>
      </c>
      <c r="C2" s="49" t="s">
        <v>118</v>
      </c>
      <c r="D2" s="49" t="s">
        <v>119</v>
      </c>
      <c r="E2" s="49" t="s">
        <v>118</v>
      </c>
      <c r="F2" s="49" t="s">
        <v>119</v>
      </c>
      <c r="G2" s="49" t="s">
        <v>118</v>
      </c>
      <c r="H2" s="49" t="s">
        <v>119</v>
      </c>
      <c r="I2" s="49" t="s">
        <v>118</v>
      </c>
      <c r="J2" s="49" t="s">
        <v>119</v>
      </c>
      <c r="K2" s="49" t="s">
        <v>118</v>
      </c>
      <c r="L2" s="49" t="s">
        <v>119</v>
      </c>
      <c r="M2" s="49" t="s">
        <v>118</v>
      </c>
      <c r="N2" s="49" t="s">
        <v>119</v>
      </c>
      <c r="O2" s="49" t="s">
        <v>118</v>
      </c>
      <c r="P2" s="49" t="s">
        <v>119</v>
      </c>
      <c r="Q2" s="49" t="s">
        <v>118</v>
      </c>
      <c r="R2" s="49" t="s">
        <v>119</v>
      </c>
      <c r="S2" s="49" t="s">
        <v>118</v>
      </c>
      <c r="T2" s="49" t="s">
        <v>119</v>
      </c>
      <c r="U2" s="49" t="s">
        <v>118</v>
      </c>
      <c r="V2" s="49" t="s">
        <v>119</v>
      </c>
      <c r="W2" s="49" t="s">
        <v>118</v>
      </c>
      <c r="X2" s="49" t="s">
        <v>119</v>
      </c>
      <c r="Y2" s="49" t="s">
        <v>118</v>
      </c>
      <c r="Z2" s="49" t="s">
        <v>119</v>
      </c>
      <c r="AA2" s="49" t="s">
        <v>118</v>
      </c>
      <c r="AB2" s="49" t="s">
        <v>119</v>
      </c>
      <c r="AC2" s="49" t="s">
        <v>118</v>
      </c>
      <c r="AD2" s="49" t="s">
        <v>119</v>
      </c>
      <c r="AE2" s="49" t="s">
        <v>118</v>
      </c>
      <c r="AF2" s="49" t="s">
        <v>119</v>
      </c>
      <c r="AG2" s="49" t="s">
        <v>118</v>
      </c>
      <c r="AH2" s="49" t="s">
        <v>119</v>
      </c>
      <c r="AI2" s="49" t="s">
        <v>118</v>
      </c>
      <c r="AJ2" s="49" t="s">
        <v>119</v>
      </c>
      <c r="AK2" s="49" t="s">
        <v>118</v>
      </c>
      <c r="AL2" s="49" t="s">
        <v>119</v>
      </c>
      <c r="AM2" s="49" t="s">
        <v>118</v>
      </c>
      <c r="AN2" s="49" t="s">
        <v>119</v>
      </c>
      <c r="AO2" s="49" t="s">
        <v>118</v>
      </c>
      <c r="AP2" s="49" t="s">
        <v>119</v>
      </c>
      <c r="AQ2" s="46" t="s">
        <v>118</v>
      </c>
      <c r="AR2" s="46" t="s">
        <v>119</v>
      </c>
      <c r="AS2" s="46" t="s">
        <v>118</v>
      </c>
      <c r="AT2" s="46" t="s">
        <v>119</v>
      </c>
      <c r="AU2" s="46" t="s">
        <v>118</v>
      </c>
      <c r="AV2" s="46" t="s">
        <v>119</v>
      </c>
      <c r="AW2" s="46" t="s">
        <v>118</v>
      </c>
      <c r="AX2" s="46" t="s">
        <v>119</v>
      </c>
      <c r="BA2" s="53" t="s">
        <v>103</v>
      </c>
      <c r="BB2" s="44" t="s">
        <v>120</v>
      </c>
      <c r="BC2" s="44" t="s">
        <v>121</v>
      </c>
    </row>
    <row r="3" spans="1:55" ht="15" x14ac:dyDescent="0.25">
      <c r="A3">
        <v>1</v>
      </c>
      <c r="B3" s="54" t="s">
        <v>124</v>
      </c>
      <c r="C3" s="50">
        <f>SUMPRODUCT(--('2026'!$A$5:$A$500=$C$1),--('2026'!$C$5:$C$500=$B3))+SUMPRODUCT(--('2026'!$A$5:$A$500=$C$1),--('2026'!$F$5:$F$500=$B3))+SUMPRODUCT(--('2026'!$A$5:$A$500=$C$1),--('2026'!$D$5:$D$500=$B3))+SUMPRODUCT(--('2026'!$A$5:$A$500=$C$1),--('2026'!$G$5:$G$500=$B3))</f>
        <v>0</v>
      </c>
      <c r="D3" s="50">
        <f>SUMPRODUCT(--('2026'!$A$5:$A$500=$C$1),--('2026'!$I$5:$I$500=$B3))+SUMPRODUCT(--('2026'!$A$5:$A$500=$C$1),--('2026'!$J$5:$J$500=$B3))</f>
        <v>0</v>
      </c>
      <c r="E3" s="50">
        <f>SUMPRODUCT(--('2026'!$A$5:$A$500=$E$1),--('2026'!$C$5:$C$500=$B3))+SUMPRODUCT(--('2026'!$A$5:$A$500=$E$1),--('2026'!$F$5:$F$500=$B3))+SUMPRODUCT(--('2026'!$A$5:$A$500=$E$1),--('2026'!$D$5:$D$500=$B3))+SUMPRODUCT(--('2026'!$A$5:$A$500=$E$1),--('2026'!$G$5:$G$500=$B3))</f>
        <v>0</v>
      </c>
      <c r="F3" s="50">
        <f>SUMPRODUCT(--('2026'!$A$5:$A$500=$E$1),--('2026'!$I$5:$I$500=$B3))+SUMPRODUCT(--('2026'!$A$5:$A$500=$E$1),--('2026'!$J$5:$J$500=$B3))</f>
        <v>0</v>
      </c>
      <c r="G3" s="50">
        <f>SUMPRODUCT(--('2026'!$A$5:$A$500=$G$1),--('2026'!$C$5:$C$500=$B3))+SUMPRODUCT(--('2026'!$A$5:$A$500=$G$1),--('2026'!$F$5:$F$500=$B3))+SUMPRODUCT(--('2026'!$A$5:$A$500=$G$1),--('2026'!$D$5:$D$500=$B3))+SUMPRODUCT(--('2026'!$A$5:$A$500=$G$1),--('2026'!$G$5:$G$500=$B3))</f>
        <v>0</v>
      </c>
      <c r="H3" s="50">
        <f>SUMPRODUCT(--('2026'!$A$5:$A$500=$G$1),--('2026'!$I$5:$I$500=$B3))+SUMPRODUCT(--('2026'!$A$5:$A$500=$G$1),--('2026'!$J$5:$J$500=$B3))</f>
        <v>0</v>
      </c>
      <c r="I3" s="50">
        <f>SUMPRODUCT(--('2026'!$A$5:$A$500=$I$1),--('2026'!$C$5:$C$500=$B3))+SUMPRODUCT(--('2026'!$A$5:$A$500=$I$1),--('2026'!$F$5:$F$500=$B3))+SUMPRODUCT(--('2026'!$A$5:$A$500=$I$1),--('2026'!$D$5:$D$500=$B3))+SUMPRODUCT(--('2026'!$A$5:$A$500=$I$1),--('2026'!$G$5:$G$500=$B3))</f>
        <v>0</v>
      </c>
      <c r="J3" s="80">
        <f>SUMPRODUCT(--('2026'!$A$5:$A$500=$I$1),--('2026'!$I$5:$I$500=$B3))+SUMPRODUCT(--('2026'!$A$5:$A$500=$I$1),--('2026'!$J$5:$J$500=$B3))</f>
        <v>0</v>
      </c>
      <c r="K3" s="79">
        <f>SUMPRODUCT(--('2026'!$A$5:$A$500=$K$1),--('2026'!$C$5:$C$500=$B3))+SUMPRODUCT(--('2026'!$A$5:$A$500=$K$1),--('2026'!$F$5:$F$500=$B3))+SUMPRODUCT(--('2026'!$A$5:$A$500=$K$1),--('2026'!$D$5:$D$500=$B3))+SUMPRODUCT(--('2026'!$A$5:$A$500=$K$1),--('2026'!$G$5:$G$500=$B3))</f>
        <v>0</v>
      </c>
      <c r="L3" s="81">
        <f>SUMPRODUCT(--('2026'!$A$5:$A$500=$K$1),--('2026'!$I$5:$I$500=$B3))+SUMPRODUCT(--('2026'!$A$5:$A$500=$K$1),--('2026'!$J$5:$J$500=$B3))</f>
        <v>0</v>
      </c>
      <c r="M3" s="50">
        <f>SUMPRODUCT(--('2026'!$A$5:$A$500=$M$1),--('2026'!$C$5:$C$500=$B3))+SUMPRODUCT(--('2026'!$A$5:$A$500=$M$1),--('2026'!$F$5:$F$500=$B3))+SUMPRODUCT(--('2026'!$A$5:$A$500=$M$1),--('2026'!$D$5:$D$500=$B3))+SUMPRODUCT(--('2026'!$A$5:$A$500=$M$1),--('2026'!$G$5:$G$500=$B3))</f>
        <v>0</v>
      </c>
      <c r="N3" s="50">
        <f>SUMPRODUCT(--('2026'!$A$5:$A$500=$M$1),--('2026'!$I$5:$I$500=$B3))+SUMPRODUCT(--('2026'!$A$5:$A$500=$M$1),--('2026'!$J$5:$J$500=$B3))</f>
        <v>0</v>
      </c>
      <c r="O3" s="50">
        <f>SUMPRODUCT(--('2026'!$A$5:$A$500=$O$1),--('2026'!$C$5:$C$500=$B3))+SUMPRODUCT(--('2026'!$A$5:$A$500=$O$1),--('2026'!$F$5:$F$500=$B3))+SUMPRODUCT(--('2026'!$A$5:$A$500=$O$1),--('2026'!$D$5:$D$500=$B3))+SUMPRODUCT(--('2026'!$A$5:$A$500=$O$1),--('2026'!$G$5:$G$500=$B3))</f>
        <v>0</v>
      </c>
      <c r="P3" s="50">
        <f>SUMPRODUCT(--('2026'!$A$5:$A$500=$O$1),--('2026'!$I$5:$I$500=$B3))+SUMPRODUCT(--('2026'!$A$5:$A$500=$O$1),--('2026'!$J$5:$J$500=$B3))</f>
        <v>0</v>
      </c>
      <c r="Q3" s="50">
        <f>SUMPRODUCT(--('2026'!$A$5:$A$500=$Q$1),--('2026'!$C$5:$C$500=$B3))+SUMPRODUCT(--('2026'!$A$5:$A$500=$Q$1),--('2026'!$F$5:$F$500=$B3))+SUMPRODUCT(--('2026'!$A$5:$A$500=$Q$1),--('2026'!$D$5:$D$500=$B3))+SUMPRODUCT(--('2026'!$A$5:$A$500=$Q$1),--('2026'!$G$5:$G$500=$B3))</f>
        <v>0</v>
      </c>
      <c r="R3" s="50">
        <f>SUMPRODUCT(--('2026'!$A$5:$A$500=$Q$1),--('2026'!$I$5:$I$500=$B3))+SUMPRODUCT(--('2026'!$A$5:$A$500=$Q$1),--('2026'!$J$5:$J$500=$B3))</f>
        <v>0</v>
      </c>
      <c r="S3" s="50">
        <f>SUMPRODUCT(--('2026'!$A$5:$A$500=$S$1),--('2026'!$C$5:$C$500=$B3))+SUMPRODUCT(--('2026'!$A$5:$A$500=$S$1),--('2026'!$F$5:$F$500=$B3))+SUMPRODUCT(--('2026'!$A$5:$A$500=$S$1),--('2026'!$D$5:$D$500=$B3))+SUMPRODUCT(--('2026'!$A$5:$A$500=$S$1),--('2026'!$G$5:$G$500=$B3))</f>
        <v>0</v>
      </c>
      <c r="T3" s="50">
        <f>SUMPRODUCT(--('2026'!$A$5:$A$500=$S$1),--('2026'!$I$5:$I$500=$B3))+SUMPRODUCT(--('2026'!$A$5:$A$500=$S$1),--('2026'!$J$5:$J$500=$B3))</f>
        <v>0</v>
      </c>
      <c r="U3" s="50">
        <f>SUMPRODUCT(--('2026'!$A$5:$A$500=$U$1),--('2026'!$C$5:$C$500=$B3))+SUMPRODUCT(--('2026'!$A$5:$A$500=$U$1),--('2026'!$F$5:$F$500=$B3))+SUMPRODUCT(--('2026'!$A$5:$A$500=$U$1),--('2026'!$D$5:$D$500=$B3))+SUMPRODUCT(--('2026'!$A$5:$A$500=$U$1),--('2026'!$G$5:$G$500=$B3))</f>
        <v>0</v>
      </c>
      <c r="V3" s="50">
        <f>SUMPRODUCT(--('2026'!$A$5:$A$500=$U$1),--('2026'!$I$5:$I$500=$B3))+SUMPRODUCT(--('2026'!$A$5:$A$500=$U$1),--('2026'!$J$5:$J$500=$B3))</f>
        <v>0</v>
      </c>
      <c r="W3" s="60">
        <f>SUMPRODUCT(--('2026'!$A$5:$A$500=$W$1),--('2026'!$C$5:$C$500=$B3))+SUMPRODUCT(--('2026'!$A$5:$A$500=$W$1),--('2026'!$F$5:$F$500=$B3))+SUMPRODUCT(--('2026'!$A$5:$A$500=$W$1),--('2026'!$D$5:$D$500=$B3))+SUMPRODUCT(--('2026'!$A$5:$A$500=$W$1),--('2026'!$G$5:$G$500=$B3))</f>
        <v>0</v>
      </c>
      <c r="X3" s="60">
        <f>SUMPRODUCT(--('2026'!$A$5:$A$500=$W$1),--('2026'!$I$5:$I$500=$B3))+SUMPRODUCT(--('2026'!$A$5:$A$500=$W$1),--('2026'!$J$5:$J$500=$B3))</f>
        <v>0</v>
      </c>
      <c r="Y3" s="51">
        <f>SUMPRODUCT(--('2026'!$A$5:$A$500=$Y$1),--('2026'!$C$5:$C$500=$B3))+SUMPRODUCT(--('2026'!$A$5:$A$500=$Y$1),--('2026'!$F$5:$F$500=$B3))+SUMPRODUCT(--('2026'!$A$5:$A$500=$Y$1),--('2026'!$D$5:$D$500=$B3))+SUMPRODUCT(--('2026'!$A$5:$A$500=$Y$1),--('2026'!$G$5:$G$500=$B3))</f>
        <v>0</v>
      </c>
      <c r="Z3" s="51">
        <f>SUMPRODUCT(--('2026'!$A$5:$A$500=$Y$1),--('2026'!$I$5:$I$500=$B3))+SUMPRODUCT(--('2026'!$A$5:$A$500=$Y$1),--('2026'!$J$5:$J$500=$B3))</f>
        <v>0</v>
      </c>
      <c r="AA3" s="51">
        <f>SUMPRODUCT(--('2026'!$A$5:$A$500=$AA$1),--('2026'!$C$5:$C$500=$B3))+SUMPRODUCT(--('2026'!$A$5:$A$500=$AA$1),--('2026'!$F$5:$F$500=$B3))+SUMPRODUCT(--('2026'!$A$5:$A$500=$AA$1),--('2026'!$D$5:$D$500=$B3))+SUMPRODUCT(--('2026'!$A$5:$A$500=$AA$1),--('2026'!$G$5:$G$500=$B3))</f>
        <v>0</v>
      </c>
      <c r="AB3" s="51">
        <f>SUMPRODUCT(--('2026'!$A$5:$A$500=$AA$1),--('2026'!$I$5:$I$500=$B3))+SUMPRODUCT(--('2026'!$A$5:$A$500=$AA$1),--('2026'!$J$5:$J$500=$B3))</f>
        <v>0</v>
      </c>
      <c r="AC3" s="51">
        <f>SUMPRODUCT(--('2026'!$A$5:$A$500=$AC$1),--('2026'!$C$5:$C$500=$B3))+SUMPRODUCT(--('2026'!$A$5:$A$500=$AC$1),--('2026'!$F$5:$F$500=$B3))+SUMPRODUCT(--('2026'!$A$5:$A$500=$AC$1),--('2026'!$D$5:$D$500=$B3))+SUMPRODUCT(--('2026'!$A$5:$A$500=$AC$1),--('2026'!$G$5:$G$500=$B3))</f>
        <v>0</v>
      </c>
      <c r="AD3" s="51">
        <f>SUMPRODUCT(--('2026'!$A$5:$A$500=$AC$1),--('2026'!$I$5:$I$500=$B3))+SUMPRODUCT(--('2026'!$A$5:$A$500=$AC$1),--('2026'!$J$5:$J$500=$B3))</f>
        <v>0</v>
      </c>
      <c r="AE3" s="61">
        <f>SUMPRODUCT(--('2026'!$A$5:$A$500=$AE$1),--('2026'!$C$5:$C$500=$B3))+SUMPRODUCT(--('2026'!$A$5:$A$500=$AE$1),--('2026'!$F$5:$F$500=$B3))+SUMPRODUCT(--('2026'!$A$5:$A$500=$AE$1),--('2026'!$D$5:$D$500=$B3))+SUMPRODUCT(--('2026'!$A$5:$A$500=$AE$1),--('2026'!$G$5:$G$500=$B3))</f>
        <v>0</v>
      </c>
      <c r="AF3" s="61">
        <f>SUMPRODUCT(--('2026'!$A$5:$A$500=$AE$1),--('2026'!$I$5:$I$500=$B3))+SUMPRODUCT(--('2026'!$A$5:$A$500=$AE$1),--('2026'!$J$5:$J$500=$B3))</f>
        <v>0</v>
      </c>
      <c r="AG3" s="51">
        <f>SUMPRODUCT(--('2026'!$A$5:$A$500=$AG$1),--('2026'!$C$5:$C$500=$B3))+SUMPRODUCT(--('2026'!$A$5:$A$500=$AG$1),--('2026'!$F$5:$F$500=$B3))+SUMPRODUCT(--('2026'!$A$5:$A$500=$AG$1),--('2026'!$D$5:$D$500=$B3))+SUMPRODUCT(--('2026'!$A$5:$A$500=$AG$1),--('2026'!$G$5:$G$500=$B3))</f>
        <v>0</v>
      </c>
      <c r="AH3" s="51">
        <f>SUMPRODUCT(--('2026'!$A$5:$A$500=$AG$1),--('2026'!$I$5:$I$500=$B3))+SUMPRODUCT(--('2026'!$A$5:$A$500=$AG$1),--('2026'!$J$5:$J$500=$B3))</f>
        <v>0</v>
      </c>
      <c r="AI3" s="51">
        <f>SUMPRODUCT(--('2026'!$A$5:$A$500=$AI$1),--('2026'!$C$5:$C$500=$B3))+SUMPRODUCT(--('2026'!$A$5:$A$500=$AI$1),--('2026'!$F$5:$F$500=$B3))+SUMPRODUCT(--('2026'!$A$5:$A$500=$AI$1),--('2026'!$D$5:$D$500=$B3))+SUMPRODUCT(--('2026'!$A$5:$A$500=$AI$1),--('2026'!$G$5:$G$500=$B3))</f>
        <v>0</v>
      </c>
      <c r="AJ3" s="51">
        <f>SUMPRODUCT(--('2026'!$A$5:$A$500=$AI$1),--('2026'!$I$5:$I$500=$B3))+SUMPRODUCT(--('2026'!$A$5:$A$500=$AI$1),--('2026'!$J$5:$J$500=$B3))</f>
        <v>0</v>
      </c>
      <c r="AK3" s="51">
        <f>SUMPRODUCT(--('2026'!$A$5:$A$500=$AK$1),--('2026'!$C$5:$C$500=$B3))+SUMPRODUCT(--('2026'!$A$5:$A$500=$AK$1),--('2026'!$F$5:$F$500=$B3))+SUMPRODUCT(--('2026'!$A$5:$A$500=$AK$1),--('2026'!$D$5:$D$500=$B3))+SUMPRODUCT(--('2026'!$A$5:$A$500=$AK$1),--('2026'!$G$5:$G$500=$B3))</f>
        <v>0</v>
      </c>
      <c r="AL3" s="51">
        <f>SUMPRODUCT(--('2026'!$A$5:$A$500=$AK$1),--('2026'!$I$5:$I$500=$B3))+SUMPRODUCT(--('2026'!$A$5:$A$500=$AK$1),--('2026'!$J$5:$J$500=$B3))</f>
        <v>0</v>
      </c>
      <c r="AM3" s="51">
        <f>SUMPRODUCT(--('2026'!$A$5:$A$500=$AM$1),--('2026'!$C$5:$C$500=$B3))+SUMPRODUCT(--('2026'!$A$5:$A$500=$AM$1),--('2026'!$F$5:$F$500=$B3))+SUMPRODUCT(--('2026'!$A$5:$A$500=$AM$1),--('2026'!$D$5:$D$500=$B3))+SUMPRODUCT(--('2026'!$A$5:$A$500=$AM$1),--('2026'!$G$5:$G$500=$B3))</f>
        <v>0</v>
      </c>
      <c r="AN3" s="51">
        <f>SUMPRODUCT(--('2026'!$A$5:$A$500=$AM$1),--('2026'!$I$5:$I$500=$B3))+SUMPRODUCT(--('2026'!$A$5:$A$500=$AM$1),--('2026'!$J$5:$J$500=$B3))</f>
        <v>0</v>
      </c>
      <c r="AO3" s="51">
        <f>SUMPRODUCT(--('2026'!$A$5:$A$500=$AO$1),--('2026'!$C$5:$C$500=$B3))+SUMPRODUCT(--('2026'!$A$5:$A$500=$AO$1),--('2026'!$F$5:$F$500=$B3))+SUMPRODUCT(--('2026'!$A$5:$A$500=$AO$1),--('2026'!$D$5:$D$500=$B3))+SUMPRODUCT(--('2026'!$A$5:$A$500=$AO$1),--('2026'!$G$5:$G$500=$B3))</f>
        <v>0</v>
      </c>
      <c r="AP3" s="51">
        <f>SUMPRODUCT(--('2026'!$A$5:$A$500=$AO$1),--('2026'!$I$5:$I$500=$B3))+SUMPRODUCT(--('2026'!$A$5:$A$500=$AO$1),--('2026'!$J$5:$J$500=$B3))</f>
        <v>0</v>
      </c>
      <c r="AQ3" s="51">
        <f>SUMPRODUCT(--('2026'!$A$5:$A$500=$AQ$1),--('2026'!$C$5:$C$500=$B3))+SUMPRODUCT(--('2026'!$A$5:$A$500=$AQ$1),--('2026'!$F$5:$F$500=$B3))+SUMPRODUCT(--('2026'!$A$5:$A$500=$AQ$1),--('2026'!$D$5:$D$500=$B3))+SUMPRODUCT(--('2026'!$A$5:$A$500=$AQ$1),--('2026'!$G$5:$G$500=$B3))</f>
        <v>0</v>
      </c>
      <c r="AR3" s="51">
        <f>SUMPRODUCT(--('2026'!$A$5:$A$500=$AQ$1),--('2026'!$I$5:$I$500=$B3))+SUMPRODUCT(--('2026'!$A$5:$A$500=$AQ$1),--('2026'!$J$5:$J$500=$B3))</f>
        <v>0</v>
      </c>
      <c r="AS3" s="51">
        <f>SUMPRODUCT(--('2026'!$A$5:$A$500=$AS$1),--('2026'!$C$5:$C$500=$B3))+SUMPRODUCT(--('2026'!$A$5:$A$500=$AS$1),--('2026'!$F$5:$F$500=$B3))+SUMPRODUCT(--('2026'!$A$5:$A$500=$AS$1),--('2026'!$D$5:$D$500=$B3))+SUMPRODUCT(--('2026'!$A$5:$A$500=$AS$1),--('2026'!$G$5:$G$500=$B3))</f>
        <v>0</v>
      </c>
      <c r="AT3" s="51">
        <f>SUMPRODUCT(--('2026'!$A$5:$A$500=$AS$1),--('2026'!$I$5:$I$500=$B3))+SUMPRODUCT(--('2026'!$A$5:$A$500=$AS$1),--('2026'!$J$5:$J$500=$B3))</f>
        <v>0</v>
      </c>
      <c r="AU3" s="51">
        <f>SUMPRODUCT(--('2026'!$A$5:$A$500=$AU$1),--('2026'!$C$5:$C$500=$B3))+SUMPRODUCT(--('2026'!$A$5:$A$500=$AU$1),--('2026'!$F$5:$F$500=$B3))+SUMPRODUCT(--('2026'!$A$5:$A$500=$AU$1),--('2026'!$D$5:$D$500=$B3))+SUMPRODUCT(--('2026'!$A$5:$A$500=$AU$1),--('2026'!$G$5:$G$500=$B3))</f>
        <v>0</v>
      </c>
      <c r="AV3" s="51">
        <f>SUMPRODUCT(--('2026'!$A$5:$A$500=$AU$1),--('2026'!$I$5:$I$500=$B3))+SUMPRODUCT(--('2026'!$A$5:$A$500=$AU$1),--('2026'!$J$5:$J$500=$B3))</f>
        <v>0</v>
      </c>
      <c r="AW3" s="51">
        <f>SUMPRODUCT(--('2026'!$A$5:$A$500=$AW$1),--('2026'!$C$5:$C$500=$B3))+SUMPRODUCT(--('2026'!$A$5:$A$500=$AW$1),--('2026'!$F$5:$F$500=$B3))+SUMPRODUCT(--('2026'!$A$5:$A$500=$AW$1),--('2026'!$D$5:$D$500=$B3))+SUMPRODUCT(--('2026'!$A$5:$A$500=$AW$1),--('2026'!$G$5:$G$500=$B3))</f>
        <v>0</v>
      </c>
      <c r="AX3" s="51">
        <f>SUMPRODUCT(--('2026'!$A$5:$A$500=$AW$1),--('2026'!$I$5:$I$500=$B3))+SUMPRODUCT(--('2026'!$A$5:$A$500=$AW$1),--('2026'!$J$5:$J$500=$B3))</f>
        <v>0</v>
      </c>
      <c r="BA3" s="54" t="s">
        <v>40</v>
      </c>
      <c r="BB3" s="47">
        <f t="shared" ref="BB3:BB37" si="0">IF(ISODD(COUNTIF(C3:AX3,"&gt;0")),COUNTIF(C3:AX3,"&gt;0")+1,COUNTIF(C3:AX3,"&gt;0"))/2</f>
        <v>0</v>
      </c>
      <c r="BC3" s="52">
        <f t="shared" ref="BC3:BC37" si="1">BB3/15</f>
        <v>0</v>
      </c>
    </row>
    <row r="4" spans="1:55" ht="15" x14ac:dyDescent="0.25">
      <c r="A4">
        <v>2</v>
      </c>
      <c r="B4" s="54" t="s">
        <v>41</v>
      </c>
      <c r="C4" s="50">
        <f>SUMPRODUCT(--('2026'!$A$5:$A$500=$C$1),--('2026'!$C$5:$C$500=$B4))+SUMPRODUCT(--('2026'!$A$5:$A$500=$C$1),--('2026'!$F$5:$F$500=$B4))+SUMPRODUCT(--('2026'!$A$5:$A$500=$C$1),--('2026'!$D$5:$D$500=$B4))+SUMPRODUCT(--('2026'!$A$5:$A$500=$C$1),--('2026'!$G$5:$G$500=$B4))</f>
        <v>0</v>
      </c>
      <c r="D4" s="80">
        <f>SUMPRODUCT(--('2026'!$A$5:$A$500=$C$1),--('2026'!$I$5:$I$500=$B4))+SUMPRODUCT(--('2026'!$A$5:$A$500=$C$1),--('2026'!$J$5:$J$500=$B4))</f>
        <v>0</v>
      </c>
      <c r="E4" s="50">
        <f>SUMPRODUCT(--('2026'!$A$5:$A$500=$E$1),--('2026'!$C$5:$C$500=$B4))+SUMPRODUCT(--('2026'!$A$5:$A$500=$E$1),--('2026'!$F$5:$F$500=$B4))+SUMPRODUCT(--('2026'!$A$5:$A$500=$E$1),--('2026'!$D$5:$D$500=$B4))+SUMPRODUCT(--('2026'!$A$5:$A$500=$E$1),--('2026'!$G$5:$G$500=$B4))</f>
        <v>0</v>
      </c>
      <c r="F4" s="50">
        <f>SUMPRODUCT(--('2026'!$A$5:$A$500=$E$1),--('2026'!$I$5:$I$500=$B4))+SUMPRODUCT(--('2026'!$A$5:$A$500=$E$1),--('2026'!$J$5:$J$500=$B4))</f>
        <v>0</v>
      </c>
      <c r="G4" s="50">
        <f>SUMPRODUCT(--('2026'!$A$5:$A$500=$G$1),--('2026'!$C$5:$C$500=$B4))+SUMPRODUCT(--('2026'!$A$5:$A$500=$G$1),--('2026'!$F$5:$F$500=$B4))+SUMPRODUCT(--('2026'!$A$5:$A$500=$G$1),--('2026'!$D$5:$D$500=$B4))+SUMPRODUCT(--('2026'!$A$5:$A$500=$G$1),--('2026'!$G$5:$G$500=$B4))</f>
        <v>0</v>
      </c>
      <c r="H4" s="50">
        <f>SUMPRODUCT(--('2026'!$A$5:$A$500=$G$1),--('2026'!$I$5:$I$500=$B4))+SUMPRODUCT(--('2026'!$A$5:$A$500=$G$1),--('2026'!$J$5:$J$500=$B4))</f>
        <v>0</v>
      </c>
      <c r="I4" s="50">
        <f>SUMPRODUCT(--('2026'!$A$5:$A$500=$I$1),--('2026'!$C$5:$C$500=$B4))+SUMPRODUCT(--('2026'!$A$5:$A$500=$I$1),--('2026'!$F$5:$F$500=$B4))+SUMPRODUCT(--('2026'!$A$5:$A$500=$I$1),--('2026'!$D$5:$D$500=$B4))+SUMPRODUCT(--('2026'!$A$5:$A$500=$I$1),--('2026'!$G$5:$G$500=$B4))</f>
        <v>0</v>
      </c>
      <c r="J4" s="50">
        <f>SUMPRODUCT(--('2026'!$A$5:$A$500=$I$1),--('2026'!$I$5:$I$500=$B4))+SUMPRODUCT(--('2026'!$A$5:$A$500=$I$1),--('2026'!$J$5:$J$500=$B4))</f>
        <v>0</v>
      </c>
      <c r="K4" s="50">
        <f>SUMPRODUCT(--('2026'!$A$5:$A$500=$K$1),--('2026'!$C$5:$C$500=$B4))+SUMPRODUCT(--('2026'!$A$5:$A$500=$K$1),--('2026'!$F$5:$F$500=$B4))+SUMPRODUCT(--('2026'!$A$5:$A$500=$K$1),--('2026'!$D$5:$D$500=$B4))+SUMPRODUCT(--('2026'!$A$5:$A$500=$K$1),--('2026'!$G$5:$G$500=$B4))</f>
        <v>0</v>
      </c>
      <c r="L4" s="50">
        <f>SUMPRODUCT(--('2026'!$A$5:$A$500=$K$1),--('2026'!$I$5:$I$500=$B4))+SUMPRODUCT(--('2026'!$A$5:$A$500=$K$1),--('2026'!$J$5:$J$500=$B4))</f>
        <v>0</v>
      </c>
      <c r="M4" s="50">
        <f>SUMPRODUCT(--('2026'!$A$5:$A$500=$M$1),--('2026'!$C$5:$C$500=$B4))+SUMPRODUCT(--('2026'!$A$5:$A$500=$M$1),--('2026'!$F$5:$F$500=$B4))+SUMPRODUCT(--('2026'!$A$5:$A$500=$M$1),--('2026'!$D$5:$D$500=$B4))+SUMPRODUCT(--('2026'!$A$5:$A$500=$M$1),--('2026'!$G$5:$G$500=$B4))</f>
        <v>0</v>
      </c>
      <c r="N4" s="50">
        <f>SUMPRODUCT(--('2026'!$A$5:$A$500=$M$1),--('2026'!$I$5:$I$500=$B4))+SUMPRODUCT(--('2026'!$A$5:$A$500=$M$1),--('2026'!$J$5:$J$500=$B4))</f>
        <v>0</v>
      </c>
      <c r="O4" s="50">
        <f>SUMPRODUCT(--('2026'!$A$5:$A$500=$O$1),--('2026'!$C$5:$C$500=$B4))+SUMPRODUCT(--('2026'!$A$5:$A$500=$O$1),--('2026'!$F$5:$F$500=$B4))+SUMPRODUCT(--('2026'!$A$5:$A$500=$O$1),--('2026'!$D$5:$D$500=$B4))+SUMPRODUCT(--('2026'!$A$5:$A$500=$O$1),--('2026'!$G$5:$G$500=$B4))</f>
        <v>0</v>
      </c>
      <c r="P4" s="50">
        <f>SUMPRODUCT(--('2026'!$A$5:$A$500=$O$1),--('2026'!$I$5:$I$500=$B4))+SUMPRODUCT(--('2026'!$A$5:$A$500=$O$1),--('2026'!$J$5:$J$500=$B4))</f>
        <v>0</v>
      </c>
      <c r="Q4" s="50">
        <f>SUMPRODUCT(--('2026'!$A$5:$A$500=$Q$1),--('2026'!$C$5:$C$500=$B4))+SUMPRODUCT(--('2026'!$A$5:$A$500=$Q$1),--('2026'!$F$5:$F$500=$B4))+SUMPRODUCT(--('2026'!$A$5:$A$500=$Q$1),--('2026'!$D$5:$D$500=$B4))+SUMPRODUCT(--('2026'!$A$5:$A$500=$Q$1),--('2026'!$G$5:$G$500=$B4))</f>
        <v>0</v>
      </c>
      <c r="R4" s="50">
        <f>SUMPRODUCT(--('2026'!$A$5:$A$500=$Q$1),--('2026'!$I$5:$I$500=$B4))+SUMPRODUCT(--('2026'!$A$5:$A$500=$Q$1),--('2026'!$J$5:$J$500=$B4))</f>
        <v>0</v>
      </c>
      <c r="S4" s="50">
        <f>SUMPRODUCT(--('2026'!$A$5:$A$500=$S$1),--('2026'!$C$5:$C$500=$B4))+SUMPRODUCT(--('2026'!$A$5:$A$500=$S$1),--('2026'!$F$5:$F$500=$B4))+SUMPRODUCT(--('2026'!$A$5:$A$500=$S$1),--('2026'!$D$5:$D$500=$B4))+SUMPRODUCT(--('2026'!$A$5:$A$500=$S$1),--('2026'!$G$5:$G$500=$B4))</f>
        <v>0</v>
      </c>
      <c r="T4" s="50">
        <f>SUMPRODUCT(--('2026'!$A$5:$A$500=$S$1),--('2026'!$I$5:$I$500=$B4))+SUMPRODUCT(--('2026'!$A$5:$A$500=$S$1),--('2026'!$J$5:$J$500=$B4))</f>
        <v>0</v>
      </c>
      <c r="U4" s="50">
        <f>SUMPRODUCT(--('2026'!$A$5:$A$500=$U$1),--('2026'!$C$5:$C$500=$B4))+SUMPRODUCT(--('2026'!$A$5:$A$500=$U$1),--('2026'!$F$5:$F$500=$B4))+SUMPRODUCT(--('2026'!$A$5:$A$500=$U$1),--('2026'!$D$5:$D$500=$B4))+SUMPRODUCT(--('2026'!$A$5:$A$500=$U$1),--('2026'!$G$5:$G$500=$B4))</f>
        <v>0</v>
      </c>
      <c r="V4" s="50">
        <f>SUMPRODUCT(--('2026'!$A$5:$A$500=$U$1),--('2026'!$I$5:$I$500=$B4))+SUMPRODUCT(--('2026'!$A$5:$A$500=$U$1),--('2026'!$J$5:$J$500=$B4))</f>
        <v>0</v>
      </c>
      <c r="W4" s="60">
        <f>SUMPRODUCT(--('2026'!$A$5:$A$500=$W$1),--('2026'!$C$5:$C$500=$B4))+SUMPRODUCT(--('2026'!$A$5:$A$500=$W$1),--('2026'!$F$5:$F$500=$B4))+SUMPRODUCT(--('2026'!$A$5:$A$500=$W$1),--('2026'!$D$5:$D$500=$B4))+SUMPRODUCT(--('2026'!$A$5:$A$500=$W$1),--('2026'!$G$5:$G$500=$B4))</f>
        <v>0</v>
      </c>
      <c r="X4" s="60">
        <f>SUMPRODUCT(--('2026'!$A$5:$A$500=$W$1),--('2026'!$I$5:$I$500=$B4))+SUMPRODUCT(--('2026'!$A$5:$A$500=$W$1),--('2026'!$J$5:$J$500=$B4))</f>
        <v>0</v>
      </c>
      <c r="Y4" s="51">
        <f>SUMPRODUCT(--('2026'!$A$5:$A$500=$Y$1),--('2026'!$C$5:$C$500=$B4))+SUMPRODUCT(--('2026'!$A$5:$A$500=$Y$1),--('2026'!$F$5:$F$500=$B4))+SUMPRODUCT(--('2026'!$A$5:$A$500=$Y$1),--('2026'!$D$5:$D$500=$B4))+SUMPRODUCT(--('2026'!$A$5:$A$500=$Y$1),--('2026'!$G$5:$G$500=$B4))</f>
        <v>0</v>
      </c>
      <c r="Z4" s="51">
        <f>SUMPRODUCT(--('2026'!$A$5:$A$500=$Y$1),--('2026'!$I$5:$I$500=$B4))+SUMPRODUCT(--('2026'!$A$5:$A$500=$Y$1),--('2026'!$J$5:$J$500=$B4))</f>
        <v>0</v>
      </c>
      <c r="AA4" s="51">
        <f>SUMPRODUCT(--('2026'!$A$5:$A$500=$AA$1),--('2026'!$C$5:$C$500=$B4))+SUMPRODUCT(--('2026'!$A$5:$A$500=$AA$1),--('2026'!$F$5:$F$500=$B4))+SUMPRODUCT(--('2026'!$A$5:$A$500=$AA$1),--('2026'!$D$5:$D$500=$B4))+SUMPRODUCT(--('2026'!$A$5:$A$500=$AA$1),--('2026'!$G$5:$G$500=$B4))</f>
        <v>0</v>
      </c>
      <c r="AB4" s="51">
        <f>SUMPRODUCT(--('2026'!$A$5:$A$500=$AA$1),--('2026'!$I$5:$I$500=$B4))+SUMPRODUCT(--('2026'!$A$5:$A$500=$AA$1),--('2026'!$J$5:$J$500=$B4))</f>
        <v>0</v>
      </c>
      <c r="AC4" s="51">
        <f>SUMPRODUCT(--('2026'!$A$5:$A$500=$AC$1),--('2026'!$C$5:$C$500=$B4))+SUMPRODUCT(--('2026'!$A$5:$A$500=$AC$1),--('2026'!$F$5:$F$500=$B4))+SUMPRODUCT(--('2026'!$A$5:$A$500=$AC$1),--('2026'!$D$5:$D$500=$B4))+SUMPRODUCT(--('2026'!$A$5:$A$500=$AC$1),--('2026'!$G$5:$G$500=$B4))</f>
        <v>0</v>
      </c>
      <c r="AD4" s="51">
        <f>SUMPRODUCT(--('2026'!$A$5:$A$500=$AC$1),--('2026'!$I$5:$I$500=$B4))+SUMPRODUCT(--('2026'!$A$5:$A$500=$AC$1),--('2026'!$J$5:$J$500=$B4))</f>
        <v>0</v>
      </c>
      <c r="AE4" s="61">
        <f>SUMPRODUCT(--('2026'!$A$5:$A$500=$AE$1),--('2026'!$C$5:$C$500=$B4))+SUMPRODUCT(--('2026'!$A$5:$A$500=$AE$1),--('2026'!$F$5:$F$500=$B4))+SUMPRODUCT(--('2026'!$A$5:$A$500=$AE$1),--('2026'!$D$5:$D$500=$B4))+SUMPRODUCT(--('2026'!$A$5:$A$500=$AE$1),--('2026'!$G$5:$G$500=$B4))</f>
        <v>0</v>
      </c>
      <c r="AF4" s="61">
        <f>SUMPRODUCT(--('2026'!$A$5:$A$500=$AE$1),--('2026'!$I$5:$I$500=$B4))+SUMPRODUCT(--('2026'!$A$5:$A$500=$AE$1),--('2026'!$J$5:$J$500=$B4))</f>
        <v>0</v>
      </c>
      <c r="AG4" s="51">
        <f>SUMPRODUCT(--('2026'!$A$5:$A$500=$AG$1),--('2026'!$C$5:$C$500=$B4))+SUMPRODUCT(--('2026'!$A$5:$A$500=$AG$1),--('2026'!$F$5:$F$500=$B4))+SUMPRODUCT(--('2026'!$A$5:$A$500=$AG$1),--('2026'!$D$5:$D$500=$B4))+SUMPRODUCT(--('2026'!$A$5:$A$500=$AG$1),--('2026'!$G$5:$G$500=$B4))</f>
        <v>0</v>
      </c>
      <c r="AH4" s="51">
        <f>SUMPRODUCT(--('2026'!$A$5:$A$500=$AG$1),--('2026'!$I$5:$I$500=$B4))+SUMPRODUCT(--('2026'!$A$5:$A$500=$AG$1),--('2026'!$J$5:$J$500=$B4))</f>
        <v>0</v>
      </c>
      <c r="AI4" s="51">
        <f>SUMPRODUCT(--('2026'!$A$5:$A$500=$AI$1),--('2026'!$C$5:$C$500=$B4))+SUMPRODUCT(--('2026'!$A$5:$A$500=$AI$1),--('2026'!$F$5:$F$500=$B4))+SUMPRODUCT(--('2026'!$A$5:$A$500=$AI$1),--('2026'!$D$5:$D$500=$B4))+SUMPRODUCT(--('2026'!$A$5:$A$500=$AI$1),--('2026'!$G$5:$G$500=$B4))</f>
        <v>0</v>
      </c>
      <c r="AJ4" s="51">
        <f>SUMPRODUCT(--('2026'!$A$5:$A$500=$AI$1),--('2026'!$I$5:$I$500=$B4))+SUMPRODUCT(--('2026'!$A$5:$A$500=$AI$1),--('2026'!$J$5:$J$500=$B4))</f>
        <v>0</v>
      </c>
      <c r="AK4" s="51">
        <f>SUMPRODUCT(--('2026'!$A$5:$A$500=$AK$1),--('2026'!$C$5:$C$500=$B4))+SUMPRODUCT(--('2026'!$A$5:$A$500=$AK$1),--('2026'!$F$5:$F$500=$B4))+SUMPRODUCT(--('2026'!$A$5:$A$500=$AK$1),--('2026'!$D$5:$D$500=$B4))+SUMPRODUCT(--('2026'!$A$5:$A$500=$AK$1),--('2026'!$G$5:$G$500=$B4))</f>
        <v>0</v>
      </c>
      <c r="AL4" s="51">
        <f>SUMPRODUCT(--('2026'!$A$5:$A$500=$AK$1),--('2026'!$I$5:$I$500=$B4))+SUMPRODUCT(--('2026'!$A$5:$A$500=$AK$1),--('2026'!$J$5:$J$500=$B4))</f>
        <v>0</v>
      </c>
      <c r="AM4" s="51">
        <f>SUMPRODUCT(--('2026'!$A$5:$A$500=$AM$1),--('2026'!$C$5:$C$500=$B4))+SUMPRODUCT(--('2026'!$A$5:$A$500=$AM$1),--('2026'!$F$5:$F$500=$B4))+SUMPRODUCT(--('2026'!$A$5:$A$500=$AM$1),--('2026'!$D$5:$D$500=$B4))+SUMPRODUCT(--('2026'!$A$5:$A$500=$AM$1),--('2026'!$G$5:$G$500=$B4))</f>
        <v>0</v>
      </c>
      <c r="AN4" s="51">
        <f>SUMPRODUCT(--('2026'!$A$5:$A$500=$AM$1),--('2026'!$I$5:$I$500=$B4))+SUMPRODUCT(--('2026'!$A$5:$A$500=$AM$1),--('2026'!$J$5:$J$500=$B4))</f>
        <v>0</v>
      </c>
      <c r="AO4" s="51">
        <f>SUMPRODUCT(--('2026'!$A$5:$A$500=$AO$1),--('2026'!$C$5:$C$500=$B4))+SUMPRODUCT(--('2026'!$A$5:$A$500=$AO$1),--('2026'!$F$5:$F$500=$B4))+SUMPRODUCT(--('2026'!$A$5:$A$500=$AO$1),--('2026'!$D$5:$D$500=$B4))+SUMPRODUCT(--('2026'!$A$5:$A$500=$AO$1),--('2026'!$G$5:$G$500=$B4))</f>
        <v>0</v>
      </c>
      <c r="AP4" s="51">
        <f>SUMPRODUCT(--('2026'!$A$5:$A$500=$AO$1),--('2026'!$I$5:$I$500=$B4))+SUMPRODUCT(--('2026'!$A$5:$A$500=$AO$1),--('2026'!$J$5:$J$500=$B4))</f>
        <v>0</v>
      </c>
      <c r="AQ4" s="51">
        <f>SUMPRODUCT(--('2026'!$A$5:$A$500=$AQ$1),--('2026'!$C$5:$C$500=$B4))+SUMPRODUCT(--('2026'!$A$5:$A$500=$AQ$1),--('2026'!$F$5:$F$500=$B4))+SUMPRODUCT(--('2026'!$A$5:$A$500=$AQ$1),--('2026'!$D$5:$D$500=$B4))+SUMPRODUCT(--('2026'!$A$5:$A$500=$AQ$1),--('2026'!$G$5:$G$500=$B4))</f>
        <v>0</v>
      </c>
      <c r="AR4" s="51">
        <f>SUMPRODUCT(--('2026'!$A$5:$A$500=$AQ$1),--('2026'!$I$5:$I$500=$B4))+SUMPRODUCT(--('2026'!$A$5:$A$500=$AQ$1),--('2026'!$J$5:$J$500=$B4))</f>
        <v>0</v>
      </c>
      <c r="AS4" s="51">
        <f>SUMPRODUCT(--('2026'!$A$5:$A$500=$AS$1),--('2026'!$C$5:$C$500=$B4))+SUMPRODUCT(--('2026'!$A$5:$A$500=$AS$1),--('2026'!$F$5:$F$500=$B4))+SUMPRODUCT(--('2026'!$A$5:$A$500=$AS$1),--('2026'!$D$5:$D$500=$B4))+SUMPRODUCT(--('2026'!$A$5:$A$500=$AS$1),--('2026'!$G$5:$G$500=$B4))</f>
        <v>0</v>
      </c>
      <c r="AT4" s="51">
        <f>SUMPRODUCT(--('2026'!$A$5:$A$500=$AS$1),--('2026'!$I$5:$I$500=$B4))+SUMPRODUCT(--('2026'!$A$5:$A$500=$AS$1),--('2026'!$J$5:$J$500=$B4))</f>
        <v>0</v>
      </c>
      <c r="AU4" s="51">
        <f>SUMPRODUCT(--('2026'!$A$5:$A$500=$AU$1),--('2026'!$C$5:$C$500=$B4))+SUMPRODUCT(--('2026'!$A$5:$A$500=$AU$1),--('2026'!$F$5:$F$500=$B4))+SUMPRODUCT(--('2026'!$A$5:$A$500=$AU$1),--('2026'!$D$5:$D$500=$B4))+SUMPRODUCT(--('2026'!$A$5:$A$500=$AU$1),--('2026'!$G$5:$G$500=$B4))</f>
        <v>0</v>
      </c>
      <c r="AV4" s="51">
        <f>SUMPRODUCT(--('2026'!$A$5:$A$500=$AU$1),--('2026'!$I$5:$I$500=$B4))+SUMPRODUCT(--('2026'!$A$5:$A$500=$AU$1),--('2026'!$J$5:$J$500=$B4))</f>
        <v>0</v>
      </c>
      <c r="AW4" s="51">
        <f>SUMPRODUCT(--('2026'!$A$5:$A$500=$AW$1),--('2026'!$C$5:$C$500=$B4))+SUMPRODUCT(--('2026'!$A$5:$A$500=$AW$1),--('2026'!$F$5:$F$500=$B4))+SUMPRODUCT(--('2026'!$A$5:$A$500=$AW$1),--('2026'!$D$5:$D$500=$B4))+SUMPRODUCT(--('2026'!$A$5:$A$500=$AW$1),--('2026'!$G$5:$G$500=$B4))</f>
        <v>0</v>
      </c>
      <c r="AX4" s="51">
        <f>SUMPRODUCT(--('2026'!$A$5:$A$500=$AW$1),--('2026'!$I$5:$I$500=$B4))+SUMPRODUCT(--('2026'!$A$5:$A$500=$AW$1),--('2026'!$J$5:$J$500=$B4))</f>
        <v>0</v>
      </c>
      <c r="BA4" s="54" t="s">
        <v>41</v>
      </c>
      <c r="BB4" s="47">
        <f t="shared" si="0"/>
        <v>0</v>
      </c>
      <c r="BC4" s="52">
        <f t="shared" si="1"/>
        <v>0</v>
      </c>
    </row>
    <row r="5" spans="1:55" ht="15" x14ac:dyDescent="0.25">
      <c r="A5">
        <v>3</v>
      </c>
      <c r="B5" s="54" t="s">
        <v>95</v>
      </c>
      <c r="C5" s="50">
        <f>SUMPRODUCT(--('2026'!$A$5:$A$500=$C$1),--('2026'!$C$5:$C$500=$B5))+SUMPRODUCT(--('2026'!$A$5:$A$500=$C$1),--('2026'!$F$5:$F$500=$B5))+SUMPRODUCT(--('2026'!$A$5:$A$500=$C$1),--('2026'!$D$5:$D$500=$B5))+SUMPRODUCT(--('2026'!$A$5:$A$500=$C$1),--('2026'!$G$5:$G$500=$B5))</f>
        <v>0</v>
      </c>
      <c r="D5" s="50">
        <f>SUMPRODUCT(--('2026'!$A$5:$A$500=$C$1),--('2026'!$I$5:$I$500=$B5))+SUMPRODUCT(--('2026'!$A$5:$A$500=$C$1),--('2026'!$J$5:$J$500=$B5))</f>
        <v>0</v>
      </c>
      <c r="E5" s="50">
        <f>SUMPRODUCT(--('2026'!$A$5:$A$500=$E$1),--('2026'!$C$5:$C$500=$B5))+SUMPRODUCT(--('2026'!$A$5:$A$500=$E$1),--('2026'!$F$5:$F$500=$B5))+SUMPRODUCT(--('2026'!$A$5:$A$500=$E$1),--('2026'!$D$5:$D$500=$B5))+SUMPRODUCT(--('2026'!$A$5:$A$500=$E$1),--('2026'!$G$5:$G$500=$B5))</f>
        <v>0</v>
      </c>
      <c r="F5" s="50">
        <f>SUMPRODUCT(--('2026'!$A$5:$A$500=$E$1),--('2026'!$I$5:$I$500=$B5))+SUMPRODUCT(--('2026'!$A$5:$A$500=$E$1),--('2026'!$J$5:$J$500=$B5))</f>
        <v>0</v>
      </c>
      <c r="G5" s="50">
        <f>SUMPRODUCT(--('2026'!$A$5:$A$500=$G$1),--('2026'!$C$5:$C$500=$B5))+SUMPRODUCT(--('2026'!$A$5:$A$500=$G$1),--('2026'!$F$5:$F$500=$B5))+SUMPRODUCT(--('2026'!$A$5:$A$500=$G$1),--('2026'!$D$5:$D$500=$B5))+SUMPRODUCT(--('2026'!$A$5:$A$500=$G$1),--('2026'!$G$5:$G$500=$B5))</f>
        <v>0</v>
      </c>
      <c r="H5" s="80">
        <f>SUMPRODUCT(--('2026'!$A$5:$A$500=$G$1),--('2026'!$I$5:$I$500=$B5))+SUMPRODUCT(--('2026'!$A$5:$A$500=$G$1),--('2026'!$J$5:$J$500=$B5))</f>
        <v>0</v>
      </c>
      <c r="I5" s="50">
        <f>SUMPRODUCT(--('2026'!$A$5:$A$500=$I$1),--('2026'!$C$5:$C$500=$B5))+SUMPRODUCT(--('2026'!$A$5:$A$500=$I$1),--('2026'!$F$5:$F$500=$B5))+SUMPRODUCT(--('2026'!$A$5:$A$500=$I$1),--('2026'!$D$5:$D$500=$B5))+SUMPRODUCT(--('2026'!$A$5:$A$500=$I$1),--('2026'!$G$5:$G$500=$B5))</f>
        <v>0</v>
      </c>
      <c r="J5" s="50">
        <f>SUMPRODUCT(--('2026'!$A$5:$A$500=$I$1),--('2026'!$I$5:$I$500=$B5))+SUMPRODUCT(--('2026'!$A$5:$A$500=$I$1),--('2026'!$J$5:$J$500=$B5))</f>
        <v>0</v>
      </c>
      <c r="K5" s="50">
        <f>SUMPRODUCT(--('2026'!$A$5:$A$500=$K$1),--('2026'!$C$5:$C$500=$B5))+SUMPRODUCT(--('2026'!$A$5:$A$500=$K$1),--('2026'!$F$5:$F$500=$B5))+SUMPRODUCT(--('2026'!$A$5:$A$500=$K$1),--('2026'!$D$5:$D$500=$B5))+SUMPRODUCT(--('2026'!$A$5:$A$500=$K$1),--('2026'!$G$5:$G$500=$B5))</f>
        <v>0</v>
      </c>
      <c r="L5" s="50">
        <f>SUMPRODUCT(--('2026'!$A$5:$A$500=$K$1),--('2026'!$I$5:$I$500=$B5))+SUMPRODUCT(--('2026'!$A$5:$A$500=$K$1),--('2026'!$J$5:$J$500=$B5))</f>
        <v>0</v>
      </c>
      <c r="M5" s="50">
        <f>SUMPRODUCT(--('2026'!$A$5:$A$500=$M$1),--('2026'!$C$5:$C$500=$B5))+SUMPRODUCT(--('2026'!$A$5:$A$500=$M$1),--('2026'!$F$5:$F$500=$B5))+SUMPRODUCT(--('2026'!$A$5:$A$500=$M$1),--('2026'!$D$5:$D$500=$B5))+SUMPRODUCT(--('2026'!$A$5:$A$500=$M$1),--('2026'!$G$5:$G$500=$B5))</f>
        <v>0</v>
      </c>
      <c r="N5" s="50">
        <f>SUMPRODUCT(--('2026'!$A$5:$A$500=$M$1),--('2026'!$I$5:$I$500=$B5))+SUMPRODUCT(--('2026'!$A$5:$A$500=$M$1),--('2026'!$J$5:$J$500=$B5))</f>
        <v>0</v>
      </c>
      <c r="O5" s="50">
        <f>SUMPRODUCT(--('2026'!$A$5:$A$500=$O$1),--('2026'!$C$5:$C$500=$B5))+SUMPRODUCT(--('2026'!$A$5:$A$500=$O$1),--('2026'!$F$5:$F$500=$B5))+SUMPRODUCT(--('2026'!$A$5:$A$500=$O$1),--('2026'!$D$5:$D$500=$B5))+SUMPRODUCT(--('2026'!$A$5:$A$500=$O$1),--('2026'!$G$5:$G$500=$B5))</f>
        <v>0</v>
      </c>
      <c r="P5" s="80">
        <f>SUMPRODUCT(--('2026'!$A$5:$A$500=$O$1),--('2026'!$I$5:$I$500=$B5))+SUMPRODUCT(--('2026'!$A$5:$A$500=$O$1),--('2026'!$J$5:$J$500=$B5))</f>
        <v>0</v>
      </c>
      <c r="Q5" s="50">
        <f>SUMPRODUCT(--('2026'!$A$5:$A$500=$Q$1),--('2026'!$C$5:$C$500=$B5))+SUMPRODUCT(--('2026'!$A$5:$A$500=$Q$1),--('2026'!$F$5:$F$500=$B5))+SUMPRODUCT(--('2026'!$A$5:$A$500=$Q$1),--('2026'!$D$5:$D$500=$B5))+SUMPRODUCT(--('2026'!$A$5:$A$500=$Q$1),--('2026'!$G$5:$G$500=$B5))</f>
        <v>0</v>
      </c>
      <c r="R5" s="50">
        <f>SUMPRODUCT(--('2026'!$A$5:$A$500=$Q$1),--('2026'!$I$5:$I$500=$B5))+SUMPRODUCT(--('2026'!$A$5:$A$500=$Q$1),--('2026'!$J$5:$J$500=$B5))</f>
        <v>0</v>
      </c>
      <c r="S5" s="50">
        <f>SUMPRODUCT(--('2026'!$A$5:$A$500=$S$1),--('2026'!$C$5:$C$500=$B5))+SUMPRODUCT(--('2026'!$A$5:$A$500=$S$1),--('2026'!$F$5:$F$500=$B5))+SUMPRODUCT(--('2026'!$A$5:$A$500=$S$1),--('2026'!$D$5:$D$500=$B5))+SUMPRODUCT(--('2026'!$A$5:$A$500=$S$1),--('2026'!$G$5:$G$500=$B5))</f>
        <v>0</v>
      </c>
      <c r="T5" s="50">
        <f>SUMPRODUCT(--('2026'!$A$5:$A$500=$S$1),--('2026'!$I$5:$I$500=$B5))+SUMPRODUCT(--('2026'!$A$5:$A$500=$S$1),--('2026'!$J$5:$J$500=$B5))</f>
        <v>0</v>
      </c>
      <c r="U5" s="50">
        <f>SUMPRODUCT(--('2026'!$A$5:$A$500=$U$1),--('2026'!$C$5:$C$500=$B5))+SUMPRODUCT(--('2026'!$A$5:$A$500=$U$1),--('2026'!$F$5:$F$500=$B5))+SUMPRODUCT(--('2026'!$A$5:$A$500=$U$1),--('2026'!$D$5:$D$500=$B5))+SUMPRODUCT(--('2026'!$A$5:$A$500=$U$1),--('2026'!$G$5:$G$500=$B5))</f>
        <v>0</v>
      </c>
      <c r="V5" s="50">
        <f>SUMPRODUCT(--('2026'!$A$5:$A$500=$U$1),--('2026'!$I$5:$I$500=$B5))+SUMPRODUCT(--('2026'!$A$5:$A$500=$U$1),--('2026'!$J$5:$J$500=$B5))</f>
        <v>0</v>
      </c>
      <c r="W5" s="60">
        <f>SUMPRODUCT(--('2026'!$A$5:$A$500=$W$1),--('2026'!$C$5:$C$500=$B5))+SUMPRODUCT(--('2026'!$A$5:$A$500=$W$1),--('2026'!$F$5:$F$500=$B5))+SUMPRODUCT(--('2026'!$A$5:$A$500=$W$1),--('2026'!$D$5:$D$500=$B5))+SUMPRODUCT(--('2026'!$A$5:$A$500=$W$1),--('2026'!$G$5:$G$500=$B5))</f>
        <v>0</v>
      </c>
      <c r="X5" s="60">
        <f>SUMPRODUCT(--('2026'!$A$5:$A$500=$W$1),--('2026'!$I$5:$I$500=$B5))+SUMPRODUCT(--('2026'!$A$5:$A$500=$W$1),--('2026'!$J$5:$J$500=$B5))</f>
        <v>0</v>
      </c>
      <c r="Y5" s="51">
        <f>SUMPRODUCT(--('2026'!$A$5:$A$500=$Y$1),--('2026'!$C$5:$C$500=$B5))+SUMPRODUCT(--('2026'!$A$5:$A$500=$Y$1),--('2026'!$F$5:$F$500=$B5))+SUMPRODUCT(--('2026'!$A$5:$A$500=$Y$1),--('2026'!$D$5:$D$500=$B5))+SUMPRODUCT(--('2026'!$A$5:$A$500=$Y$1),--('2026'!$G$5:$G$500=$B5))</f>
        <v>0</v>
      </c>
      <c r="Z5" s="51">
        <f>SUMPRODUCT(--('2026'!$A$5:$A$500=$Y$1),--('2026'!$I$5:$I$500=$B5))+SUMPRODUCT(--('2026'!$A$5:$A$500=$Y$1),--('2026'!$J$5:$J$500=$B5))</f>
        <v>0</v>
      </c>
      <c r="AA5" s="51">
        <f>SUMPRODUCT(--('2026'!$A$5:$A$500=$AA$1),--('2026'!$C$5:$C$500=$B5))+SUMPRODUCT(--('2026'!$A$5:$A$500=$AA$1),--('2026'!$F$5:$F$500=$B5))+SUMPRODUCT(--('2026'!$A$5:$A$500=$AA$1),--('2026'!$D$5:$D$500=$B5))+SUMPRODUCT(--('2026'!$A$5:$A$500=$AA$1),--('2026'!$G$5:$G$500=$B5))</f>
        <v>0</v>
      </c>
      <c r="AB5" s="51">
        <f>SUMPRODUCT(--('2026'!$A$5:$A$500=$AA$1),--('2026'!$I$5:$I$500=$B5))+SUMPRODUCT(--('2026'!$A$5:$A$500=$AA$1),--('2026'!$J$5:$J$500=$B5))</f>
        <v>0</v>
      </c>
      <c r="AC5" s="51">
        <f>SUMPRODUCT(--('2026'!$A$5:$A$500=$AC$1),--('2026'!$C$5:$C$500=$B5))+SUMPRODUCT(--('2026'!$A$5:$A$500=$AC$1),--('2026'!$F$5:$F$500=$B5))+SUMPRODUCT(--('2026'!$A$5:$A$500=$AC$1),--('2026'!$D$5:$D$500=$B5))+SUMPRODUCT(--('2026'!$A$5:$A$500=$AC$1),--('2026'!$G$5:$G$500=$B5))</f>
        <v>0</v>
      </c>
      <c r="AD5" s="51">
        <f>SUMPRODUCT(--('2026'!$A$5:$A$500=$AC$1),--('2026'!$I$5:$I$500=$B5))+SUMPRODUCT(--('2026'!$A$5:$A$500=$AC$1),--('2026'!$J$5:$J$500=$B5))</f>
        <v>0</v>
      </c>
      <c r="AE5" s="61">
        <f>SUMPRODUCT(--('2026'!$A$5:$A$500=$AE$1),--('2026'!$C$5:$C$500=$B5))+SUMPRODUCT(--('2026'!$A$5:$A$500=$AE$1),--('2026'!$F$5:$F$500=$B5))+SUMPRODUCT(--('2026'!$A$5:$A$500=$AE$1),--('2026'!$D$5:$D$500=$B5))+SUMPRODUCT(--('2026'!$A$5:$A$500=$AE$1),--('2026'!$G$5:$G$500=$B5))</f>
        <v>0</v>
      </c>
      <c r="AF5" s="61">
        <f>SUMPRODUCT(--('2026'!$A$5:$A$500=$AE$1),--('2026'!$I$5:$I$500=$B5))+SUMPRODUCT(--('2026'!$A$5:$A$500=$AE$1),--('2026'!$J$5:$J$500=$B5))</f>
        <v>0</v>
      </c>
      <c r="AG5" s="51">
        <f>SUMPRODUCT(--('2026'!$A$5:$A$500=$AG$1),--('2026'!$C$5:$C$500=$B5))+SUMPRODUCT(--('2026'!$A$5:$A$500=$AG$1),--('2026'!$F$5:$F$500=$B5))+SUMPRODUCT(--('2026'!$A$5:$A$500=$AG$1),--('2026'!$D$5:$D$500=$B5))+SUMPRODUCT(--('2026'!$A$5:$A$500=$AG$1),--('2026'!$G$5:$G$500=$B5))</f>
        <v>0</v>
      </c>
      <c r="AH5" s="51">
        <f>SUMPRODUCT(--('2026'!$A$5:$A$500=$AG$1),--('2026'!$I$5:$I$500=$B5))+SUMPRODUCT(--('2026'!$A$5:$A$500=$AG$1),--('2026'!$J$5:$J$500=$B5))</f>
        <v>0</v>
      </c>
      <c r="AI5" s="51">
        <f>SUMPRODUCT(--('2026'!$A$5:$A$500=$AI$1),--('2026'!$C$5:$C$500=$B5))+SUMPRODUCT(--('2026'!$A$5:$A$500=$AI$1),--('2026'!$F$5:$F$500=$B5))+SUMPRODUCT(--('2026'!$A$5:$A$500=$AI$1),--('2026'!$D$5:$D$500=$B5))+SUMPRODUCT(--('2026'!$A$5:$A$500=$AI$1),--('2026'!$G$5:$G$500=$B5))</f>
        <v>0</v>
      </c>
      <c r="AJ5" s="51">
        <f>SUMPRODUCT(--('2026'!$A$5:$A$500=$AI$1),--('2026'!$I$5:$I$500=$B5))+SUMPRODUCT(--('2026'!$A$5:$A$500=$AI$1),--('2026'!$J$5:$J$500=$B5))</f>
        <v>0</v>
      </c>
      <c r="AK5" s="51">
        <f>SUMPRODUCT(--('2026'!$A$5:$A$500=$AK$1),--('2026'!$C$5:$C$500=$B5))+SUMPRODUCT(--('2026'!$A$5:$A$500=$AK$1),--('2026'!$F$5:$F$500=$B5))+SUMPRODUCT(--('2026'!$A$5:$A$500=$AK$1),--('2026'!$D$5:$D$500=$B5))+SUMPRODUCT(--('2026'!$A$5:$A$500=$AK$1),--('2026'!$G$5:$G$500=$B5))</f>
        <v>0</v>
      </c>
      <c r="AL5" s="51">
        <f>SUMPRODUCT(--('2026'!$A$5:$A$500=$AK$1),--('2026'!$I$5:$I$500=$B5))+SUMPRODUCT(--('2026'!$A$5:$A$500=$AK$1),--('2026'!$J$5:$J$500=$B5))</f>
        <v>0</v>
      </c>
      <c r="AM5" s="51">
        <f>SUMPRODUCT(--('2026'!$A$5:$A$500=$AM$1),--('2026'!$C$5:$C$500=$B5))+SUMPRODUCT(--('2026'!$A$5:$A$500=$AM$1),--('2026'!$F$5:$F$500=$B5))+SUMPRODUCT(--('2026'!$A$5:$A$500=$AM$1),--('2026'!$D$5:$D$500=$B5))+SUMPRODUCT(--('2026'!$A$5:$A$500=$AM$1),--('2026'!$G$5:$G$500=$B5))</f>
        <v>0</v>
      </c>
      <c r="AN5" s="51">
        <f>SUMPRODUCT(--('2026'!$A$5:$A$500=$AM$1),--('2026'!$I$5:$I$500=$B5))+SUMPRODUCT(--('2026'!$A$5:$A$500=$AM$1),--('2026'!$J$5:$J$500=$B5))</f>
        <v>0</v>
      </c>
      <c r="AO5" s="51">
        <f>SUMPRODUCT(--('2026'!$A$5:$A$500=$AO$1),--('2026'!$C$5:$C$500=$B5))+SUMPRODUCT(--('2026'!$A$5:$A$500=$AO$1),--('2026'!$F$5:$F$500=$B5))+SUMPRODUCT(--('2026'!$A$5:$A$500=$AO$1),--('2026'!$D$5:$D$500=$B5))+SUMPRODUCT(--('2026'!$A$5:$A$500=$AO$1),--('2026'!$G$5:$G$500=$B5))</f>
        <v>0</v>
      </c>
      <c r="AP5" s="51">
        <f>SUMPRODUCT(--('2026'!$A$5:$A$500=$AO$1),--('2026'!$I$5:$I$500=$B5))+SUMPRODUCT(--('2026'!$A$5:$A$500=$AO$1),--('2026'!$J$5:$J$500=$B5))</f>
        <v>0</v>
      </c>
      <c r="AQ5" s="51">
        <f>SUMPRODUCT(--('2026'!$A$5:$A$500=$AQ$1),--('2026'!$C$5:$C$500=$B5))+SUMPRODUCT(--('2026'!$A$5:$A$500=$AQ$1),--('2026'!$F$5:$F$500=$B5))+SUMPRODUCT(--('2026'!$A$5:$A$500=$AQ$1),--('2026'!$D$5:$D$500=$B5))+SUMPRODUCT(--('2026'!$A$5:$A$500=$AQ$1),--('2026'!$G$5:$G$500=$B5))</f>
        <v>0</v>
      </c>
      <c r="AR5" s="51">
        <f>SUMPRODUCT(--('2026'!$A$5:$A$500=$AQ$1),--('2026'!$I$5:$I$500=$B5))+SUMPRODUCT(--('2026'!$A$5:$A$500=$AQ$1),--('2026'!$J$5:$J$500=$B5))</f>
        <v>0</v>
      </c>
      <c r="AS5" s="51">
        <f>SUMPRODUCT(--('2026'!$A$5:$A$500=$AS$1),--('2026'!$C$5:$C$500=$B5))+SUMPRODUCT(--('2026'!$A$5:$A$500=$AS$1),--('2026'!$F$5:$F$500=$B5))+SUMPRODUCT(--('2026'!$A$5:$A$500=$AS$1),--('2026'!$D$5:$D$500=$B5))+SUMPRODUCT(--('2026'!$A$5:$A$500=$AS$1),--('2026'!$G$5:$G$500=$B5))</f>
        <v>0</v>
      </c>
      <c r="AT5" s="51">
        <f>SUMPRODUCT(--('2026'!$A$5:$A$500=$AS$1),--('2026'!$I$5:$I$500=$B5))+SUMPRODUCT(--('2026'!$A$5:$A$500=$AS$1),--('2026'!$J$5:$J$500=$B5))</f>
        <v>0</v>
      </c>
      <c r="AU5" s="51">
        <f>SUMPRODUCT(--('2026'!$A$5:$A$500=$AU$1),--('2026'!$C$5:$C$500=$B5))+SUMPRODUCT(--('2026'!$A$5:$A$500=$AU$1),--('2026'!$F$5:$F$500=$B5))+SUMPRODUCT(--('2026'!$A$5:$A$500=$AU$1),--('2026'!$D$5:$D$500=$B5))+SUMPRODUCT(--('2026'!$A$5:$A$500=$AU$1),--('2026'!$G$5:$G$500=$B5))</f>
        <v>0</v>
      </c>
      <c r="AV5" s="51">
        <f>SUMPRODUCT(--('2026'!$A$5:$A$500=$AU$1),--('2026'!$I$5:$I$500=$B5))+SUMPRODUCT(--('2026'!$A$5:$A$500=$AU$1),--('2026'!$J$5:$J$500=$B5))</f>
        <v>0</v>
      </c>
      <c r="AW5" s="51">
        <f>SUMPRODUCT(--('2026'!$A$5:$A$500=$AW$1),--('2026'!$C$5:$C$500=$B5))+SUMPRODUCT(--('2026'!$A$5:$A$500=$AW$1),--('2026'!$F$5:$F$500=$B5))+SUMPRODUCT(--('2026'!$A$5:$A$500=$AW$1),--('2026'!$D$5:$D$500=$B5))+SUMPRODUCT(--('2026'!$A$5:$A$500=$AW$1),--('2026'!$G$5:$G$500=$B5))</f>
        <v>0</v>
      </c>
      <c r="AX5" s="51">
        <f>SUMPRODUCT(--('2026'!$A$5:$A$500=$AW$1),--('2026'!$I$5:$I$500=$B5))+SUMPRODUCT(--('2026'!$A$5:$A$500=$AW$1),--('2026'!$J$5:$J$500=$B5))</f>
        <v>0</v>
      </c>
      <c r="BA5" s="54" t="s">
        <v>95</v>
      </c>
      <c r="BB5" s="47">
        <f t="shared" si="0"/>
        <v>0</v>
      </c>
      <c r="BC5" s="52">
        <f t="shared" si="1"/>
        <v>0</v>
      </c>
    </row>
    <row r="6" spans="1:55" ht="15" x14ac:dyDescent="0.25">
      <c r="A6">
        <v>4</v>
      </c>
      <c r="B6" s="54" t="s">
        <v>70</v>
      </c>
      <c r="C6" s="50">
        <f>SUMPRODUCT(--('2026'!$A$5:$A$500=$C$1),--('2026'!$C$5:$C$500=$B6))+SUMPRODUCT(--('2026'!$A$5:$A$500=$C$1),--('2026'!$F$5:$F$500=$B6))+SUMPRODUCT(--('2026'!$A$5:$A$500=$C$1),--('2026'!$D$5:$D$500=$B6))+SUMPRODUCT(--('2026'!$A$5:$A$500=$C$1),--('2026'!$G$5:$G$500=$B6))</f>
        <v>0</v>
      </c>
      <c r="D6" s="50">
        <f>SUMPRODUCT(--('2026'!$A$5:$A$500=$C$1),--('2026'!$I$5:$I$500=$B6))+SUMPRODUCT(--('2026'!$A$5:$A$500=$C$1),--('2026'!$J$5:$J$500=$B6))</f>
        <v>0</v>
      </c>
      <c r="E6" s="79">
        <f>SUMPRODUCT(--('2026'!$A$5:$A$500=$E$1),--('2026'!$C$5:$C$500=$B6))+SUMPRODUCT(--('2026'!$A$5:$A$500=$E$1),--('2026'!$F$5:$F$500=$B6))+SUMPRODUCT(--('2026'!$A$5:$A$500=$E$1),--('2026'!$D$5:$D$500=$B6))+SUMPRODUCT(--('2026'!$A$5:$A$500=$E$1),--('2026'!$G$5:$G$500=$B6))</f>
        <v>0</v>
      </c>
      <c r="F6" s="81">
        <f>SUMPRODUCT(--('2026'!$A$5:$A$500=$E$1),--('2026'!$I$5:$I$500=$B6))+SUMPRODUCT(--('2026'!$A$5:$A$500=$E$1),--('2026'!$J$5:$J$500=$B6))</f>
        <v>0</v>
      </c>
      <c r="G6" s="50">
        <f>SUMPRODUCT(--('2026'!$A$5:$A$500=$G$1),--('2026'!$C$5:$C$500=$B6))+SUMPRODUCT(--('2026'!$A$5:$A$500=$G$1),--('2026'!$F$5:$F$500=$B6))+SUMPRODUCT(--('2026'!$A$5:$A$500=$G$1),--('2026'!$D$5:$D$500=$B6))+SUMPRODUCT(--('2026'!$A$5:$A$500=$G$1),--('2026'!$G$5:$G$500=$B6))</f>
        <v>0</v>
      </c>
      <c r="H6" s="50">
        <f>SUMPRODUCT(--('2026'!$A$5:$A$500=$G$1),--('2026'!$I$5:$I$500=$B6))+SUMPRODUCT(--('2026'!$A$5:$A$500=$G$1),--('2026'!$J$5:$J$500=$B6))</f>
        <v>0</v>
      </c>
      <c r="I6" s="50">
        <f>SUMPRODUCT(--('2026'!$A$5:$A$500=$I$1),--('2026'!$C$5:$C$500=$B6))+SUMPRODUCT(--('2026'!$A$5:$A$500=$I$1),--('2026'!$F$5:$F$500=$B6))+SUMPRODUCT(--('2026'!$A$5:$A$500=$I$1),--('2026'!$D$5:$D$500=$B6))+SUMPRODUCT(--('2026'!$A$5:$A$500=$I$1),--('2026'!$G$5:$G$500=$B6))</f>
        <v>0</v>
      </c>
      <c r="J6" s="50">
        <f>SUMPRODUCT(--('2026'!$A$5:$A$500=$I$1),--('2026'!$I$5:$I$500=$B6))+SUMPRODUCT(--('2026'!$A$5:$A$500=$I$1),--('2026'!$J$5:$J$500=$B6))</f>
        <v>0</v>
      </c>
      <c r="K6" s="50">
        <f>SUMPRODUCT(--('2026'!$A$5:$A$500=$K$1),--('2026'!$C$5:$C$500=$B6))+SUMPRODUCT(--('2026'!$A$5:$A$500=$K$1),--('2026'!$F$5:$F$500=$B6))+SUMPRODUCT(--('2026'!$A$5:$A$500=$K$1),--('2026'!$D$5:$D$500=$B6))+SUMPRODUCT(--('2026'!$A$5:$A$500=$K$1),--('2026'!$G$5:$G$500=$B6))</f>
        <v>0</v>
      </c>
      <c r="L6" s="50">
        <f>SUMPRODUCT(--('2026'!$A$5:$A$500=$K$1),--('2026'!$I$5:$I$500=$B6))+SUMPRODUCT(--('2026'!$A$5:$A$500=$K$1),--('2026'!$J$5:$J$500=$B6))</f>
        <v>0</v>
      </c>
      <c r="M6" s="50">
        <f>SUMPRODUCT(--('2026'!$A$5:$A$500=$M$1),--('2026'!$C$5:$C$500=$B6))+SUMPRODUCT(--('2026'!$A$5:$A$500=$M$1),--('2026'!$F$5:$F$500=$B6))+SUMPRODUCT(--('2026'!$A$5:$A$500=$M$1),--('2026'!$D$5:$D$500=$B6))+SUMPRODUCT(--('2026'!$A$5:$A$500=$M$1),--('2026'!$G$5:$G$500=$B6))</f>
        <v>0</v>
      </c>
      <c r="N6" s="50">
        <f>SUMPRODUCT(--('2026'!$A$5:$A$500=$M$1),--('2026'!$I$5:$I$500=$B6))+SUMPRODUCT(--('2026'!$A$5:$A$500=$M$1),--('2026'!$J$5:$J$500=$B6))</f>
        <v>0</v>
      </c>
      <c r="O6" s="50">
        <f>SUMPRODUCT(--('2026'!$A$5:$A$500=$O$1),--('2026'!$C$5:$C$500=$B6))+SUMPRODUCT(--('2026'!$A$5:$A$500=$O$1),--('2026'!$F$5:$F$500=$B6))+SUMPRODUCT(--('2026'!$A$5:$A$500=$O$1),--('2026'!$D$5:$D$500=$B6))+SUMPRODUCT(--('2026'!$A$5:$A$500=$O$1),--('2026'!$G$5:$G$500=$B6))</f>
        <v>0</v>
      </c>
      <c r="P6" s="50">
        <f>SUMPRODUCT(--('2026'!$A$5:$A$500=$O$1),--('2026'!$I$5:$I$500=$B6))+SUMPRODUCT(--('2026'!$A$5:$A$500=$O$1),--('2026'!$J$5:$J$500=$B6))</f>
        <v>0</v>
      </c>
      <c r="Q6" s="50">
        <f>SUMPRODUCT(--('2026'!$A$5:$A$500=$Q$1),--('2026'!$C$5:$C$500=$B6))+SUMPRODUCT(--('2026'!$A$5:$A$500=$Q$1),--('2026'!$F$5:$F$500=$B6))+SUMPRODUCT(--('2026'!$A$5:$A$500=$Q$1),--('2026'!$D$5:$D$500=$B6))+SUMPRODUCT(--('2026'!$A$5:$A$500=$Q$1),--('2026'!$G$5:$G$500=$B6))</f>
        <v>0</v>
      </c>
      <c r="R6" s="50">
        <f>SUMPRODUCT(--('2026'!$A$5:$A$500=$Q$1),--('2026'!$I$5:$I$500=$B6))+SUMPRODUCT(--('2026'!$A$5:$A$500=$Q$1),--('2026'!$J$5:$J$500=$B6))</f>
        <v>0</v>
      </c>
      <c r="S6" s="50">
        <f>SUMPRODUCT(--('2026'!$A$5:$A$500=$S$1),--('2026'!$C$5:$C$500=$B6))+SUMPRODUCT(--('2026'!$A$5:$A$500=$S$1),--('2026'!$F$5:$F$500=$B6))+SUMPRODUCT(--('2026'!$A$5:$A$500=$S$1),--('2026'!$D$5:$D$500=$B6))+SUMPRODUCT(--('2026'!$A$5:$A$500=$S$1),--('2026'!$G$5:$G$500=$B6))</f>
        <v>0</v>
      </c>
      <c r="T6" s="50">
        <f>SUMPRODUCT(--('2026'!$A$5:$A$500=$S$1),--('2026'!$I$5:$I$500=$B6))+SUMPRODUCT(--('2026'!$A$5:$A$500=$S$1),--('2026'!$J$5:$J$500=$B6))</f>
        <v>0</v>
      </c>
      <c r="U6" s="50">
        <f>SUMPRODUCT(--('2026'!$A$5:$A$500=$U$1),--('2026'!$C$5:$C$500=$B6))+SUMPRODUCT(--('2026'!$A$5:$A$500=$U$1),--('2026'!$F$5:$F$500=$B6))+SUMPRODUCT(--('2026'!$A$5:$A$500=$U$1),--('2026'!$D$5:$D$500=$B6))+SUMPRODUCT(--('2026'!$A$5:$A$500=$U$1),--('2026'!$G$5:$G$500=$B6))</f>
        <v>0</v>
      </c>
      <c r="V6" s="80">
        <f>SUMPRODUCT(--('2026'!$A$5:$A$500=$U$1),--('2026'!$I$5:$I$500=$B6))+SUMPRODUCT(--('2026'!$A$5:$A$500=$U$1),--('2026'!$J$5:$J$500=$B6))</f>
        <v>0</v>
      </c>
      <c r="W6" s="60">
        <f>SUMPRODUCT(--('2026'!$A$5:$A$500=$W$1),--('2026'!$C$5:$C$500=$B6))+SUMPRODUCT(--('2026'!$A$5:$A$500=$W$1),--('2026'!$F$5:$F$500=$B6))+SUMPRODUCT(--('2026'!$A$5:$A$500=$W$1),--('2026'!$D$5:$D$500=$B6))+SUMPRODUCT(--('2026'!$A$5:$A$500=$W$1),--('2026'!$G$5:$G$500=$B6))</f>
        <v>0</v>
      </c>
      <c r="X6" s="60">
        <f>SUMPRODUCT(--('2026'!$A$5:$A$500=$W$1),--('2026'!$I$5:$I$500=$B6))+SUMPRODUCT(--('2026'!$A$5:$A$500=$W$1),--('2026'!$J$5:$J$500=$B6))</f>
        <v>0</v>
      </c>
      <c r="Y6" s="50">
        <f>SUMPRODUCT(--('2026'!$A$5:$A$500=$Y$1),--('2026'!$C$5:$C$500=$B6))+SUMPRODUCT(--('2026'!$A$5:$A$500=$Y$1),--('2026'!$F$5:$F$500=$B6))+SUMPRODUCT(--('2026'!$A$5:$A$500=$Y$1),--('2026'!$D$5:$D$500=$B6))+SUMPRODUCT(--('2026'!$A$5:$A$500=$Y$1),--('2026'!$G$5:$G$500=$B6))</f>
        <v>0</v>
      </c>
      <c r="Z6" s="50">
        <f>SUMPRODUCT(--('2026'!$A$5:$A$500=$Y$1),--('2026'!$I$5:$I$500=$B6))+SUMPRODUCT(--('2026'!$A$5:$A$500=$Y$1),--('2026'!$J$5:$J$500=$B6))</f>
        <v>0</v>
      </c>
      <c r="AA6" s="50">
        <f>SUMPRODUCT(--('2026'!$A$5:$A$500=$AA$1),--('2026'!$C$5:$C$500=$B6))+SUMPRODUCT(--('2026'!$A$5:$A$500=$AA$1),--('2026'!$F$5:$F$500=$B6))+SUMPRODUCT(--('2026'!$A$5:$A$500=$AA$1),--('2026'!$D$5:$D$500=$B6))+SUMPRODUCT(--('2026'!$A$5:$A$500=$AA$1),--('2026'!$G$5:$G$500=$B6))</f>
        <v>0</v>
      </c>
      <c r="AB6" s="50">
        <f>SUMPRODUCT(--('2026'!$A$5:$A$500=$AA$1),--('2026'!$I$5:$I$500=$B6))+SUMPRODUCT(--('2026'!$A$5:$A$500=$AA$1),--('2026'!$J$5:$J$500=$B6))</f>
        <v>0</v>
      </c>
      <c r="AC6" s="50">
        <f>SUMPRODUCT(--('2026'!$A$5:$A$500=$AC$1),--('2026'!$C$5:$C$500=$B6))+SUMPRODUCT(--('2026'!$A$5:$A$500=$AC$1),--('2026'!$F$5:$F$500=$B6))+SUMPRODUCT(--('2026'!$A$5:$A$500=$AC$1),--('2026'!$D$5:$D$500=$B6))+SUMPRODUCT(--('2026'!$A$5:$A$500=$AC$1),--('2026'!$G$5:$G$500=$B6))</f>
        <v>0</v>
      </c>
      <c r="AD6" s="50">
        <f>SUMPRODUCT(--('2026'!$A$5:$A$500=$AC$1),--('2026'!$I$5:$I$500=$B6))+SUMPRODUCT(--('2026'!$A$5:$A$500=$AC$1),--('2026'!$J$5:$J$500=$B6))</f>
        <v>0</v>
      </c>
      <c r="AE6" s="60">
        <f>SUMPRODUCT(--('2026'!$A$5:$A$500=$AE$1),--('2026'!$C$5:$C$500=$B6))+SUMPRODUCT(--('2026'!$A$5:$A$500=$AE$1),--('2026'!$F$5:$F$500=$B6))+SUMPRODUCT(--('2026'!$A$5:$A$500=$AE$1),--('2026'!$D$5:$D$500=$B6))+SUMPRODUCT(--('2026'!$A$5:$A$500=$AE$1),--('2026'!$G$5:$G$500=$B6))</f>
        <v>0</v>
      </c>
      <c r="AF6" s="60">
        <f>SUMPRODUCT(--('2026'!$A$5:$A$500=$AE$1),--('2026'!$I$5:$I$500=$B6))+SUMPRODUCT(--('2026'!$A$5:$A$500=$AE$1),--('2026'!$J$5:$J$500=$B6))</f>
        <v>0</v>
      </c>
      <c r="AG6" s="50">
        <f>SUMPRODUCT(--('2026'!$A$5:$A$500=$AG$1),--('2026'!$C$5:$C$500=$B6))+SUMPRODUCT(--('2026'!$A$5:$A$500=$AG$1),--('2026'!$F$5:$F$500=$B6))+SUMPRODUCT(--('2026'!$A$5:$A$500=$AG$1),--('2026'!$D$5:$D$500=$B6))+SUMPRODUCT(--('2026'!$A$5:$A$500=$AG$1),--('2026'!$G$5:$G$500=$B6))</f>
        <v>0</v>
      </c>
      <c r="AH6" s="50">
        <f>SUMPRODUCT(--('2026'!$A$5:$A$500=$AG$1),--('2026'!$I$5:$I$500=$B6))+SUMPRODUCT(--('2026'!$A$5:$A$500=$AG$1),--('2026'!$J$5:$J$500=$B6))</f>
        <v>0</v>
      </c>
      <c r="AI6" s="50">
        <f>SUMPRODUCT(--('2026'!$A$5:$A$500=$AI$1),--('2026'!$C$5:$C$500=$B6))+SUMPRODUCT(--('2026'!$A$5:$A$500=$AI$1),--('2026'!$F$5:$F$500=$B6))+SUMPRODUCT(--('2026'!$A$5:$A$500=$AI$1),--('2026'!$D$5:$D$500=$B6))+SUMPRODUCT(--('2026'!$A$5:$A$500=$AI$1),--('2026'!$G$5:$G$500=$B6))</f>
        <v>0</v>
      </c>
      <c r="AJ6" s="50">
        <f>SUMPRODUCT(--('2026'!$A$5:$A$500=$AI$1),--('2026'!$I$5:$I$500=$B6))+SUMPRODUCT(--('2026'!$A$5:$A$500=$AI$1),--('2026'!$J$5:$J$500=$B6))</f>
        <v>0</v>
      </c>
      <c r="AK6" s="50">
        <f>SUMPRODUCT(--('2026'!$A$5:$A$500=$AK$1),--('2026'!$C$5:$C$500=$B6))+SUMPRODUCT(--('2026'!$A$5:$A$500=$AK$1),--('2026'!$F$5:$F$500=$B6))+SUMPRODUCT(--('2026'!$A$5:$A$500=$AK$1),--('2026'!$D$5:$D$500=$B6))+SUMPRODUCT(--('2026'!$A$5:$A$500=$AK$1),--('2026'!$G$5:$G$500=$B6))</f>
        <v>0</v>
      </c>
      <c r="AL6" s="50">
        <f>SUMPRODUCT(--('2026'!$A$5:$A$500=$AK$1),--('2026'!$I$5:$I$500=$B6))+SUMPRODUCT(--('2026'!$A$5:$A$500=$AK$1),--('2026'!$J$5:$J$500=$B6))</f>
        <v>0</v>
      </c>
      <c r="AM6" s="50">
        <f>SUMPRODUCT(--('2026'!$A$5:$A$500=$AM$1),--('2026'!$C$5:$C$500=$B6))+SUMPRODUCT(--('2026'!$A$5:$A$500=$AM$1),--('2026'!$F$5:$F$500=$B6))+SUMPRODUCT(--('2026'!$A$5:$A$500=$AM$1),--('2026'!$D$5:$D$500=$B6))+SUMPRODUCT(--('2026'!$A$5:$A$500=$AM$1),--('2026'!$G$5:$G$500=$B6))</f>
        <v>0</v>
      </c>
      <c r="AN6" s="50">
        <f>SUMPRODUCT(--('2026'!$A$5:$A$500=$AM$1),--('2026'!$I$5:$I$500=$B6))+SUMPRODUCT(--('2026'!$A$5:$A$500=$AM$1),--('2026'!$J$5:$J$500=$B6))</f>
        <v>0</v>
      </c>
      <c r="AO6" s="50">
        <f>SUMPRODUCT(--('2026'!$A$5:$A$500=$AO$1),--('2026'!$C$5:$C$500=$B6))+SUMPRODUCT(--('2026'!$A$5:$A$500=$AO$1),--('2026'!$F$5:$F$500=$B6))+SUMPRODUCT(--('2026'!$A$5:$A$500=$AO$1),--('2026'!$D$5:$D$500=$B6))+SUMPRODUCT(--('2026'!$A$5:$A$500=$AO$1),--('2026'!$G$5:$G$500=$B6))</f>
        <v>0</v>
      </c>
      <c r="AP6" s="50">
        <f>SUMPRODUCT(--('2026'!$A$5:$A$500=$AO$1),--('2026'!$I$5:$I$500=$B6))+SUMPRODUCT(--('2026'!$A$5:$A$500=$AO$1),--('2026'!$J$5:$J$500=$B6))</f>
        <v>0</v>
      </c>
      <c r="AQ6" s="50">
        <f>SUMPRODUCT(--('2026'!$A$5:$A$500=$AQ$1),--('2026'!$C$5:$C$500=$B6))+SUMPRODUCT(--('2026'!$A$5:$A$500=$AQ$1),--('2026'!$F$5:$F$500=$B6))+SUMPRODUCT(--('2026'!$A$5:$A$500=$AQ$1),--('2026'!$D$5:$D$500=$B6))+SUMPRODUCT(--('2026'!$A$5:$A$500=$AQ$1),--('2026'!$G$5:$G$500=$B6))</f>
        <v>0</v>
      </c>
      <c r="AR6" s="50">
        <f>SUMPRODUCT(--('2026'!$A$5:$A$500=$AQ$1),--('2026'!$I$5:$I$500=$B6))+SUMPRODUCT(--('2026'!$A$5:$A$500=$AQ$1),--('2026'!$J$5:$J$500=$B6))</f>
        <v>0</v>
      </c>
      <c r="AS6" s="50">
        <f>SUMPRODUCT(--('2026'!$A$5:$A$500=$AS$1),--('2026'!$C$5:$C$500=$B6))+SUMPRODUCT(--('2026'!$A$5:$A$500=$AS$1),--('2026'!$F$5:$F$500=$B6))+SUMPRODUCT(--('2026'!$A$5:$A$500=$AS$1),--('2026'!$D$5:$D$500=$B6))+SUMPRODUCT(--('2026'!$A$5:$A$500=$AS$1),--('2026'!$G$5:$G$500=$B6))</f>
        <v>0</v>
      </c>
      <c r="AT6" s="50">
        <f>SUMPRODUCT(--('2026'!$A$5:$A$500=$AS$1),--('2026'!$I$5:$I$500=$B6))+SUMPRODUCT(--('2026'!$A$5:$A$500=$AS$1),--('2026'!$J$5:$J$500=$B6))</f>
        <v>0</v>
      </c>
      <c r="AU6" s="50">
        <f>SUMPRODUCT(--('2026'!$A$5:$A$500=$AU$1),--('2026'!$C$5:$C$500=$B6))+SUMPRODUCT(--('2026'!$A$5:$A$500=$AU$1),--('2026'!$F$5:$F$500=$B6))+SUMPRODUCT(--('2026'!$A$5:$A$500=$AU$1),--('2026'!$D$5:$D$500=$B6))+SUMPRODUCT(--('2026'!$A$5:$A$500=$AU$1),--('2026'!$G$5:$G$500=$B6))</f>
        <v>0</v>
      </c>
      <c r="AV6" s="50">
        <f>SUMPRODUCT(--('2026'!$A$5:$A$500=$AU$1),--('2026'!$I$5:$I$500=$B6))+SUMPRODUCT(--('2026'!$A$5:$A$500=$AU$1),--('2026'!$J$5:$J$500=$B6))</f>
        <v>0</v>
      </c>
      <c r="AW6" s="50">
        <f>SUMPRODUCT(--('2026'!$A$5:$A$500=$AW$1),--('2026'!$C$5:$C$500=$B6))+SUMPRODUCT(--('2026'!$A$5:$A$500=$AW$1),--('2026'!$F$5:$F$500=$B6))+SUMPRODUCT(--('2026'!$A$5:$A$500=$AW$1),--('2026'!$D$5:$D$500=$B6))+SUMPRODUCT(--('2026'!$A$5:$A$500=$AW$1),--('2026'!$G$5:$G$500=$B6))</f>
        <v>0</v>
      </c>
      <c r="AX6" s="50">
        <f>SUMPRODUCT(--('2026'!$A$5:$A$500=$AW$1),--('2026'!$I$5:$I$500=$B6))+SUMPRODUCT(--('2026'!$A$5:$A$500=$AW$1),--('2026'!$J$5:$J$500=$B6))</f>
        <v>0</v>
      </c>
      <c r="BA6" s="54" t="s">
        <v>70</v>
      </c>
      <c r="BB6" s="47">
        <f t="shared" si="0"/>
        <v>0</v>
      </c>
      <c r="BC6" s="52">
        <f t="shared" si="1"/>
        <v>0</v>
      </c>
    </row>
    <row r="7" spans="1:55" ht="15" x14ac:dyDescent="0.25">
      <c r="A7">
        <v>5</v>
      </c>
      <c r="B7" s="54" t="s">
        <v>125</v>
      </c>
      <c r="C7" s="50">
        <f>SUMPRODUCT(--('2026'!$A$5:$A$500=$C$1),--('2026'!$C$5:$C$500=$B7))+SUMPRODUCT(--('2026'!$A$5:$A$500=$C$1),--('2026'!$F$5:$F$500=$B7))+SUMPRODUCT(--('2026'!$A$5:$A$500=$C$1),--('2026'!$D$5:$D$500=$B7))+SUMPRODUCT(--('2026'!$A$5:$A$500=$C$1),--('2026'!$G$5:$G$500=$B7))</f>
        <v>0</v>
      </c>
      <c r="D7" s="50">
        <f>SUMPRODUCT(--('2026'!$A$5:$A$500=$C$1),--('2026'!$I$5:$I$500=$B7))+SUMPRODUCT(--('2026'!$A$5:$A$500=$C$1),--('2026'!$J$5:$J$500=$B7))</f>
        <v>0</v>
      </c>
      <c r="E7" s="50">
        <f>SUMPRODUCT(--('2026'!$A$5:$A$500=$E$1),--('2026'!$C$5:$C$500=$B7))+SUMPRODUCT(--('2026'!$A$5:$A$500=$E$1),--('2026'!$F$5:$F$500=$B7))+SUMPRODUCT(--('2026'!$A$5:$A$500=$E$1),--('2026'!$D$5:$D$500=$B7))+SUMPRODUCT(--('2026'!$A$5:$A$500=$E$1),--('2026'!$G$5:$G$500=$B7))</f>
        <v>0</v>
      </c>
      <c r="F7" s="50">
        <f>SUMPRODUCT(--('2026'!$A$5:$A$500=$E$1),--('2026'!$I$5:$I$500=$B7))+SUMPRODUCT(--('2026'!$A$5:$A$500=$E$1),--('2026'!$J$5:$J$500=$B7))</f>
        <v>0</v>
      </c>
      <c r="G7" s="50">
        <f>SUMPRODUCT(--('2026'!$A$5:$A$500=$G$1),--('2026'!$C$5:$C$500=$B7))+SUMPRODUCT(--('2026'!$A$5:$A$500=$G$1),--('2026'!$F$5:$F$500=$B7))+SUMPRODUCT(--('2026'!$A$5:$A$500=$G$1),--('2026'!$D$5:$D$500=$B7))+SUMPRODUCT(--('2026'!$A$5:$A$500=$G$1),--('2026'!$G$5:$G$500=$B7))</f>
        <v>0</v>
      </c>
      <c r="H7" s="80">
        <f>SUMPRODUCT(--('2026'!$A$5:$A$500=$G$1),--('2026'!$I$5:$I$500=$B7))+SUMPRODUCT(--('2026'!$A$5:$A$500=$G$1),--('2026'!$J$5:$J$500=$B7))</f>
        <v>0</v>
      </c>
      <c r="I7" s="50">
        <f>SUMPRODUCT(--('2026'!$A$5:$A$500=$I$1),--('2026'!$C$5:$C$500=$B7))+SUMPRODUCT(--('2026'!$A$5:$A$500=$I$1),--('2026'!$F$5:$F$500=$B7))+SUMPRODUCT(--('2026'!$A$5:$A$500=$I$1),--('2026'!$D$5:$D$500=$B7))+SUMPRODUCT(--('2026'!$A$5:$A$500=$I$1),--('2026'!$G$5:$G$500=$B7))</f>
        <v>0</v>
      </c>
      <c r="J7" s="50">
        <f>SUMPRODUCT(--('2026'!$A$5:$A$500=$I$1),--('2026'!$I$5:$I$500=$B7))+SUMPRODUCT(--('2026'!$A$5:$A$500=$I$1),--('2026'!$J$5:$J$500=$B7))</f>
        <v>0</v>
      </c>
      <c r="K7" s="50">
        <f>SUMPRODUCT(--('2026'!$A$5:$A$500=$K$1),--('2026'!$C$5:$C$500=$B7))+SUMPRODUCT(--('2026'!$A$5:$A$500=$K$1),--('2026'!$F$5:$F$500=$B7))+SUMPRODUCT(--('2026'!$A$5:$A$500=$K$1),--('2026'!$D$5:$D$500=$B7))+SUMPRODUCT(--('2026'!$A$5:$A$500=$K$1),--('2026'!$G$5:$G$500=$B7))</f>
        <v>0</v>
      </c>
      <c r="L7" s="50">
        <f>SUMPRODUCT(--('2026'!$A$5:$A$500=$K$1),--('2026'!$I$5:$I$500=$B7))+SUMPRODUCT(--('2026'!$A$5:$A$500=$K$1),--('2026'!$J$5:$J$500=$B7))</f>
        <v>0</v>
      </c>
      <c r="M7" s="50">
        <f>SUMPRODUCT(--('2026'!$A$5:$A$500=$M$1),--('2026'!$C$5:$C$500=$B7))+SUMPRODUCT(--('2026'!$A$5:$A$500=$M$1),--('2026'!$F$5:$F$500=$B7))+SUMPRODUCT(--('2026'!$A$5:$A$500=$M$1),--('2026'!$D$5:$D$500=$B7))+SUMPRODUCT(--('2026'!$A$5:$A$500=$M$1),--('2026'!$G$5:$G$500=$B7))</f>
        <v>0</v>
      </c>
      <c r="N7" s="80">
        <f>SUMPRODUCT(--('2026'!$A$5:$A$500=$M$1),--('2026'!$I$5:$I$500=$B7))+SUMPRODUCT(--('2026'!$A$5:$A$500=$M$1),--('2026'!$J$5:$J$500=$B7))</f>
        <v>0</v>
      </c>
      <c r="O7" s="50">
        <f>SUMPRODUCT(--('2026'!$A$5:$A$500=$O$1),--('2026'!$C$5:$C$500=$B7))+SUMPRODUCT(--('2026'!$A$5:$A$500=$O$1),--('2026'!$F$5:$F$500=$B7))+SUMPRODUCT(--('2026'!$A$5:$A$500=$O$1),--('2026'!$D$5:$D$500=$B7))+SUMPRODUCT(--('2026'!$A$5:$A$500=$O$1),--('2026'!$G$5:$G$500=$B7))</f>
        <v>0</v>
      </c>
      <c r="P7" s="50">
        <f>SUMPRODUCT(--('2026'!$A$5:$A$500=$O$1),--('2026'!$I$5:$I$500=$B7))+SUMPRODUCT(--('2026'!$A$5:$A$500=$O$1),--('2026'!$J$5:$J$500=$B7))</f>
        <v>0</v>
      </c>
      <c r="Q7" s="50">
        <f>SUMPRODUCT(--('2026'!$A$5:$A$500=$Q$1),--('2026'!$C$5:$C$500=$B7))+SUMPRODUCT(--('2026'!$A$5:$A$500=$Q$1),--('2026'!$F$5:$F$500=$B7))+SUMPRODUCT(--('2026'!$A$5:$A$500=$Q$1),--('2026'!$D$5:$D$500=$B7))+SUMPRODUCT(--('2026'!$A$5:$A$500=$Q$1),--('2026'!$G$5:$G$500=$B7))</f>
        <v>0</v>
      </c>
      <c r="R7" s="80">
        <f>SUMPRODUCT(--('2026'!$A$5:$A$500=$Q$1),--('2026'!$I$5:$I$500=$B7))+SUMPRODUCT(--('2026'!$A$5:$A$500=$Q$1),--('2026'!$J$5:$J$500=$B7))</f>
        <v>0</v>
      </c>
      <c r="S7" s="50">
        <f>SUMPRODUCT(--('2026'!$A$5:$A$500=$S$1),--('2026'!$C$5:$C$500=$B7))+SUMPRODUCT(--('2026'!$A$5:$A$500=$S$1),--('2026'!$F$5:$F$500=$B7))+SUMPRODUCT(--('2026'!$A$5:$A$500=$S$1),--('2026'!$D$5:$D$500=$B7))+SUMPRODUCT(--('2026'!$A$5:$A$500=$S$1),--('2026'!$G$5:$G$500=$B7))</f>
        <v>0</v>
      </c>
      <c r="T7" s="80">
        <f>SUMPRODUCT(--('2026'!$A$5:$A$500=$S$1),--('2026'!$I$5:$I$500=$B7))+SUMPRODUCT(--('2026'!$A$5:$A$500=$S$1),--('2026'!$J$5:$J$500=$B7))</f>
        <v>0</v>
      </c>
      <c r="U7" s="50">
        <f>SUMPRODUCT(--('2026'!$A$5:$A$500=$U$1),--('2026'!$C$5:$C$500=$B7))+SUMPRODUCT(--('2026'!$A$5:$A$500=$U$1),--('2026'!$F$5:$F$500=$B7))+SUMPRODUCT(--('2026'!$A$5:$A$500=$U$1),--('2026'!$D$5:$D$500=$B7))+SUMPRODUCT(--('2026'!$A$5:$A$500=$U$1),--('2026'!$G$5:$G$500=$B7))</f>
        <v>0</v>
      </c>
      <c r="V7" s="50">
        <f>SUMPRODUCT(--('2026'!$A$5:$A$500=$U$1),--('2026'!$I$5:$I$500=$B7))+SUMPRODUCT(--('2026'!$A$5:$A$500=$U$1),--('2026'!$J$5:$J$500=$B7))</f>
        <v>0</v>
      </c>
      <c r="W7" s="60">
        <f>SUMPRODUCT(--('2026'!$A$5:$A$500=$W$1),--('2026'!$C$5:$C$500=$B7))+SUMPRODUCT(--('2026'!$A$5:$A$500=$W$1),--('2026'!$F$5:$F$500=$B7))+SUMPRODUCT(--('2026'!$A$5:$A$500=$W$1),--('2026'!$D$5:$D$500=$B7))+SUMPRODUCT(--('2026'!$A$5:$A$500=$W$1),--('2026'!$G$5:$G$500=$B7))</f>
        <v>0</v>
      </c>
      <c r="X7" s="80">
        <f>SUMPRODUCT(--('2026'!$A$5:$A$500=$W$1),--('2026'!$I$5:$I$500=$B7))+SUMPRODUCT(--('2026'!$A$5:$A$500=$W$1),--('2026'!$J$5:$J$500=$B7))</f>
        <v>0</v>
      </c>
      <c r="Y7" s="51">
        <f>SUMPRODUCT(--('2026'!$A$5:$A$500=$Y$1),--('2026'!$C$5:$C$500=$B7))+SUMPRODUCT(--('2026'!$A$5:$A$500=$Y$1),--('2026'!$F$5:$F$500=$B7))+SUMPRODUCT(--('2026'!$A$5:$A$500=$Y$1),--('2026'!$D$5:$D$500=$B7))+SUMPRODUCT(--('2026'!$A$5:$A$500=$Y$1),--('2026'!$G$5:$G$500=$B7))</f>
        <v>0</v>
      </c>
      <c r="Z7" s="51">
        <f>SUMPRODUCT(--('2026'!$A$5:$A$500=$Y$1),--('2026'!$I$5:$I$500=$B7))+SUMPRODUCT(--('2026'!$A$5:$A$500=$Y$1),--('2026'!$J$5:$J$500=$B7))</f>
        <v>0</v>
      </c>
      <c r="AA7" s="51">
        <f>SUMPRODUCT(--('2026'!$A$5:$A$500=$AA$1),--('2026'!$C$5:$C$500=$B7))+SUMPRODUCT(--('2026'!$A$5:$A$500=$AA$1),--('2026'!$F$5:$F$500=$B7))+SUMPRODUCT(--('2026'!$A$5:$A$500=$AA$1),--('2026'!$D$5:$D$500=$B7))+SUMPRODUCT(--('2026'!$A$5:$A$500=$AA$1),--('2026'!$G$5:$G$500=$B7))</f>
        <v>0</v>
      </c>
      <c r="AB7" s="51">
        <f>SUMPRODUCT(--('2026'!$A$5:$A$500=$AA$1),--('2026'!$I$5:$I$500=$B7))+SUMPRODUCT(--('2026'!$A$5:$A$500=$AA$1),--('2026'!$J$5:$J$500=$B7))</f>
        <v>0</v>
      </c>
      <c r="AC7" s="51">
        <f>SUMPRODUCT(--('2026'!$A$5:$A$500=$AC$1),--('2026'!$C$5:$C$500=$B7))+SUMPRODUCT(--('2026'!$A$5:$A$500=$AC$1),--('2026'!$F$5:$F$500=$B7))+SUMPRODUCT(--('2026'!$A$5:$A$500=$AC$1),--('2026'!$D$5:$D$500=$B7))+SUMPRODUCT(--('2026'!$A$5:$A$500=$AC$1),--('2026'!$G$5:$G$500=$B7))</f>
        <v>0</v>
      </c>
      <c r="AD7" s="51">
        <f>SUMPRODUCT(--('2026'!$A$5:$A$500=$AC$1),--('2026'!$I$5:$I$500=$B7))+SUMPRODUCT(--('2026'!$A$5:$A$500=$AC$1),--('2026'!$J$5:$J$500=$B7))</f>
        <v>0</v>
      </c>
      <c r="AE7" s="61">
        <f>SUMPRODUCT(--('2026'!$A$5:$A$500=$AE$1),--('2026'!$C$5:$C$500=$B7))+SUMPRODUCT(--('2026'!$A$5:$A$500=$AE$1),--('2026'!$F$5:$F$500=$B7))+SUMPRODUCT(--('2026'!$A$5:$A$500=$AE$1),--('2026'!$D$5:$D$500=$B7))+SUMPRODUCT(--('2026'!$A$5:$A$500=$AE$1),--('2026'!$G$5:$G$500=$B7))</f>
        <v>0</v>
      </c>
      <c r="AF7" s="61">
        <f>SUMPRODUCT(--('2026'!$A$5:$A$500=$AE$1),--('2026'!$I$5:$I$500=$B7))+SUMPRODUCT(--('2026'!$A$5:$A$500=$AE$1),--('2026'!$J$5:$J$500=$B7))</f>
        <v>0</v>
      </c>
      <c r="AG7" s="51">
        <f>SUMPRODUCT(--('2026'!$A$5:$A$500=$AG$1),--('2026'!$C$5:$C$500=$B7))+SUMPRODUCT(--('2026'!$A$5:$A$500=$AG$1),--('2026'!$F$5:$F$500=$B7))+SUMPRODUCT(--('2026'!$A$5:$A$500=$AG$1),--('2026'!$D$5:$D$500=$B7))+SUMPRODUCT(--('2026'!$A$5:$A$500=$AG$1),--('2026'!$G$5:$G$500=$B7))</f>
        <v>0</v>
      </c>
      <c r="AH7" s="51">
        <f>SUMPRODUCT(--('2026'!$A$5:$A$500=$AG$1),--('2026'!$I$5:$I$500=$B7))+SUMPRODUCT(--('2026'!$A$5:$A$500=$AG$1),--('2026'!$J$5:$J$500=$B7))</f>
        <v>0</v>
      </c>
      <c r="AI7" s="51">
        <f>SUMPRODUCT(--('2026'!$A$5:$A$500=$AI$1),--('2026'!$C$5:$C$500=$B7))+SUMPRODUCT(--('2026'!$A$5:$A$500=$AI$1),--('2026'!$F$5:$F$500=$B7))+SUMPRODUCT(--('2026'!$A$5:$A$500=$AI$1),--('2026'!$D$5:$D$500=$B7))+SUMPRODUCT(--('2026'!$A$5:$A$500=$AI$1),--('2026'!$G$5:$G$500=$B7))</f>
        <v>0</v>
      </c>
      <c r="AJ7" s="51">
        <f>SUMPRODUCT(--('2026'!$A$5:$A$500=$AI$1),--('2026'!$I$5:$I$500=$B7))+SUMPRODUCT(--('2026'!$A$5:$A$500=$AI$1),--('2026'!$J$5:$J$500=$B7))</f>
        <v>0</v>
      </c>
      <c r="AK7" s="51">
        <f>SUMPRODUCT(--('2026'!$A$5:$A$500=$AK$1),--('2026'!$C$5:$C$500=$B7))+SUMPRODUCT(--('2026'!$A$5:$A$500=$AK$1),--('2026'!$F$5:$F$500=$B7))+SUMPRODUCT(--('2026'!$A$5:$A$500=$AK$1),--('2026'!$D$5:$D$500=$B7))+SUMPRODUCT(--('2026'!$A$5:$A$500=$AK$1),--('2026'!$G$5:$G$500=$B7))</f>
        <v>0</v>
      </c>
      <c r="AL7" s="51">
        <f>SUMPRODUCT(--('2026'!$A$5:$A$500=$AK$1),--('2026'!$I$5:$I$500=$B7))+SUMPRODUCT(--('2026'!$A$5:$A$500=$AK$1),--('2026'!$J$5:$J$500=$B7))</f>
        <v>0</v>
      </c>
      <c r="AM7" s="51">
        <f>SUMPRODUCT(--('2026'!$A$5:$A$500=$AM$1),--('2026'!$C$5:$C$500=$B7))+SUMPRODUCT(--('2026'!$A$5:$A$500=$AM$1),--('2026'!$F$5:$F$500=$B7))+SUMPRODUCT(--('2026'!$A$5:$A$500=$AM$1),--('2026'!$D$5:$D$500=$B7))+SUMPRODUCT(--('2026'!$A$5:$A$500=$AM$1),--('2026'!$G$5:$G$500=$B7))</f>
        <v>0</v>
      </c>
      <c r="AN7" s="51">
        <f>SUMPRODUCT(--('2026'!$A$5:$A$500=$AM$1),--('2026'!$I$5:$I$500=$B7))+SUMPRODUCT(--('2026'!$A$5:$A$500=$AM$1),--('2026'!$J$5:$J$500=$B7))</f>
        <v>0</v>
      </c>
      <c r="AO7" s="51">
        <f>SUMPRODUCT(--('2026'!$A$5:$A$500=$AO$1),--('2026'!$C$5:$C$500=$B7))+SUMPRODUCT(--('2026'!$A$5:$A$500=$AO$1),--('2026'!$F$5:$F$500=$B7))+SUMPRODUCT(--('2026'!$A$5:$A$500=$AO$1),--('2026'!$D$5:$D$500=$B7))+SUMPRODUCT(--('2026'!$A$5:$A$500=$AO$1),--('2026'!$G$5:$G$500=$B7))</f>
        <v>0</v>
      </c>
      <c r="AP7" s="51">
        <f>SUMPRODUCT(--('2026'!$A$5:$A$500=$AO$1),--('2026'!$I$5:$I$500=$B7))+SUMPRODUCT(--('2026'!$A$5:$A$500=$AO$1),--('2026'!$J$5:$J$500=$B7))</f>
        <v>0</v>
      </c>
      <c r="AQ7" s="51">
        <f>SUMPRODUCT(--('2026'!$A$5:$A$500=$AQ$1),--('2026'!$C$5:$C$500=$B7))+SUMPRODUCT(--('2026'!$A$5:$A$500=$AQ$1),--('2026'!$F$5:$F$500=$B7))+SUMPRODUCT(--('2026'!$A$5:$A$500=$AQ$1),--('2026'!$D$5:$D$500=$B7))+SUMPRODUCT(--('2026'!$A$5:$A$500=$AQ$1),--('2026'!$G$5:$G$500=$B7))</f>
        <v>0</v>
      </c>
      <c r="AR7" s="51">
        <f>SUMPRODUCT(--('2026'!$A$5:$A$500=$AQ$1),--('2026'!$I$5:$I$500=$B7))+SUMPRODUCT(--('2026'!$A$5:$A$500=$AQ$1),--('2026'!$J$5:$J$500=$B7))</f>
        <v>0</v>
      </c>
      <c r="AS7" s="51">
        <f>SUMPRODUCT(--('2026'!$A$5:$A$500=$AS$1),--('2026'!$C$5:$C$500=$B7))+SUMPRODUCT(--('2026'!$A$5:$A$500=$AS$1),--('2026'!$F$5:$F$500=$B7))+SUMPRODUCT(--('2026'!$A$5:$A$500=$AS$1),--('2026'!$D$5:$D$500=$B7))+SUMPRODUCT(--('2026'!$A$5:$A$500=$AS$1),--('2026'!$G$5:$G$500=$B7))</f>
        <v>0</v>
      </c>
      <c r="AT7" s="51">
        <f>SUMPRODUCT(--('2026'!$A$5:$A$500=$AS$1),--('2026'!$I$5:$I$500=$B7))+SUMPRODUCT(--('2026'!$A$5:$A$500=$AS$1),--('2026'!$J$5:$J$500=$B7))</f>
        <v>0</v>
      </c>
      <c r="AU7" s="51">
        <f>SUMPRODUCT(--('2026'!$A$5:$A$500=$AU$1),--('2026'!$C$5:$C$500=$B7))+SUMPRODUCT(--('2026'!$A$5:$A$500=$AU$1),--('2026'!$F$5:$F$500=$B7))+SUMPRODUCT(--('2026'!$A$5:$A$500=$AU$1),--('2026'!$D$5:$D$500=$B7))+SUMPRODUCT(--('2026'!$A$5:$A$500=$AU$1),--('2026'!$G$5:$G$500=$B7))</f>
        <v>0</v>
      </c>
      <c r="AV7" s="51">
        <f>SUMPRODUCT(--('2026'!$A$5:$A$500=$AU$1),--('2026'!$I$5:$I$500=$B7))+SUMPRODUCT(--('2026'!$A$5:$A$500=$AU$1),--('2026'!$J$5:$J$500=$B7))</f>
        <v>0</v>
      </c>
      <c r="AW7" s="51">
        <f>SUMPRODUCT(--('2026'!$A$5:$A$500=$AW$1),--('2026'!$C$5:$C$500=$B7))+SUMPRODUCT(--('2026'!$A$5:$A$500=$AW$1),--('2026'!$F$5:$F$500=$B7))+SUMPRODUCT(--('2026'!$A$5:$A$500=$AW$1),--('2026'!$D$5:$D$500=$B7))+SUMPRODUCT(--('2026'!$A$5:$A$500=$AW$1),--('2026'!$G$5:$G$500=$B7))</f>
        <v>0</v>
      </c>
      <c r="AX7" s="51">
        <f>SUMPRODUCT(--('2026'!$A$5:$A$500=$AW$1),--('2026'!$I$5:$I$500=$B7))+SUMPRODUCT(--('2026'!$A$5:$A$500=$AW$1),--('2026'!$J$5:$J$500=$B7))</f>
        <v>0</v>
      </c>
      <c r="BA7" s="54" t="s">
        <v>125</v>
      </c>
      <c r="BB7" s="47">
        <f t="shared" si="0"/>
        <v>0</v>
      </c>
      <c r="BC7" s="52">
        <f t="shared" si="1"/>
        <v>0</v>
      </c>
    </row>
    <row r="8" spans="1:55" ht="15" x14ac:dyDescent="0.25">
      <c r="A8">
        <v>6</v>
      </c>
      <c r="B8" s="54" t="s">
        <v>110</v>
      </c>
      <c r="C8" s="50">
        <f>SUMPRODUCT(--('2026'!$A$5:$A$500=$C$1),--('2026'!$C$5:$C$500=$B8))+SUMPRODUCT(--('2026'!$A$5:$A$500=$C$1),--('2026'!$F$5:$F$500=$B8))+SUMPRODUCT(--('2026'!$A$5:$A$500=$C$1),--('2026'!$D$5:$D$500=$B8))+SUMPRODUCT(--('2026'!$A$5:$A$500=$C$1),--('2026'!$G$5:$G$500=$B8))</f>
        <v>0</v>
      </c>
      <c r="D8" s="50">
        <f>SUMPRODUCT(--('2026'!$A$5:$A$500=$C$1),--('2026'!$I$5:$I$500=$B8))+SUMPRODUCT(--('2026'!$A$5:$A$500=$C$1),--('2026'!$J$5:$J$500=$B8))</f>
        <v>0</v>
      </c>
      <c r="E8" s="50">
        <f>SUMPRODUCT(--('2026'!$A$5:$A$500=$E$1),--('2026'!$C$5:$C$500=$B8))+SUMPRODUCT(--('2026'!$A$5:$A$500=$E$1),--('2026'!$F$5:$F$500=$B8))+SUMPRODUCT(--('2026'!$A$5:$A$500=$E$1),--('2026'!$D$5:$D$500=$B8))+SUMPRODUCT(--('2026'!$A$5:$A$500=$E$1),--('2026'!$G$5:$G$500=$B8))</f>
        <v>0</v>
      </c>
      <c r="F8" s="50">
        <f>SUMPRODUCT(--('2026'!$A$5:$A$500=$E$1),--('2026'!$I$5:$I$500=$B8))+SUMPRODUCT(--('2026'!$A$5:$A$500=$E$1),--('2026'!$J$5:$J$500=$B8))</f>
        <v>0</v>
      </c>
      <c r="G8" s="50">
        <f>SUMPRODUCT(--('2026'!$A$5:$A$500=$G$1),--('2026'!$C$5:$C$500=$B8))+SUMPRODUCT(--('2026'!$A$5:$A$500=$G$1),--('2026'!$F$5:$F$500=$B8))+SUMPRODUCT(--('2026'!$A$5:$A$500=$G$1),--('2026'!$D$5:$D$500=$B8))+SUMPRODUCT(--('2026'!$A$5:$A$500=$G$1),--('2026'!$G$5:$G$500=$B8))</f>
        <v>0</v>
      </c>
      <c r="H8" s="50">
        <f>SUMPRODUCT(--('2026'!$A$5:$A$500=$G$1),--('2026'!$I$5:$I$500=$B8))+SUMPRODUCT(--('2026'!$A$5:$A$500=$G$1),--('2026'!$J$5:$J$500=$B8))</f>
        <v>0</v>
      </c>
      <c r="I8" s="50">
        <f>SUMPRODUCT(--('2026'!$A$5:$A$500=$I$1),--('2026'!$C$5:$C$500=$B8))+SUMPRODUCT(--('2026'!$A$5:$A$500=$I$1),--('2026'!$F$5:$F$500=$B8))+SUMPRODUCT(--('2026'!$A$5:$A$500=$I$1),--('2026'!$D$5:$D$500=$B8))+SUMPRODUCT(--('2026'!$A$5:$A$500=$I$1),--('2026'!$G$5:$G$500=$B8))</f>
        <v>0</v>
      </c>
      <c r="J8" s="50">
        <f>SUMPRODUCT(--('2026'!$A$5:$A$500=$I$1),--('2026'!$I$5:$I$500=$B8))+SUMPRODUCT(--('2026'!$A$5:$A$500=$I$1),--('2026'!$J$5:$J$500=$B8))</f>
        <v>0</v>
      </c>
      <c r="K8" s="50">
        <f>SUMPRODUCT(--('2026'!$A$5:$A$500=$K$1),--('2026'!$C$5:$C$500=$B8))+SUMPRODUCT(--('2026'!$A$5:$A$500=$K$1),--('2026'!$F$5:$F$500=$B8))+SUMPRODUCT(--('2026'!$A$5:$A$500=$K$1),--('2026'!$D$5:$D$500=$B8))+SUMPRODUCT(--('2026'!$A$5:$A$500=$K$1),--('2026'!$G$5:$G$500=$B8))</f>
        <v>0</v>
      </c>
      <c r="L8" s="50">
        <f>SUMPRODUCT(--('2026'!$A$5:$A$500=$K$1),--('2026'!$I$5:$I$500=$B8))+SUMPRODUCT(--('2026'!$A$5:$A$500=$K$1),--('2026'!$J$5:$J$500=$B8))</f>
        <v>0</v>
      </c>
      <c r="M8" s="50">
        <f>SUMPRODUCT(--('2026'!$A$5:$A$500=$M$1),--('2026'!$C$5:$C$500=$B8))+SUMPRODUCT(--('2026'!$A$5:$A$500=$M$1),--('2026'!$F$5:$F$500=$B8))+SUMPRODUCT(--('2026'!$A$5:$A$500=$M$1),--('2026'!$D$5:$D$500=$B8))+SUMPRODUCT(--('2026'!$A$5:$A$500=$M$1),--('2026'!$G$5:$G$500=$B8))</f>
        <v>0</v>
      </c>
      <c r="N8" s="80">
        <f>SUMPRODUCT(--('2026'!$A$5:$A$500=$M$1),--('2026'!$I$5:$I$500=$B8))+SUMPRODUCT(--('2026'!$A$5:$A$500=$M$1),--('2026'!$J$5:$J$500=$B8))</f>
        <v>0</v>
      </c>
      <c r="O8" s="50">
        <f>SUMPRODUCT(--('2026'!$A$5:$A$500=$O$1),--('2026'!$C$5:$C$500=$B8))+SUMPRODUCT(--('2026'!$A$5:$A$500=$O$1),--('2026'!$F$5:$F$500=$B8))+SUMPRODUCT(--('2026'!$A$5:$A$500=$O$1),--('2026'!$D$5:$D$500=$B8))+SUMPRODUCT(--('2026'!$A$5:$A$500=$O$1),--('2026'!$G$5:$G$500=$B8))</f>
        <v>0</v>
      </c>
      <c r="P8" s="50">
        <f>SUMPRODUCT(--('2026'!$A$5:$A$500=$O$1),--('2026'!$I$5:$I$500=$B8))+SUMPRODUCT(--('2026'!$A$5:$A$500=$O$1),--('2026'!$J$5:$J$500=$B8))</f>
        <v>0</v>
      </c>
      <c r="Q8" s="50">
        <f>SUMPRODUCT(--('2026'!$A$5:$A$500=$Q$1),--('2026'!$C$5:$C$500=$B8))+SUMPRODUCT(--('2026'!$A$5:$A$500=$Q$1),--('2026'!$F$5:$F$500=$B8))+SUMPRODUCT(--('2026'!$A$5:$A$500=$Q$1),--('2026'!$D$5:$D$500=$B8))+SUMPRODUCT(--('2026'!$A$5:$A$500=$Q$1),--('2026'!$G$5:$G$500=$B8))</f>
        <v>0</v>
      </c>
      <c r="R8" s="50">
        <f>SUMPRODUCT(--('2026'!$A$5:$A$500=$Q$1),--('2026'!$I$5:$I$500=$B8))+SUMPRODUCT(--('2026'!$A$5:$A$500=$Q$1),--('2026'!$J$5:$J$500=$B8))</f>
        <v>0</v>
      </c>
      <c r="S8" s="50">
        <f>SUMPRODUCT(--('2026'!$A$5:$A$500=$S$1),--('2026'!$C$5:$C$500=$B8))+SUMPRODUCT(--('2026'!$A$5:$A$500=$S$1),--('2026'!$F$5:$F$500=$B8))+SUMPRODUCT(--('2026'!$A$5:$A$500=$S$1),--('2026'!$D$5:$D$500=$B8))+SUMPRODUCT(--('2026'!$A$5:$A$500=$S$1),--('2026'!$G$5:$G$500=$B8))</f>
        <v>0</v>
      </c>
      <c r="T8" s="50">
        <f>SUMPRODUCT(--('2026'!$A$5:$A$500=$S$1),--('2026'!$I$5:$I$500=$B8))+SUMPRODUCT(--('2026'!$A$5:$A$500=$S$1),--('2026'!$J$5:$J$500=$B8))</f>
        <v>0</v>
      </c>
      <c r="U8" s="50">
        <f>SUMPRODUCT(--('2026'!$A$5:$A$500=$U$1),--('2026'!$C$5:$C$500=$B8))+SUMPRODUCT(--('2026'!$A$5:$A$500=$U$1),--('2026'!$F$5:$F$500=$B8))+SUMPRODUCT(--('2026'!$A$5:$A$500=$U$1),--('2026'!$D$5:$D$500=$B8))+SUMPRODUCT(--('2026'!$A$5:$A$500=$U$1),--('2026'!$G$5:$G$500=$B8))</f>
        <v>0</v>
      </c>
      <c r="V8" s="50">
        <f>SUMPRODUCT(--('2026'!$A$5:$A$500=$U$1),--('2026'!$I$5:$I$500=$B8))+SUMPRODUCT(--('2026'!$A$5:$A$500=$U$1),--('2026'!$J$5:$J$500=$B8))</f>
        <v>0</v>
      </c>
      <c r="W8" s="60">
        <f>SUMPRODUCT(--('2026'!$A$5:$A$500=$W$1),--('2026'!$C$5:$C$500=$B8))+SUMPRODUCT(--('2026'!$A$5:$A$500=$W$1),--('2026'!$F$5:$F$500=$B8))+SUMPRODUCT(--('2026'!$A$5:$A$500=$W$1),--('2026'!$D$5:$D$500=$B8))+SUMPRODUCT(--('2026'!$A$5:$A$500=$W$1),--('2026'!$G$5:$G$500=$B8))</f>
        <v>0</v>
      </c>
      <c r="X8" s="60">
        <f>SUMPRODUCT(--('2026'!$A$5:$A$500=$W$1),--('2026'!$I$5:$I$500=$B8))+SUMPRODUCT(--('2026'!$A$5:$A$500=$W$1),--('2026'!$J$5:$J$500=$B8))</f>
        <v>0</v>
      </c>
      <c r="Y8" s="51">
        <f>SUMPRODUCT(--('2026'!$A$5:$A$500=$Y$1),--('2026'!$C$5:$C$500=$B8))+SUMPRODUCT(--('2026'!$A$5:$A$500=$Y$1),--('2026'!$F$5:$F$500=$B8))+SUMPRODUCT(--('2026'!$A$5:$A$500=$Y$1),--('2026'!$D$5:$D$500=$B8))+SUMPRODUCT(--('2026'!$A$5:$A$500=$Y$1),--('2026'!$G$5:$G$500=$B8))</f>
        <v>0</v>
      </c>
      <c r="Z8" s="51">
        <f>SUMPRODUCT(--('2026'!$A$5:$A$500=$Y$1),--('2026'!$I$5:$I$500=$B8))+SUMPRODUCT(--('2026'!$A$5:$A$500=$Y$1),--('2026'!$J$5:$J$500=$B8))</f>
        <v>0</v>
      </c>
      <c r="AA8" s="51">
        <f>SUMPRODUCT(--('2026'!$A$5:$A$500=$AA$1),--('2026'!$C$5:$C$500=$B8))+SUMPRODUCT(--('2026'!$A$5:$A$500=$AA$1),--('2026'!$F$5:$F$500=$B8))+SUMPRODUCT(--('2026'!$A$5:$A$500=$AA$1),--('2026'!$D$5:$D$500=$B8))+SUMPRODUCT(--('2026'!$A$5:$A$500=$AA$1),--('2026'!$G$5:$G$500=$B8))</f>
        <v>0</v>
      </c>
      <c r="AB8" s="51">
        <f>SUMPRODUCT(--('2026'!$A$5:$A$500=$AA$1),--('2026'!$I$5:$I$500=$B8))+SUMPRODUCT(--('2026'!$A$5:$A$500=$AA$1),--('2026'!$J$5:$J$500=$B8))</f>
        <v>0</v>
      </c>
      <c r="AC8" s="51">
        <f>SUMPRODUCT(--('2026'!$A$5:$A$500=$AC$1),--('2026'!$C$5:$C$500=$B8))+SUMPRODUCT(--('2026'!$A$5:$A$500=$AC$1),--('2026'!$F$5:$F$500=$B8))+SUMPRODUCT(--('2026'!$A$5:$A$500=$AC$1),--('2026'!$D$5:$D$500=$B8))+SUMPRODUCT(--('2026'!$A$5:$A$500=$AC$1),--('2026'!$G$5:$G$500=$B8))</f>
        <v>0</v>
      </c>
      <c r="AD8" s="51">
        <f>SUMPRODUCT(--('2026'!$A$5:$A$500=$AC$1),--('2026'!$I$5:$I$500=$B8))+SUMPRODUCT(--('2026'!$A$5:$A$500=$AC$1),--('2026'!$J$5:$J$500=$B8))</f>
        <v>0</v>
      </c>
      <c r="AE8" s="61">
        <f>SUMPRODUCT(--('2026'!$A$5:$A$500=$AE$1),--('2026'!$C$5:$C$500=$B8))+SUMPRODUCT(--('2026'!$A$5:$A$500=$AE$1),--('2026'!$F$5:$F$500=$B8))+SUMPRODUCT(--('2026'!$A$5:$A$500=$AE$1),--('2026'!$D$5:$D$500=$B8))+SUMPRODUCT(--('2026'!$A$5:$A$500=$AE$1),--('2026'!$G$5:$G$500=$B8))</f>
        <v>0</v>
      </c>
      <c r="AF8" s="61">
        <f>SUMPRODUCT(--('2026'!$A$5:$A$500=$AE$1),--('2026'!$I$5:$I$500=$B8))+SUMPRODUCT(--('2026'!$A$5:$A$500=$AE$1),--('2026'!$J$5:$J$500=$B8))</f>
        <v>0</v>
      </c>
      <c r="AG8" s="51">
        <f>SUMPRODUCT(--('2026'!$A$5:$A$500=$AG$1),--('2026'!$C$5:$C$500=$B8))+SUMPRODUCT(--('2026'!$A$5:$A$500=$AG$1),--('2026'!$F$5:$F$500=$B8))+SUMPRODUCT(--('2026'!$A$5:$A$500=$AG$1),--('2026'!$D$5:$D$500=$B8))+SUMPRODUCT(--('2026'!$A$5:$A$500=$AG$1),--('2026'!$G$5:$G$500=$B8))</f>
        <v>0</v>
      </c>
      <c r="AH8" s="51">
        <f>SUMPRODUCT(--('2026'!$A$5:$A$500=$AG$1),--('2026'!$I$5:$I$500=$B8))+SUMPRODUCT(--('2026'!$A$5:$A$500=$AG$1),--('2026'!$J$5:$J$500=$B8))</f>
        <v>0</v>
      </c>
      <c r="AI8" s="51">
        <f>SUMPRODUCT(--('2026'!$A$5:$A$500=$AI$1),--('2026'!$C$5:$C$500=$B8))+SUMPRODUCT(--('2026'!$A$5:$A$500=$AI$1),--('2026'!$F$5:$F$500=$B8))+SUMPRODUCT(--('2026'!$A$5:$A$500=$AI$1),--('2026'!$D$5:$D$500=$B8))+SUMPRODUCT(--('2026'!$A$5:$A$500=$AI$1),--('2026'!$G$5:$G$500=$B8))</f>
        <v>0</v>
      </c>
      <c r="AJ8" s="51">
        <f>SUMPRODUCT(--('2026'!$A$5:$A$500=$AI$1),--('2026'!$I$5:$I$500=$B8))+SUMPRODUCT(--('2026'!$A$5:$A$500=$AI$1),--('2026'!$J$5:$J$500=$B8))</f>
        <v>0</v>
      </c>
      <c r="AK8" s="51">
        <f>SUMPRODUCT(--('2026'!$A$5:$A$500=$AK$1),--('2026'!$C$5:$C$500=$B8))+SUMPRODUCT(--('2026'!$A$5:$A$500=$AK$1),--('2026'!$F$5:$F$500=$B8))+SUMPRODUCT(--('2026'!$A$5:$A$500=$AK$1),--('2026'!$D$5:$D$500=$B8))+SUMPRODUCT(--('2026'!$A$5:$A$500=$AK$1),--('2026'!$G$5:$G$500=$B8))</f>
        <v>0</v>
      </c>
      <c r="AL8" s="51">
        <f>SUMPRODUCT(--('2026'!$A$5:$A$500=$AK$1),--('2026'!$I$5:$I$500=$B8))+SUMPRODUCT(--('2026'!$A$5:$A$500=$AK$1),--('2026'!$J$5:$J$500=$B8))</f>
        <v>0</v>
      </c>
      <c r="AM8" s="51">
        <f>SUMPRODUCT(--('2026'!$A$5:$A$500=$AM$1),--('2026'!$C$5:$C$500=$B8))+SUMPRODUCT(--('2026'!$A$5:$A$500=$AM$1),--('2026'!$F$5:$F$500=$B8))+SUMPRODUCT(--('2026'!$A$5:$A$500=$AM$1),--('2026'!$D$5:$D$500=$B8))+SUMPRODUCT(--('2026'!$A$5:$A$500=$AM$1),--('2026'!$G$5:$G$500=$B8))</f>
        <v>0</v>
      </c>
      <c r="AN8" s="51">
        <f>SUMPRODUCT(--('2026'!$A$5:$A$500=$AM$1),--('2026'!$I$5:$I$500=$B8))+SUMPRODUCT(--('2026'!$A$5:$A$500=$AM$1),--('2026'!$J$5:$J$500=$B8))</f>
        <v>0</v>
      </c>
      <c r="AO8" s="51">
        <f>SUMPRODUCT(--('2026'!$A$5:$A$500=$AO$1),--('2026'!$C$5:$C$500=$B8))+SUMPRODUCT(--('2026'!$A$5:$A$500=$AO$1),--('2026'!$F$5:$F$500=$B8))+SUMPRODUCT(--('2026'!$A$5:$A$500=$AO$1),--('2026'!$D$5:$D$500=$B8))+SUMPRODUCT(--('2026'!$A$5:$A$500=$AO$1),--('2026'!$G$5:$G$500=$B8))</f>
        <v>0</v>
      </c>
      <c r="AP8" s="51">
        <f>SUMPRODUCT(--('2026'!$A$5:$A$500=$AO$1),--('2026'!$I$5:$I$500=$B8))+SUMPRODUCT(--('2026'!$A$5:$A$500=$AO$1),--('2026'!$J$5:$J$500=$B8))</f>
        <v>0</v>
      </c>
      <c r="AQ8" s="51">
        <f>SUMPRODUCT(--('2026'!$A$5:$A$500=$AQ$1),--('2026'!$C$5:$C$500=$B8))+SUMPRODUCT(--('2026'!$A$5:$A$500=$AQ$1),--('2026'!$F$5:$F$500=$B8))+SUMPRODUCT(--('2026'!$A$5:$A$500=$AQ$1),--('2026'!$D$5:$D$500=$B8))+SUMPRODUCT(--('2026'!$A$5:$A$500=$AQ$1),--('2026'!$G$5:$G$500=$B8))</f>
        <v>0</v>
      </c>
      <c r="AR8" s="51">
        <f>SUMPRODUCT(--('2026'!$A$5:$A$500=$AQ$1),--('2026'!$I$5:$I$500=$B8))+SUMPRODUCT(--('2026'!$A$5:$A$500=$AQ$1),--('2026'!$J$5:$J$500=$B8))</f>
        <v>0</v>
      </c>
      <c r="AS8" s="51">
        <f>SUMPRODUCT(--('2026'!$A$5:$A$500=$AS$1),--('2026'!$C$5:$C$500=$B8))+SUMPRODUCT(--('2026'!$A$5:$A$500=$AS$1),--('2026'!$F$5:$F$500=$B8))+SUMPRODUCT(--('2026'!$A$5:$A$500=$AS$1),--('2026'!$D$5:$D$500=$B8))+SUMPRODUCT(--('2026'!$A$5:$A$500=$AS$1),--('2026'!$G$5:$G$500=$B8))</f>
        <v>0</v>
      </c>
      <c r="AT8" s="51">
        <f>SUMPRODUCT(--('2026'!$A$5:$A$500=$AS$1),--('2026'!$I$5:$I$500=$B8))+SUMPRODUCT(--('2026'!$A$5:$A$500=$AS$1),--('2026'!$J$5:$J$500=$B8))</f>
        <v>0</v>
      </c>
      <c r="AU8" s="51">
        <f>SUMPRODUCT(--('2026'!$A$5:$A$500=$AU$1),--('2026'!$C$5:$C$500=$B8))+SUMPRODUCT(--('2026'!$A$5:$A$500=$AU$1),--('2026'!$F$5:$F$500=$B8))+SUMPRODUCT(--('2026'!$A$5:$A$500=$AU$1),--('2026'!$D$5:$D$500=$B8))+SUMPRODUCT(--('2026'!$A$5:$A$500=$AU$1),--('2026'!$G$5:$G$500=$B8))</f>
        <v>0</v>
      </c>
      <c r="AV8" s="51">
        <f>SUMPRODUCT(--('2026'!$A$5:$A$500=$AU$1),--('2026'!$I$5:$I$500=$B8))+SUMPRODUCT(--('2026'!$A$5:$A$500=$AU$1),--('2026'!$J$5:$J$500=$B8))</f>
        <v>0</v>
      </c>
      <c r="AW8" s="51">
        <f>SUMPRODUCT(--('2026'!$A$5:$A$500=$AW$1),--('2026'!$C$5:$C$500=$B8))+SUMPRODUCT(--('2026'!$A$5:$A$500=$AW$1),--('2026'!$F$5:$F$500=$B8))+SUMPRODUCT(--('2026'!$A$5:$A$500=$AW$1),--('2026'!$D$5:$D$500=$B8))+SUMPRODUCT(--('2026'!$A$5:$A$500=$AW$1),--('2026'!$G$5:$G$500=$B8))</f>
        <v>0</v>
      </c>
      <c r="AX8" s="51">
        <f>SUMPRODUCT(--('2026'!$A$5:$A$500=$AW$1),--('2026'!$I$5:$I$500=$B8))+SUMPRODUCT(--('2026'!$A$5:$A$500=$AW$1),--('2026'!$J$5:$J$500=$B8))</f>
        <v>0</v>
      </c>
      <c r="BA8" s="54" t="s">
        <v>110</v>
      </c>
      <c r="BB8" s="47">
        <f t="shared" si="0"/>
        <v>0</v>
      </c>
      <c r="BC8" s="52">
        <f t="shared" si="1"/>
        <v>0</v>
      </c>
    </row>
    <row r="9" spans="1:55" ht="15" x14ac:dyDescent="0.25">
      <c r="A9">
        <v>7</v>
      </c>
      <c r="B9" s="54" t="s">
        <v>40</v>
      </c>
      <c r="C9" s="50">
        <f>SUMPRODUCT(--('2026'!$A$5:$A$500=$C$1),--('2026'!$C$5:$C$500=$B9))+SUMPRODUCT(--('2026'!$A$5:$A$500=$C$1),--('2026'!$F$5:$F$500=$B9))+SUMPRODUCT(--('2026'!$A$5:$A$500=$C$1),--('2026'!$D$5:$D$500=$B9))+SUMPRODUCT(--('2026'!$A$5:$A$500=$C$1),--('2026'!$G$5:$G$500=$B9))</f>
        <v>0</v>
      </c>
      <c r="D9" s="50">
        <f>SUMPRODUCT(--('2026'!$A$5:$A$500=$C$1),--('2026'!$I$5:$I$500=$B9))+SUMPRODUCT(--('2026'!$A$5:$A$500=$C$1),--('2026'!$J$5:$J$500=$B9))</f>
        <v>0</v>
      </c>
      <c r="E9" s="50">
        <f>SUMPRODUCT(--('2026'!$A$5:$A$500=$E$1),--('2026'!$C$5:$C$500=$B9))+SUMPRODUCT(--('2026'!$A$5:$A$500=$E$1),--('2026'!$F$5:$F$500=$B9))+SUMPRODUCT(--('2026'!$A$5:$A$500=$E$1),--('2026'!$D$5:$D$500=$B9))+SUMPRODUCT(--('2026'!$A$5:$A$500=$E$1),--('2026'!$G$5:$G$500=$B9))</f>
        <v>0</v>
      </c>
      <c r="F9" s="50">
        <f>SUMPRODUCT(--('2026'!$A$5:$A$500=$E$1),--('2026'!$I$5:$I$500=$B9))+SUMPRODUCT(--('2026'!$A$5:$A$500=$E$1),--('2026'!$J$5:$J$500=$B9))</f>
        <v>0</v>
      </c>
      <c r="G9" s="50">
        <f>SUMPRODUCT(--('2026'!$A$5:$A$500=$G$1),--('2026'!$C$5:$C$500=$B9))+SUMPRODUCT(--('2026'!$A$5:$A$500=$G$1),--('2026'!$F$5:$F$500=$B9))+SUMPRODUCT(--('2026'!$A$5:$A$500=$G$1),--('2026'!$D$5:$D$500=$B9))+SUMPRODUCT(--('2026'!$A$5:$A$500=$G$1),--('2026'!$G$5:$G$500=$B9))</f>
        <v>0</v>
      </c>
      <c r="H9" s="80">
        <f>SUMPRODUCT(--('2026'!$A$5:$A$500=$G$1),--('2026'!$I$5:$I$500=$B9))+SUMPRODUCT(--('2026'!$A$5:$A$500=$G$1),--('2026'!$J$5:$J$500=$B9))</f>
        <v>0</v>
      </c>
      <c r="I9" s="50">
        <f>SUMPRODUCT(--('2026'!$A$5:$A$500=$I$1),--('2026'!$C$5:$C$500=$B9))+SUMPRODUCT(--('2026'!$A$5:$A$500=$I$1),--('2026'!$F$5:$F$500=$B9))+SUMPRODUCT(--('2026'!$A$5:$A$500=$I$1),--('2026'!$D$5:$D$500=$B9))+SUMPRODUCT(--('2026'!$A$5:$A$500=$I$1),--('2026'!$G$5:$G$500=$B9))</f>
        <v>0</v>
      </c>
      <c r="J9" s="50">
        <f>SUMPRODUCT(--('2026'!$A$5:$A$500=$I$1),--('2026'!$I$5:$I$500=$B9))+SUMPRODUCT(--('2026'!$A$5:$A$500=$I$1),--('2026'!$J$5:$J$500=$B9))</f>
        <v>0</v>
      </c>
      <c r="K9" s="50">
        <f>SUMPRODUCT(--('2026'!$A$5:$A$500=$K$1),--('2026'!$C$5:$C$500=$B9))+SUMPRODUCT(--('2026'!$A$5:$A$500=$K$1),--('2026'!$F$5:$F$500=$B9))+SUMPRODUCT(--('2026'!$A$5:$A$500=$K$1),--('2026'!$D$5:$D$500=$B9))+SUMPRODUCT(--('2026'!$A$5:$A$500=$K$1),--('2026'!$G$5:$G$500=$B9))</f>
        <v>0</v>
      </c>
      <c r="L9" s="50">
        <f>SUMPRODUCT(--('2026'!$A$5:$A$500=$K$1),--('2026'!$I$5:$I$500=$B9))+SUMPRODUCT(--('2026'!$A$5:$A$500=$K$1),--('2026'!$J$5:$J$500=$B9))</f>
        <v>0</v>
      </c>
      <c r="M9" s="50">
        <f>SUMPRODUCT(--('2026'!$A$5:$A$500=$M$1),--('2026'!$C$5:$C$500=$B9))+SUMPRODUCT(--('2026'!$A$5:$A$500=$M$1),--('2026'!$F$5:$F$500=$B9))+SUMPRODUCT(--('2026'!$A$5:$A$500=$M$1),--('2026'!$D$5:$D$500=$B9))+SUMPRODUCT(--('2026'!$A$5:$A$500=$M$1),--('2026'!$G$5:$G$500=$B9))</f>
        <v>0</v>
      </c>
      <c r="N9" s="50">
        <f>SUMPRODUCT(--('2026'!$A$5:$A$500=$M$1),--('2026'!$I$5:$I$500=$B9))+SUMPRODUCT(--('2026'!$A$5:$A$500=$M$1),--('2026'!$J$5:$J$500=$B9))</f>
        <v>0</v>
      </c>
      <c r="O9" s="50">
        <f>SUMPRODUCT(--('2026'!$A$5:$A$500=$O$1),--('2026'!$C$5:$C$500=$B9))+SUMPRODUCT(--('2026'!$A$5:$A$500=$O$1),--('2026'!$F$5:$F$500=$B9))+SUMPRODUCT(--('2026'!$A$5:$A$500=$O$1),--('2026'!$D$5:$D$500=$B9))+SUMPRODUCT(--('2026'!$A$5:$A$500=$O$1),--('2026'!$G$5:$G$500=$B9))</f>
        <v>0</v>
      </c>
      <c r="P9" s="50">
        <f>SUMPRODUCT(--('2026'!$A$5:$A$500=$O$1),--('2026'!$I$5:$I$500=$B9))+SUMPRODUCT(--('2026'!$A$5:$A$500=$O$1),--('2026'!$J$5:$J$500=$B9))</f>
        <v>0</v>
      </c>
      <c r="Q9" s="50">
        <f>SUMPRODUCT(--('2026'!$A$5:$A$500=$Q$1),--('2026'!$C$5:$C$500=$B9))+SUMPRODUCT(--('2026'!$A$5:$A$500=$Q$1),--('2026'!$F$5:$F$500=$B9))+SUMPRODUCT(--('2026'!$A$5:$A$500=$Q$1),--('2026'!$D$5:$D$500=$B9))+SUMPRODUCT(--('2026'!$A$5:$A$500=$Q$1),--('2026'!$G$5:$G$500=$B9))</f>
        <v>0</v>
      </c>
      <c r="R9" s="50">
        <f>SUMPRODUCT(--('2026'!$A$5:$A$500=$Q$1),--('2026'!$I$5:$I$500=$B9))+SUMPRODUCT(--('2026'!$A$5:$A$500=$Q$1),--('2026'!$J$5:$J$500=$B9))</f>
        <v>0</v>
      </c>
      <c r="S9" s="50">
        <f>SUMPRODUCT(--('2026'!$A$5:$A$500=$S$1),--('2026'!$C$5:$C$500=$B9))+SUMPRODUCT(--('2026'!$A$5:$A$500=$S$1),--('2026'!$F$5:$F$500=$B9))+SUMPRODUCT(--('2026'!$A$5:$A$500=$S$1),--('2026'!$D$5:$D$500=$B9))+SUMPRODUCT(--('2026'!$A$5:$A$500=$S$1),--('2026'!$G$5:$G$500=$B9))</f>
        <v>0</v>
      </c>
      <c r="T9" s="50">
        <f>SUMPRODUCT(--('2026'!$A$5:$A$500=$S$1),--('2026'!$I$5:$I$500=$B9))+SUMPRODUCT(--('2026'!$A$5:$A$500=$S$1),--('2026'!$J$5:$J$500=$B9))</f>
        <v>0</v>
      </c>
      <c r="U9" s="50">
        <f>SUMPRODUCT(--('2026'!$A$5:$A$500=$U$1),--('2026'!$C$5:$C$500=$B9))+SUMPRODUCT(--('2026'!$A$5:$A$500=$U$1),--('2026'!$F$5:$F$500=$B9))+SUMPRODUCT(--('2026'!$A$5:$A$500=$U$1),--('2026'!$D$5:$D$500=$B9))+SUMPRODUCT(--('2026'!$A$5:$A$500=$U$1),--('2026'!$G$5:$G$500=$B9))</f>
        <v>0</v>
      </c>
      <c r="V9" s="50">
        <f>SUMPRODUCT(--('2026'!$A$5:$A$500=$U$1),--('2026'!$I$5:$I$500=$B9))+SUMPRODUCT(--('2026'!$A$5:$A$500=$U$1),--('2026'!$J$5:$J$500=$B9))</f>
        <v>0</v>
      </c>
      <c r="W9" s="60">
        <f>SUMPRODUCT(--('2026'!$A$5:$A$500=$W$1),--('2026'!$C$5:$C$500=$B9))+SUMPRODUCT(--('2026'!$A$5:$A$500=$W$1),--('2026'!$F$5:$F$500=$B9))+SUMPRODUCT(--('2026'!$A$5:$A$500=$W$1),--('2026'!$D$5:$D$500=$B9))+SUMPRODUCT(--('2026'!$A$5:$A$500=$W$1),--('2026'!$G$5:$G$500=$B9))</f>
        <v>0</v>
      </c>
      <c r="X9" s="60">
        <f>SUMPRODUCT(--('2026'!$A$5:$A$500=$W$1),--('2026'!$I$5:$I$500=$B9))+SUMPRODUCT(--('2026'!$A$5:$A$500=$W$1),--('2026'!$J$5:$J$500=$B9))</f>
        <v>0</v>
      </c>
      <c r="Y9" s="51">
        <f>SUMPRODUCT(--('2026'!$A$5:$A$500=$Y$1),--('2026'!$C$5:$C$500=$B9))+SUMPRODUCT(--('2026'!$A$5:$A$500=$Y$1),--('2026'!$F$5:$F$500=$B9))+SUMPRODUCT(--('2026'!$A$5:$A$500=$Y$1),--('2026'!$D$5:$D$500=$B9))+SUMPRODUCT(--('2026'!$A$5:$A$500=$Y$1),--('2026'!$G$5:$G$500=$B9))</f>
        <v>0</v>
      </c>
      <c r="Z9" s="51">
        <f>SUMPRODUCT(--('2026'!$A$5:$A$500=$Y$1),--('2026'!$I$5:$I$500=$B9))+SUMPRODUCT(--('2026'!$A$5:$A$500=$Y$1),--('2026'!$J$5:$J$500=$B9))</f>
        <v>0</v>
      </c>
      <c r="AA9" s="51">
        <f>SUMPRODUCT(--('2026'!$A$5:$A$500=$AA$1),--('2026'!$C$5:$C$500=$B9))+SUMPRODUCT(--('2026'!$A$5:$A$500=$AA$1),--('2026'!$F$5:$F$500=$B9))+SUMPRODUCT(--('2026'!$A$5:$A$500=$AA$1),--('2026'!$D$5:$D$500=$B9))+SUMPRODUCT(--('2026'!$A$5:$A$500=$AA$1),--('2026'!$G$5:$G$500=$B9))</f>
        <v>0</v>
      </c>
      <c r="AB9" s="51">
        <f>SUMPRODUCT(--('2026'!$A$5:$A$500=$AA$1),--('2026'!$I$5:$I$500=$B9))+SUMPRODUCT(--('2026'!$A$5:$A$500=$AA$1),--('2026'!$J$5:$J$500=$B9))</f>
        <v>0</v>
      </c>
      <c r="AC9" s="51">
        <f>SUMPRODUCT(--('2026'!$A$5:$A$500=$AC$1),--('2026'!$C$5:$C$500=$B9))+SUMPRODUCT(--('2026'!$A$5:$A$500=$AC$1),--('2026'!$F$5:$F$500=$B9))+SUMPRODUCT(--('2026'!$A$5:$A$500=$AC$1),--('2026'!$D$5:$D$500=$B9))+SUMPRODUCT(--('2026'!$A$5:$A$500=$AC$1),--('2026'!$G$5:$G$500=$B9))</f>
        <v>0</v>
      </c>
      <c r="AD9" s="51">
        <f>SUMPRODUCT(--('2026'!$A$5:$A$500=$AC$1),--('2026'!$I$5:$I$500=$B9))+SUMPRODUCT(--('2026'!$A$5:$A$500=$AC$1),--('2026'!$J$5:$J$500=$B9))</f>
        <v>0</v>
      </c>
      <c r="AE9" s="61">
        <f>SUMPRODUCT(--('2026'!$A$5:$A$500=$AE$1),--('2026'!$C$5:$C$500=$B9))+SUMPRODUCT(--('2026'!$A$5:$A$500=$AE$1),--('2026'!$F$5:$F$500=$B9))+SUMPRODUCT(--('2026'!$A$5:$A$500=$AE$1),--('2026'!$D$5:$D$500=$B9))+SUMPRODUCT(--('2026'!$A$5:$A$500=$AE$1),--('2026'!$G$5:$G$500=$B9))</f>
        <v>0</v>
      </c>
      <c r="AF9" s="61">
        <f>SUMPRODUCT(--('2026'!$A$5:$A$500=$AE$1),--('2026'!$I$5:$I$500=$B9))+SUMPRODUCT(--('2026'!$A$5:$A$500=$AE$1),--('2026'!$J$5:$J$500=$B9))</f>
        <v>0</v>
      </c>
      <c r="AG9" s="51">
        <f>SUMPRODUCT(--('2026'!$A$5:$A$500=$AG$1),--('2026'!$C$5:$C$500=$B9))+SUMPRODUCT(--('2026'!$A$5:$A$500=$AG$1),--('2026'!$F$5:$F$500=$B9))+SUMPRODUCT(--('2026'!$A$5:$A$500=$AG$1),--('2026'!$D$5:$D$500=$B9))+SUMPRODUCT(--('2026'!$A$5:$A$500=$AG$1),--('2026'!$G$5:$G$500=$B9))</f>
        <v>0</v>
      </c>
      <c r="AH9" s="51">
        <f>SUMPRODUCT(--('2026'!$A$5:$A$500=$AG$1),--('2026'!$I$5:$I$500=$B9))+SUMPRODUCT(--('2026'!$A$5:$A$500=$AG$1),--('2026'!$J$5:$J$500=$B9))</f>
        <v>0</v>
      </c>
      <c r="AI9" s="51">
        <f>SUMPRODUCT(--('2026'!$A$5:$A$500=$AI$1),--('2026'!$C$5:$C$500=$B9))+SUMPRODUCT(--('2026'!$A$5:$A$500=$AI$1),--('2026'!$F$5:$F$500=$B9))+SUMPRODUCT(--('2026'!$A$5:$A$500=$AI$1),--('2026'!$D$5:$D$500=$B9))+SUMPRODUCT(--('2026'!$A$5:$A$500=$AI$1),--('2026'!$G$5:$G$500=$B9))</f>
        <v>0</v>
      </c>
      <c r="AJ9" s="51">
        <f>SUMPRODUCT(--('2026'!$A$5:$A$500=$AI$1),--('2026'!$I$5:$I$500=$B9))+SUMPRODUCT(--('2026'!$A$5:$A$500=$AI$1),--('2026'!$J$5:$J$500=$B9))</f>
        <v>0</v>
      </c>
      <c r="AK9" s="51">
        <f>SUMPRODUCT(--('2026'!$A$5:$A$500=$AK$1),--('2026'!$C$5:$C$500=$B9))+SUMPRODUCT(--('2026'!$A$5:$A$500=$AK$1),--('2026'!$F$5:$F$500=$B9))+SUMPRODUCT(--('2026'!$A$5:$A$500=$AK$1),--('2026'!$D$5:$D$500=$B9))+SUMPRODUCT(--('2026'!$A$5:$A$500=$AK$1),--('2026'!$G$5:$G$500=$B9))</f>
        <v>0</v>
      </c>
      <c r="AL9" s="51">
        <f>SUMPRODUCT(--('2026'!$A$5:$A$500=$AK$1),--('2026'!$I$5:$I$500=$B9))+SUMPRODUCT(--('2026'!$A$5:$A$500=$AK$1),--('2026'!$J$5:$J$500=$B9))</f>
        <v>0</v>
      </c>
      <c r="AM9" s="51">
        <f>SUMPRODUCT(--('2026'!$A$5:$A$500=$AM$1),--('2026'!$C$5:$C$500=$B9))+SUMPRODUCT(--('2026'!$A$5:$A$500=$AM$1),--('2026'!$F$5:$F$500=$B9))+SUMPRODUCT(--('2026'!$A$5:$A$500=$AM$1),--('2026'!$D$5:$D$500=$B9))+SUMPRODUCT(--('2026'!$A$5:$A$500=$AM$1),--('2026'!$G$5:$G$500=$B9))</f>
        <v>0</v>
      </c>
      <c r="AN9" s="51">
        <f>SUMPRODUCT(--('2026'!$A$5:$A$500=$AM$1),--('2026'!$I$5:$I$500=$B9))+SUMPRODUCT(--('2026'!$A$5:$A$500=$AM$1),--('2026'!$J$5:$J$500=$B9))</f>
        <v>0</v>
      </c>
      <c r="AO9" s="51">
        <f>SUMPRODUCT(--('2026'!$A$5:$A$500=$AO$1),--('2026'!$C$5:$C$500=$B9))+SUMPRODUCT(--('2026'!$A$5:$A$500=$AO$1),--('2026'!$F$5:$F$500=$B9))+SUMPRODUCT(--('2026'!$A$5:$A$500=$AO$1),--('2026'!$D$5:$D$500=$B9))+SUMPRODUCT(--('2026'!$A$5:$A$500=$AO$1),--('2026'!$G$5:$G$500=$B9))</f>
        <v>0</v>
      </c>
      <c r="AP9" s="51">
        <f>SUMPRODUCT(--('2026'!$A$5:$A$500=$AO$1),--('2026'!$I$5:$I$500=$B9))+SUMPRODUCT(--('2026'!$A$5:$A$500=$AO$1),--('2026'!$J$5:$J$500=$B9))</f>
        <v>0</v>
      </c>
      <c r="AQ9" s="51">
        <f>SUMPRODUCT(--('2026'!$A$5:$A$500=$AQ$1),--('2026'!$C$5:$C$500=$B9))+SUMPRODUCT(--('2026'!$A$5:$A$500=$AQ$1),--('2026'!$F$5:$F$500=$B9))+SUMPRODUCT(--('2026'!$A$5:$A$500=$AQ$1),--('2026'!$D$5:$D$500=$B9))+SUMPRODUCT(--('2026'!$A$5:$A$500=$AQ$1),--('2026'!$G$5:$G$500=$B9))</f>
        <v>0</v>
      </c>
      <c r="AR9" s="51">
        <f>SUMPRODUCT(--('2026'!$A$5:$A$500=$AQ$1),--('2026'!$I$5:$I$500=$B9))+SUMPRODUCT(--('2026'!$A$5:$A$500=$AQ$1),--('2026'!$J$5:$J$500=$B9))</f>
        <v>0</v>
      </c>
      <c r="AS9" s="51">
        <f>SUMPRODUCT(--('2026'!$A$5:$A$500=$AS$1),--('2026'!$C$5:$C$500=$B9))+SUMPRODUCT(--('2026'!$A$5:$A$500=$AS$1),--('2026'!$F$5:$F$500=$B9))+SUMPRODUCT(--('2026'!$A$5:$A$500=$AS$1),--('2026'!$D$5:$D$500=$B9))+SUMPRODUCT(--('2026'!$A$5:$A$500=$AS$1),--('2026'!$G$5:$G$500=$B9))</f>
        <v>0</v>
      </c>
      <c r="AT9" s="51">
        <f>SUMPRODUCT(--('2026'!$A$5:$A$500=$AS$1),--('2026'!$I$5:$I$500=$B9))+SUMPRODUCT(--('2026'!$A$5:$A$500=$AS$1),--('2026'!$J$5:$J$500=$B9))</f>
        <v>0</v>
      </c>
      <c r="AU9" s="51">
        <f>SUMPRODUCT(--('2026'!$A$5:$A$500=$AU$1),--('2026'!$C$5:$C$500=$B9))+SUMPRODUCT(--('2026'!$A$5:$A$500=$AU$1),--('2026'!$F$5:$F$500=$B9))+SUMPRODUCT(--('2026'!$A$5:$A$500=$AU$1),--('2026'!$D$5:$D$500=$B9))+SUMPRODUCT(--('2026'!$A$5:$A$500=$AU$1),--('2026'!$G$5:$G$500=$B9))</f>
        <v>0</v>
      </c>
      <c r="AV9" s="51">
        <f>SUMPRODUCT(--('2026'!$A$5:$A$500=$AU$1),--('2026'!$I$5:$I$500=$B9))+SUMPRODUCT(--('2026'!$A$5:$A$500=$AU$1),--('2026'!$J$5:$J$500=$B9))</f>
        <v>0</v>
      </c>
      <c r="AW9" s="51">
        <f>SUMPRODUCT(--('2026'!$A$5:$A$500=$AW$1),--('2026'!$C$5:$C$500=$B9))+SUMPRODUCT(--('2026'!$A$5:$A$500=$AW$1),--('2026'!$F$5:$F$500=$B9))+SUMPRODUCT(--('2026'!$A$5:$A$500=$AW$1),--('2026'!$D$5:$D$500=$B9))+SUMPRODUCT(--('2026'!$A$5:$A$500=$AW$1),--('2026'!$G$5:$G$500=$B9))</f>
        <v>0</v>
      </c>
      <c r="AX9" s="51">
        <f>SUMPRODUCT(--('2026'!$A$5:$A$500=$AW$1),--('2026'!$I$5:$I$500=$B9))+SUMPRODUCT(--('2026'!$A$5:$A$500=$AW$1),--('2026'!$J$5:$J$500=$B9))</f>
        <v>0</v>
      </c>
      <c r="BA9" s="54" t="s">
        <v>40</v>
      </c>
      <c r="BB9" s="47">
        <f t="shared" si="0"/>
        <v>0</v>
      </c>
      <c r="BC9" s="52">
        <f t="shared" si="1"/>
        <v>0</v>
      </c>
    </row>
    <row r="10" spans="1:55" ht="15" x14ac:dyDescent="0.25">
      <c r="A10">
        <v>8</v>
      </c>
      <c r="B10" s="54" t="s">
        <v>74</v>
      </c>
      <c r="C10" s="50">
        <f>SUMPRODUCT(--('2026'!$A$5:$A$500=$C$1),--('2026'!$C$5:$C$500=$B10))+SUMPRODUCT(--('2026'!$A$5:$A$500=$C$1),--('2026'!$F$5:$F$500=$B10))+SUMPRODUCT(--('2026'!$A$5:$A$500=$C$1),--('2026'!$D$5:$D$500=$B10))+SUMPRODUCT(--('2026'!$A$5:$A$500=$C$1),--('2026'!$G$5:$G$500=$B10))</f>
        <v>0</v>
      </c>
      <c r="D10" s="50">
        <f>SUMPRODUCT(--('2026'!$A$5:$A$500=$C$1),--('2026'!$I$5:$I$500=$B10))+SUMPRODUCT(--('2026'!$A$5:$A$500=$C$1),--('2026'!$J$5:$J$500=$B10))</f>
        <v>0</v>
      </c>
      <c r="E10" s="50">
        <f>SUMPRODUCT(--('2026'!$A$5:$A$500=$E$1),--('2026'!$C$5:$C$500=$B10))+SUMPRODUCT(--('2026'!$A$5:$A$500=$E$1),--('2026'!$F$5:$F$500=$B10))+SUMPRODUCT(--('2026'!$A$5:$A$500=$E$1),--('2026'!$D$5:$D$500=$B10))+SUMPRODUCT(--('2026'!$A$5:$A$500=$E$1),--('2026'!$G$5:$G$500=$B10))</f>
        <v>0</v>
      </c>
      <c r="F10" s="50">
        <f>SUMPRODUCT(--('2026'!$A$5:$A$500=$E$1),--('2026'!$I$5:$I$500=$B10))+SUMPRODUCT(--('2026'!$A$5:$A$500=$E$1),--('2026'!$J$5:$J$500=$B10))</f>
        <v>0</v>
      </c>
      <c r="G10" s="50">
        <f>SUMPRODUCT(--('2026'!$A$5:$A$500=$G$1),--('2026'!$C$5:$C$500=$B10))+SUMPRODUCT(--('2026'!$A$5:$A$500=$G$1),--('2026'!$F$5:$F$500=$B10))+SUMPRODUCT(--('2026'!$A$5:$A$500=$G$1),--('2026'!$D$5:$D$500=$B10))+SUMPRODUCT(--('2026'!$A$5:$A$500=$G$1),--('2026'!$G$5:$G$500=$B10))</f>
        <v>0</v>
      </c>
      <c r="H10" s="50">
        <f>SUMPRODUCT(--('2026'!$A$5:$A$500=$G$1),--('2026'!$I$5:$I$500=$B10))+SUMPRODUCT(--('2026'!$A$5:$A$500=$G$1),--('2026'!$J$5:$J$500=$B10))</f>
        <v>0</v>
      </c>
      <c r="I10" s="50">
        <f>SUMPRODUCT(--('2026'!$A$5:$A$500=$I$1),--('2026'!$C$5:$C$500=$B10))+SUMPRODUCT(--('2026'!$A$5:$A$500=$I$1),--('2026'!$F$5:$F$500=$B10))+SUMPRODUCT(--('2026'!$A$5:$A$500=$I$1),--('2026'!$D$5:$D$500=$B10))+SUMPRODUCT(--('2026'!$A$5:$A$500=$I$1),--('2026'!$G$5:$G$500=$B10))</f>
        <v>0</v>
      </c>
      <c r="J10" s="50">
        <f>SUMPRODUCT(--('2026'!$A$5:$A$500=$I$1),--('2026'!$I$5:$I$500=$B10))+SUMPRODUCT(--('2026'!$A$5:$A$500=$I$1),--('2026'!$J$5:$J$500=$B10))</f>
        <v>0</v>
      </c>
      <c r="K10" s="50">
        <f>SUMPRODUCT(--('2026'!$A$5:$A$500=$K$1),--('2026'!$C$5:$C$500=$B10))+SUMPRODUCT(--('2026'!$A$5:$A$500=$K$1),--('2026'!$F$5:$F$500=$B10))+SUMPRODUCT(--('2026'!$A$5:$A$500=$K$1),--('2026'!$D$5:$D$500=$B10))+SUMPRODUCT(--('2026'!$A$5:$A$500=$K$1),--('2026'!$G$5:$G$500=$B10))</f>
        <v>0</v>
      </c>
      <c r="L10" s="50">
        <f>SUMPRODUCT(--('2026'!$A$5:$A$500=$K$1),--('2026'!$I$5:$I$500=$B10))+SUMPRODUCT(--('2026'!$A$5:$A$500=$K$1),--('2026'!$J$5:$J$500=$B10))</f>
        <v>0</v>
      </c>
      <c r="M10" s="50">
        <f>SUMPRODUCT(--('2026'!$A$5:$A$500=$M$1),--('2026'!$C$5:$C$500=$B10))+SUMPRODUCT(--('2026'!$A$5:$A$500=$M$1),--('2026'!$F$5:$F$500=$B10))+SUMPRODUCT(--('2026'!$A$5:$A$500=$M$1),--('2026'!$D$5:$D$500=$B10))+SUMPRODUCT(--('2026'!$A$5:$A$500=$M$1),--('2026'!$G$5:$G$500=$B10))</f>
        <v>0</v>
      </c>
      <c r="N10" s="50">
        <f>SUMPRODUCT(--('2026'!$A$5:$A$500=$M$1),--('2026'!$I$5:$I$500=$B10))+SUMPRODUCT(--('2026'!$A$5:$A$500=$M$1),--('2026'!$J$5:$J$500=$B10))</f>
        <v>0</v>
      </c>
      <c r="O10" s="50">
        <f>SUMPRODUCT(--('2026'!$A$5:$A$500=$O$1),--('2026'!$C$5:$C$500=$B10))+SUMPRODUCT(--('2026'!$A$5:$A$500=$O$1),--('2026'!$F$5:$F$500=$B10))+SUMPRODUCT(--('2026'!$A$5:$A$500=$O$1),--('2026'!$D$5:$D$500=$B10))+SUMPRODUCT(--('2026'!$A$5:$A$500=$O$1),--('2026'!$G$5:$G$500=$B10))</f>
        <v>0</v>
      </c>
      <c r="P10" s="50">
        <f>SUMPRODUCT(--('2026'!$A$5:$A$500=$O$1),--('2026'!$I$5:$I$500=$B10))+SUMPRODUCT(--('2026'!$A$5:$A$500=$O$1),--('2026'!$J$5:$J$500=$B10))</f>
        <v>0</v>
      </c>
      <c r="Q10" s="50">
        <f>SUMPRODUCT(--('2026'!$A$5:$A$500=$Q$1),--('2026'!$C$5:$C$500=$B10))+SUMPRODUCT(--('2026'!$A$5:$A$500=$Q$1),--('2026'!$F$5:$F$500=$B10))+SUMPRODUCT(--('2026'!$A$5:$A$500=$Q$1),--('2026'!$D$5:$D$500=$B10))+SUMPRODUCT(--('2026'!$A$5:$A$500=$Q$1),--('2026'!$G$5:$G$500=$B10))</f>
        <v>0</v>
      </c>
      <c r="R10" s="50">
        <f>SUMPRODUCT(--('2026'!$A$5:$A$500=$Q$1),--('2026'!$I$5:$I$500=$B10))+SUMPRODUCT(--('2026'!$A$5:$A$500=$Q$1),--('2026'!$J$5:$J$500=$B10))</f>
        <v>0</v>
      </c>
      <c r="S10" s="50">
        <f>SUMPRODUCT(--('2026'!$A$5:$A$500=$S$1),--('2026'!$C$5:$C$500=$B10))+SUMPRODUCT(--('2026'!$A$5:$A$500=$S$1),--('2026'!$F$5:$F$500=$B10))+SUMPRODUCT(--('2026'!$A$5:$A$500=$S$1),--('2026'!$D$5:$D$500=$B10))+SUMPRODUCT(--('2026'!$A$5:$A$500=$S$1),--('2026'!$G$5:$G$500=$B10))</f>
        <v>0</v>
      </c>
      <c r="T10" s="50">
        <f>SUMPRODUCT(--('2026'!$A$5:$A$500=$S$1),--('2026'!$I$5:$I$500=$B10))+SUMPRODUCT(--('2026'!$A$5:$A$500=$S$1),--('2026'!$J$5:$J$500=$B10))</f>
        <v>0</v>
      </c>
      <c r="U10" s="50">
        <f>SUMPRODUCT(--('2026'!$A$5:$A$500=$U$1),--('2026'!$C$5:$C$500=$B10))+SUMPRODUCT(--('2026'!$A$5:$A$500=$U$1),--('2026'!$F$5:$F$500=$B10))+SUMPRODUCT(--('2026'!$A$5:$A$500=$U$1),--('2026'!$D$5:$D$500=$B10))+SUMPRODUCT(--('2026'!$A$5:$A$500=$U$1),--('2026'!$G$5:$G$500=$B10))</f>
        <v>0</v>
      </c>
      <c r="V10" s="50">
        <f>SUMPRODUCT(--('2026'!$A$5:$A$500=$U$1),--('2026'!$I$5:$I$500=$B10))+SUMPRODUCT(--('2026'!$A$5:$A$500=$U$1),--('2026'!$J$5:$J$500=$B10))</f>
        <v>0</v>
      </c>
      <c r="W10" s="60">
        <f>SUMPRODUCT(--('2026'!$A$5:$A$500=$W$1),--('2026'!$C$5:$C$500=$B10))+SUMPRODUCT(--('2026'!$A$5:$A$500=$W$1),--('2026'!$F$5:$F$500=$B10))+SUMPRODUCT(--('2026'!$A$5:$A$500=$W$1),--('2026'!$D$5:$D$500=$B10))+SUMPRODUCT(--('2026'!$A$5:$A$500=$W$1),--('2026'!$G$5:$G$500=$B10))</f>
        <v>0</v>
      </c>
      <c r="X10" s="60">
        <f>SUMPRODUCT(--('2026'!$A$5:$A$500=$W$1),--('2026'!$I$5:$I$500=$B10))+SUMPRODUCT(--('2026'!$A$5:$A$500=$W$1),--('2026'!$J$5:$J$500=$B10))</f>
        <v>0</v>
      </c>
      <c r="Y10" s="50">
        <f>SUMPRODUCT(--('2026'!$A$5:$A$500=$Y$1),--('2026'!$C$5:$C$500=$B10))+SUMPRODUCT(--('2026'!$A$5:$A$500=$Y$1),--('2026'!$F$5:$F$500=$B10))+SUMPRODUCT(--('2026'!$A$5:$A$500=$Y$1),--('2026'!$D$5:$D$500=$B10))+SUMPRODUCT(--('2026'!$A$5:$A$500=$Y$1),--('2026'!$G$5:$G$500=$B10))</f>
        <v>0</v>
      </c>
      <c r="Z10" s="50">
        <f>SUMPRODUCT(--('2026'!$A$5:$A$500=$Y$1),--('2026'!$I$5:$I$500=$B10))+SUMPRODUCT(--('2026'!$A$5:$A$500=$Y$1),--('2026'!$J$5:$J$500=$B10))</f>
        <v>0</v>
      </c>
      <c r="AA10" s="50">
        <f>SUMPRODUCT(--('2026'!$A$5:$A$500=$AA$1),--('2026'!$C$5:$C$500=$B10))+SUMPRODUCT(--('2026'!$A$5:$A$500=$AA$1),--('2026'!$F$5:$F$500=$B10))+SUMPRODUCT(--('2026'!$A$5:$A$500=$AA$1),--('2026'!$D$5:$D$500=$B10))+SUMPRODUCT(--('2026'!$A$5:$A$500=$AA$1),--('2026'!$G$5:$G$500=$B10))</f>
        <v>0</v>
      </c>
      <c r="AB10" s="50">
        <f>SUMPRODUCT(--('2026'!$A$5:$A$500=$AA$1),--('2026'!$I$5:$I$500=$B10))+SUMPRODUCT(--('2026'!$A$5:$A$500=$AA$1),--('2026'!$J$5:$J$500=$B10))</f>
        <v>0</v>
      </c>
      <c r="AC10" s="50">
        <f>SUMPRODUCT(--('2026'!$A$5:$A$500=$AC$1),--('2026'!$C$5:$C$500=$B10))+SUMPRODUCT(--('2026'!$A$5:$A$500=$AC$1),--('2026'!$F$5:$F$500=$B10))+SUMPRODUCT(--('2026'!$A$5:$A$500=$AC$1),--('2026'!$D$5:$D$500=$B10))+SUMPRODUCT(--('2026'!$A$5:$A$500=$AC$1),--('2026'!$G$5:$G$500=$B10))</f>
        <v>0</v>
      </c>
      <c r="AD10" s="50">
        <f>SUMPRODUCT(--('2026'!$A$5:$A$500=$AC$1),--('2026'!$I$5:$I$500=$B10))+SUMPRODUCT(--('2026'!$A$5:$A$500=$AC$1),--('2026'!$J$5:$J$500=$B10))</f>
        <v>0</v>
      </c>
      <c r="AE10" s="50">
        <f>SUMPRODUCT(--('2026'!$A$5:$A$500=$AE$1),--('2026'!$C$5:$C$500=$B10))+SUMPRODUCT(--('2026'!$A$5:$A$500=$AE$1),--('2026'!$F$5:$F$500=$B10))+SUMPRODUCT(--('2026'!$A$5:$A$500=$AE$1),--('2026'!$D$5:$D$500=$B10))+SUMPRODUCT(--('2026'!$A$5:$A$500=$AE$1),--('2026'!$G$5:$G$500=$B10))</f>
        <v>0</v>
      </c>
      <c r="AF10" s="50">
        <f>SUMPRODUCT(--('2026'!$A$5:$A$500=$AE$1),--('2026'!$I$5:$I$500=$B10))+SUMPRODUCT(--('2026'!$A$5:$A$500=$AE$1),--('2026'!$J$5:$J$500=$B10))</f>
        <v>0</v>
      </c>
      <c r="AG10" s="50">
        <f>SUMPRODUCT(--('2026'!$A$5:$A$500=$AG$1),--('2026'!$C$5:$C$500=$B10))+SUMPRODUCT(--('2026'!$A$5:$A$500=$AG$1),--('2026'!$F$5:$F$500=$B10))+SUMPRODUCT(--('2026'!$A$5:$A$500=$AG$1),--('2026'!$D$5:$D$500=$B10))+SUMPRODUCT(--('2026'!$A$5:$A$500=$AG$1),--('2026'!$G$5:$G$500=$B10))</f>
        <v>0</v>
      </c>
      <c r="AH10" s="50">
        <f>SUMPRODUCT(--('2026'!$A$5:$A$500=$AG$1),--('2026'!$I$5:$I$500=$B10))+SUMPRODUCT(--('2026'!$A$5:$A$500=$AG$1),--('2026'!$J$5:$J$500=$B10))</f>
        <v>0</v>
      </c>
      <c r="AI10" s="50">
        <f>SUMPRODUCT(--('2026'!$A$5:$A$500=$AI$1),--('2026'!$C$5:$C$500=$B10))+SUMPRODUCT(--('2026'!$A$5:$A$500=$AI$1),--('2026'!$F$5:$F$500=$B10))+SUMPRODUCT(--('2026'!$A$5:$A$500=$AI$1),--('2026'!$D$5:$D$500=$B10))+SUMPRODUCT(--('2026'!$A$5:$A$500=$AI$1),--('2026'!$G$5:$G$500=$B10))</f>
        <v>0</v>
      </c>
      <c r="AJ10" s="50">
        <f>SUMPRODUCT(--('2026'!$A$5:$A$500=$AI$1),--('2026'!$I$5:$I$500=$B10))+SUMPRODUCT(--('2026'!$A$5:$A$500=$AI$1),--('2026'!$J$5:$J$500=$B10))</f>
        <v>0</v>
      </c>
      <c r="AK10" s="50">
        <f>SUMPRODUCT(--('2026'!$A$5:$A$500=$AK$1),--('2026'!$C$5:$C$500=$B10))+SUMPRODUCT(--('2026'!$A$5:$A$500=$AK$1),--('2026'!$F$5:$F$500=$B10))+SUMPRODUCT(--('2026'!$A$5:$A$500=$AK$1),--('2026'!$D$5:$D$500=$B10))+SUMPRODUCT(--('2026'!$A$5:$A$500=$AK$1),--('2026'!$G$5:$G$500=$B10))</f>
        <v>0</v>
      </c>
      <c r="AL10" s="50">
        <f>SUMPRODUCT(--('2026'!$A$5:$A$500=$AK$1),--('2026'!$I$5:$I$500=$B10))+SUMPRODUCT(--('2026'!$A$5:$A$500=$AK$1),--('2026'!$J$5:$J$500=$B10))</f>
        <v>0</v>
      </c>
      <c r="AM10" s="50">
        <f>SUMPRODUCT(--('2026'!$A$5:$A$500=$AM$1),--('2026'!$C$5:$C$500=$B10))+SUMPRODUCT(--('2026'!$A$5:$A$500=$AM$1),--('2026'!$F$5:$F$500=$B10))+SUMPRODUCT(--('2026'!$A$5:$A$500=$AM$1),--('2026'!$D$5:$D$500=$B10))+SUMPRODUCT(--('2026'!$A$5:$A$500=$AM$1),--('2026'!$G$5:$G$500=$B10))</f>
        <v>0</v>
      </c>
      <c r="AN10" s="50">
        <f>SUMPRODUCT(--('2026'!$A$5:$A$500=$AM$1),--('2026'!$I$5:$I$500=$B10))+SUMPRODUCT(--('2026'!$A$5:$A$500=$AM$1),--('2026'!$J$5:$J$500=$B10))</f>
        <v>0</v>
      </c>
      <c r="AO10" s="50">
        <f>SUMPRODUCT(--('2026'!$A$5:$A$500=$AO$1),--('2026'!$C$5:$C$500=$B10))+SUMPRODUCT(--('2026'!$A$5:$A$500=$AO$1),--('2026'!$F$5:$F$500=$B10))+SUMPRODUCT(--('2026'!$A$5:$A$500=$AO$1),--('2026'!$D$5:$D$500=$B10))+SUMPRODUCT(--('2026'!$A$5:$A$500=$AO$1),--('2026'!$G$5:$G$500=$B10))</f>
        <v>0</v>
      </c>
      <c r="AP10" s="50">
        <f>SUMPRODUCT(--('2026'!$A$5:$A$500=$AO$1),--('2026'!$I$5:$I$500=$B10))+SUMPRODUCT(--('2026'!$A$5:$A$500=$AO$1),--('2026'!$J$5:$J$500=$B10))</f>
        <v>0</v>
      </c>
      <c r="AQ10" s="50">
        <f>SUMPRODUCT(--('2026'!$A$5:$A$500=$AQ$1),--('2026'!$C$5:$C$500=$B10))+SUMPRODUCT(--('2026'!$A$5:$A$500=$AQ$1),--('2026'!$F$5:$F$500=$B10))+SUMPRODUCT(--('2026'!$A$5:$A$500=$AQ$1),--('2026'!$D$5:$D$500=$B10))+SUMPRODUCT(--('2026'!$A$5:$A$500=$AQ$1),--('2026'!$G$5:$G$500=$B10))</f>
        <v>0</v>
      </c>
      <c r="AR10" s="50">
        <f>SUMPRODUCT(--('2026'!$A$5:$A$500=$AQ$1),--('2026'!$I$5:$I$500=$B10))+SUMPRODUCT(--('2026'!$A$5:$A$500=$AQ$1),--('2026'!$J$5:$J$500=$B10))</f>
        <v>0</v>
      </c>
      <c r="AS10" s="50">
        <f>SUMPRODUCT(--('2026'!$A$5:$A$500=$AS$1),--('2026'!$C$5:$C$500=$B10))+SUMPRODUCT(--('2026'!$A$5:$A$500=$AS$1),--('2026'!$F$5:$F$500=$B10))+SUMPRODUCT(--('2026'!$A$5:$A$500=$AS$1),--('2026'!$D$5:$D$500=$B10))+SUMPRODUCT(--('2026'!$A$5:$A$500=$AS$1),--('2026'!$G$5:$G$500=$B10))</f>
        <v>0</v>
      </c>
      <c r="AT10" s="50">
        <f>SUMPRODUCT(--('2026'!$A$5:$A$500=$AS$1),--('2026'!$I$5:$I$500=$B10))+SUMPRODUCT(--('2026'!$A$5:$A$500=$AS$1),--('2026'!$J$5:$J$500=$B10))</f>
        <v>0</v>
      </c>
      <c r="AU10" s="50">
        <f>SUMPRODUCT(--('2026'!$A$5:$A$500=$AU$1),--('2026'!$C$5:$C$500=$B10))+SUMPRODUCT(--('2026'!$A$5:$A$500=$AU$1),--('2026'!$F$5:$F$500=$B10))+SUMPRODUCT(--('2026'!$A$5:$A$500=$AU$1),--('2026'!$D$5:$D$500=$B10))+SUMPRODUCT(--('2026'!$A$5:$A$500=$AU$1),--('2026'!$G$5:$G$500=$B10))</f>
        <v>0</v>
      </c>
      <c r="AV10" s="50">
        <f>SUMPRODUCT(--('2026'!$A$5:$A$500=$AU$1),--('2026'!$I$5:$I$500=$B10))+SUMPRODUCT(--('2026'!$A$5:$A$500=$AU$1),--('2026'!$J$5:$J$500=$B10))</f>
        <v>0</v>
      </c>
      <c r="AW10" s="50">
        <f>SUMPRODUCT(--('2026'!$A$5:$A$500=$AW$1),--('2026'!$C$5:$C$500=$B10))+SUMPRODUCT(--('2026'!$A$5:$A$500=$AW$1),--('2026'!$F$5:$F$500=$B10))+SUMPRODUCT(--('2026'!$A$5:$A$500=$AW$1),--('2026'!$D$5:$D$500=$B10))+SUMPRODUCT(--('2026'!$A$5:$A$500=$AW$1),--('2026'!$G$5:$G$500=$B10))</f>
        <v>0</v>
      </c>
      <c r="AX10" s="50">
        <f>SUMPRODUCT(--('2026'!$A$5:$A$500=$AW$1),--('2026'!$I$5:$I$500=$B10))+SUMPRODUCT(--('2026'!$A$5:$A$500=$AW$1),--('2026'!$J$5:$J$500=$B10))</f>
        <v>0</v>
      </c>
      <c r="BA10" s="54" t="s">
        <v>74</v>
      </c>
      <c r="BB10" s="47">
        <f t="shared" si="0"/>
        <v>0</v>
      </c>
      <c r="BC10" s="52">
        <f t="shared" si="1"/>
        <v>0</v>
      </c>
    </row>
    <row r="11" spans="1:55" ht="15" x14ac:dyDescent="0.25">
      <c r="A11">
        <v>9</v>
      </c>
      <c r="B11" s="54" t="s">
        <v>4</v>
      </c>
      <c r="C11" s="50">
        <f>SUMPRODUCT(--('2026'!$A$5:$A$500=$C$1),--('2026'!$C$5:$C$500=$B11))+SUMPRODUCT(--('2026'!$A$5:$A$500=$C$1),--('2026'!$F$5:$F$500=$B11))+SUMPRODUCT(--('2026'!$A$5:$A$500=$C$1),--('2026'!$D$5:$D$500=$B11))+SUMPRODUCT(--('2026'!$A$5:$A$500=$C$1),--('2026'!$G$5:$G$500=$B11))</f>
        <v>0</v>
      </c>
      <c r="D11" s="50">
        <f>SUMPRODUCT(--('2026'!$A$5:$A$500=$C$1),--('2026'!$I$5:$I$500=$B11))+SUMPRODUCT(--('2026'!$A$5:$A$500=$C$1),--('2026'!$J$5:$J$500=$B11))</f>
        <v>0</v>
      </c>
      <c r="E11" s="50">
        <f>SUMPRODUCT(--('2026'!$A$5:$A$500=$E$1),--('2026'!$C$5:$C$500=$B11))+SUMPRODUCT(--('2026'!$A$5:$A$500=$E$1),--('2026'!$F$5:$F$500=$B11))+SUMPRODUCT(--('2026'!$A$5:$A$500=$E$1),--('2026'!$D$5:$D$500=$B11))+SUMPRODUCT(--('2026'!$A$5:$A$500=$E$1),--('2026'!$G$5:$G$500=$B11))</f>
        <v>0</v>
      </c>
      <c r="F11" s="50">
        <f>SUMPRODUCT(--('2026'!$A$5:$A$500=$E$1),--('2026'!$I$5:$I$500=$B11))+SUMPRODUCT(--('2026'!$A$5:$A$500=$E$1),--('2026'!$J$5:$J$500=$B11))</f>
        <v>0</v>
      </c>
      <c r="G11" s="50">
        <f>SUMPRODUCT(--('2026'!$A$5:$A$500=$G$1),--('2026'!$C$5:$C$500=$B11))+SUMPRODUCT(--('2026'!$A$5:$A$500=$G$1),--('2026'!$F$5:$F$500=$B11))+SUMPRODUCT(--('2026'!$A$5:$A$500=$G$1),--('2026'!$D$5:$D$500=$B11))+SUMPRODUCT(--('2026'!$A$5:$A$500=$G$1),--('2026'!$G$5:$G$500=$B11))</f>
        <v>0</v>
      </c>
      <c r="H11" s="50">
        <f>SUMPRODUCT(--('2026'!$A$5:$A$500=$G$1),--('2026'!$I$5:$I$500=$B11))+SUMPRODUCT(--('2026'!$A$5:$A$500=$G$1),--('2026'!$J$5:$J$500=$B11))</f>
        <v>0</v>
      </c>
      <c r="I11" s="50">
        <f>SUMPRODUCT(--('2026'!$A$5:$A$500=$I$1),--('2026'!$C$5:$C$500=$B11))+SUMPRODUCT(--('2026'!$A$5:$A$500=$I$1),--('2026'!$F$5:$F$500=$B11))+SUMPRODUCT(--('2026'!$A$5:$A$500=$I$1),--('2026'!$D$5:$D$500=$B11))+SUMPRODUCT(--('2026'!$A$5:$A$500=$I$1),--('2026'!$G$5:$G$500=$B11))</f>
        <v>0</v>
      </c>
      <c r="J11" s="50">
        <f>SUMPRODUCT(--('2026'!$A$5:$A$500=$I$1),--('2026'!$I$5:$I$500=$B11))+SUMPRODUCT(--('2026'!$A$5:$A$500=$I$1),--('2026'!$J$5:$J$500=$B11))</f>
        <v>0</v>
      </c>
      <c r="K11" s="50">
        <f>SUMPRODUCT(--('2026'!$A$5:$A$500=$K$1),--('2026'!$C$5:$C$500=$B11))+SUMPRODUCT(--('2026'!$A$5:$A$500=$K$1),--('2026'!$F$5:$F$500=$B11))+SUMPRODUCT(--('2026'!$A$5:$A$500=$K$1),--('2026'!$D$5:$D$500=$B11))+SUMPRODUCT(--('2026'!$A$5:$A$500=$K$1),--('2026'!$G$5:$G$500=$B11))</f>
        <v>0</v>
      </c>
      <c r="L11" s="50">
        <f>SUMPRODUCT(--('2026'!$A$5:$A$500=$K$1),--('2026'!$I$5:$I$500=$B11))+SUMPRODUCT(--('2026'!$A$5:$A$500=$K$1),--('2026'!$J$5:$J$500=$B11))</f>
        <v>0</v>
      </c>
      <c r="M11" s="50">
        <f>SUMPRODUCT(--('2026'!$A$5:$A$500=$M$1),--('2026'!$C$5:$C$500=$B11))+SUMPRODUCT(--('2026'!$A$5:$A$500=$M$1),--('2026'!$F$5:$F$500=$B11))+SUMPRODUCT(--('2026'!$A$5:$A$500=$M$1),--('2026'!$D$5:$D$500=$B11))+SUMPRODUCT(--('2026'!$A$5:$A$500=$M$1),--('2026'!$G$5:$G$500=$B11))</f>
        <v>0</v>
      </c>
      <c r="N11" s="50">
        <f>SUMPRODUCT(--('2026'!$A$5:$A$500=$M$1),--('2026'!$I$5:$I$500=$B11))+SUMPRODUCT(--('2026'!$A$5:$A$500=$M$1),--('2026'!$J$5:$J$500=$B11))</f>
        <v>0</v>
      </c>
      <c r="O11" s="50">
        <f>SUMPRODUCT(--('2026'!$A$5:$A$500=$O$1),--('2026'!$C$5:$C$500=$B11))+SUMPRODUCT(--('2026'!$A$5:$A$500=$O$1),--('2026'!$F$5:$F$500=$B11))+SUMPRODUCT(--('2026'!$A$5:$A$500=$O$1),--('2026'!$D$5:$D$500=$B11))+SUMPRODUCT(--('2026'!$A$5:$A$500=$O$1),--('2026'!$G$5:$G$500=$B11))</f>
        <v>0</v>
      </c>
      <c r="P11" s="50">
        <f>SUMPRODUCT(--('2026'!$A$5:$A$500=$O$1),--('2026'!$I$5:$I$500=$B11))+SUMPRODUCT(--('2026'!$A$5:$A$500=$O$1),--('2026'!$J$5:$J$500=$B11))</f>
        <v>0</v>
      </c>
      <c r="Q11" s="50">
        <f>SUMPRODUCT(--('2026'!$A$5:$A$500=$Q$1),--('2026'!$C$5:$C$500=$B11))+SUMPRODUCT(--('2026'!$A$5:$A$500=$Q$1),--('2026'!$F$5:$F$500=$B11))+SUMPRODUCT(--('2026'!$A$5:$A$500=$Q$1),--('2026'!$D$5:$D$500=$B11))+SUMPRODUCT(--('2026'!$A$5:$A$500=$Q$1),--('2026'!$G$5:$G$500=$B11))</f>
        <v>0</v>
      </c>
      <c r="R11" s="50">
        <f>SUMPRODUCT(--('2026'!$A$5:$A$500=$Q$1),--('2026'!$I$5:$I$500=$B11))+SUMPRODUCT(--('2026'!$A$5:$A$500=$Q$1),--('2026'!$J$5:$J$500=$B11))</f>
        <v>0</v>
      </c>
      <c r="S11" s="50">
        <f>SUMPRODUCT(--('2026'!$A$5:$A$500=$S$1),--('2026'!$C$5:$C$500=$B11))+SUMPRODUCT(--('2026'!$A$5:$A$500=$S$1),--('2026'!$F$5:$F$500=$B11))+SUMPRODUCT(--('2026'!$A$5:$A$500=$S$1),--('2026'!$D$5:$D$500=$B11))+SUMPRODUCT(--('2026'!$A$5:$A$500=$S$1),--('2026'!$G$5:$G$500=$B11))</f>
        <v>0</v>
      </c>
      <c r="T11" s="50">
        <f>SUMPRODUCT(--('2026'!$A$5:$A$500=$S$1),--('2026'!$I$5:$I$500=$B11))+SUMPRODUCT(--('2026'!$A$5:$A$500=$S$1),--('2026'!$J$5:$J$500=$B11))</f>
        <v>0</v>
      </c>
      <c r="U11" s="50">
        <f>SUMPRODUCT(--('2026'!$A$5:$A$500=$U$1),--('2026'!$C$5:$C$500=$B11))+SUMPRODUCT(--('2026'!$A$5:$A$500=$U$1),--('2026'!$F$5:$F$500=$B11))+SUMPRODUCT(--('2026'!$A$5:$A$500=$U$1),--('2026'!$D$5:$D$500=$B11))+SUMPRODUCT(--('2026'!$A$5:$A$500=$U$1),--('2026'!$G$5:$G$500=$B11))</f>
        <v>0</v>
      </c>
      <c r="V11" s="50">
        <f>SUMPRODUCT(--('2026'!$A$5:$A$500=$U$1),--('2026'!$I$5:$I$500=$B11))+SUMPRODUCT(--('2026'!$A$5:$A$500=$U$1),--('2026'!$J$5:$J$500=$B11))</f>
        <v>0</v>
      </c>
      <c r="W11" s="60">
        <f>SUMPRODUCT(--('2026'!$A$5:$A$500=$W$1),--('2026'!$C$5:$C$500=$B11))+SUMPRODUCT(--('2026'!$A$5:$A$500=$W$1),--('2026'!$F$5:$F$500=$B11))+SUMPRODUCT(--('2026'!$A$5:$A$500=$W$1),--('2026'!$D$5:$D$500=$B11))+SUMPRODUCT(--('2026'!$A$5:$A$500=$W$1),--('2026'!$G$5:$G$500=$B11))</f>
        <v>0</v>
      </c>
      <c r="X11" s="60">
        <f>SUMPRODUCT(--('2026'!$A$5:$A$500=$W$1),--('2026'!$I$5:$I$500=$B11))+SUMPRODUCT(--('2026'!$A$5:$A$500=$W$1),--('2026'!$J$5:$J$500=$B11))</f>
        <v>0</v>
      </c>
      <c r="Y11" s="51">
        <f>SUMPRODUCT(--('2026'!$A$5:$A$500=$Y$1),--('2026'!$C$5:$C$500=$B11))+SUMPRODUCT(--('2026'!$A$5:$A$500=$Y$1),--('2026'!$F$5:$F$500=$B11))+SUMPRODUCT(--('2026'!$A$5:$A$500=$Y$1),--('2026'!$D$5:$D$500=$B11))+SUMPRODUCT(--('2026'!$A$5:$A$500=$Y$1),--('2026'!$G$5:$G$500=$B11))</f>
        <v>0</v>
      </c>
      <c r="Z11" s="51">
        <f>SUMPRODUCT(--('2026'!$A$5:$A$500=$Y$1),--('2026'!$I$5:$I$500=$B11))+SUMPRODUCT(--('2026'!$A$5:$A$500=$Y$1),--('2026'!$J$5:$J$500=$B11))</f>
        <v>0</v>
      </c>
      <c r="AA11" s="51">
        <f>SUMPRODUCT(--('2026'!$A$5:$A$500=$AA$1),--('2026'!$C$5:$C$500=$B11))+SUMPRODUCT(--('2026'!$A$5:$A$500=$AA$1),--('2026'!$F$5:$F$500=$B11))+SUMPRODUCT(--('2026'!$A$5:$A$500=$AA$1),--('2026'!$D$5:$D$500=$B11))+SUMPRODUCT(--('2026'!$A$5:$A$500=$AA$1),--('2026'!$G$5:$G$500=$B11))</f>
        <v>0</v>
      </c>
      <c r="AB11" s="51">
        <f>SUMPRODUCT(--('2026'!$A$5:$A$500=$AA$1),--('2026'!$I$5:$I$500=$B11))+SUMPRODUCT(--('2026'!$A$5:$A$500=$AA$1),--('2026'!$J$5:$J$500=$B11))</f>
        <v>0</v>
      </c>
      <c r="AC11" s="51">
        <f>SUMPRODUCT(--('2026'!$A$5:$A$500=$AC$1),--('2026'!$C$5:$C$500=$B11))+SUMPRODUCT(--('2026'!$A$5:$A$500=$AC$1),--('2026'!$F$5:$F$500=$B11))+SUMPRODUCT(--('2026'!$A$5:$A$500=$AC$1),--('2026'!$D$5:$D$500=$B11))+SUMPRODUCT(--('2026'!$A$5:$A$500=$AC$1),--('2026'!$G$5:$G$500=$B11))</f>
        <v>0</v>
      </c>
      <c r="AD11" s="51">
        <f>SUMPRODUCT(--('2026'!$A$5:$A$500=$AC$1),--('2026'!$I$5:$I$500=$B11))+SUMPRODUCT(--('2026'!$A$5:$A$500=$AC$1),--('2026'!$J$5:$J$500=$B11))</f>
        <v>0</v>
      </c>
      <c r="AE11" s="61">
        <f>SUMPRODUCT(--('2026'!$A$5:$A$500=$AE$1),--('2026'!$C$5:$C$500=$B11))+SUMPRODUCT(--('2026'!$A$5:$A$500=$AE$1),--('2026'!$F$5:$F$500=$B11))+SUMPRODUCT(--('2026'!$A$5:$A$500=$AE$1),--('2026'!$D$5:$D$500=$B11))+SUMPRODUCT(--('2026'!$A$5:$A$500=$AE$1),--('2026'!$G$5:$G$500=$B11))</f>
        <v>0</v>
      </c>
      <c r="AF11" s="61">
        <f>SUMPRODUCT(--('2026'!$A$5:$A$500=$AE$1),--('2026'!$I$5:$I$500=$B11))+SUMPRODUCT(--('2026'!$A$5:$A$500=$AE$1),--('2026'!$J$5:$J$500=$B11))</f>
        <v>0</v>
      </c>
      <c r="AG11" s="51">
        <f>SUMPRODUCT(--('2026'!$A$5:$A$500=$AG$1),--('2026'!$C$5:$C$500=$B11))+SUMPRODUCT(--('2026'!$A$5:$A$500=$AG$1),--('2026'!$F$5:$F$500=$B11))+SUMPRODUCT(--('2026'!$A$5:$A$500=$AG$1),--('2026'!$D$5:$D$500=$B11))+SUMPRODUCT(--('2026'!$A$5:$A$500=$AG$1),--('2026'!$G$5:$G$500=$B11))</f>
        <v>0</v>
      </c>
      <c r="AH11" s="51">
        <f>SUMPRODUCT(--('2026'!$A$5:$A$500=$AG$1),--('2026'!$I$5:$I$500=$B11))+SUMPRODUCT(--('2026'!$A$5:$A$500=$AG$1),--('2026'!$J$5:$J$500=$B11))</f>
        <v>0</v>
      </c>
      <c r="AI11" s="51">
        <f>SUMPRODUCT(--('2026'!$A$5:$A$500=$AI$1),--('2026'!$C$5:$C$500=$B11))+SUMPRODUCT(--('2026'!$A$5:$A$500=$AI$1),--('2026'!$F$5:$F$500=$B11))+SUMPRODUCT(--('2026'!$A$5:$A$500=$AI$1),--('2026'!$D$5:$D$500=$B11))+SUMPRODUCT(--('2026'!$A$5:$A$500=$AI$1),--('2026'!$G$5:$G$500=$B11))</f>
        <v>0</v>
      </c>
      <c r="AJ11" s="51">
        <f>SUMPRODUCT(--('2026'!$A$5:$A$500=$AI$1),--('2026'!$I$5:$I$500=$B11))+SUMPRODUCT(--('2026'!$A$5:$A$500=$AI$1),--('2026'!$J$5:$J$500=$B11))</f>
        <v>0</v>
      </c>
      <c r="AK11" s="51">
        <f>SUMPRODUCT(--('2026'!$A$5:$A$500=$AK$1),--('2026'!$C$5:$C$500=$B11))+SUMPRODUCT(--('2026'!$A$5:$A$500=$AK$1),--('2026'!$F$5:$F$500=$B11))+SUMPRODUCT(--('2026'!$A$5:$A$500=$AK$1),--('2026'!$D$5:$D$500=$B11))+SUMPRODUCT(--('2026'!$A$5:$A$500=$AK$1),--('2026'!$G$5:$G$500=$B11))</f>
        <v>0</v>
      </c>
      <c r="AL11" s="51">
        <f>SUMPRODUCT(--('2026'!$A$5:$A$500=$AK$1),--('2026'!$I$5:$I$500=$B11))+SUMPRODUCT(--('2026'!$A$5:$A$500=$AK$1),--('2026'!$J$5:$J$500=$B11))</f>
        <v>0</v>
      </c>
      <c r="AM11" s="51">
        <f>SUMPRODUCT(--('2026'!$A$5:$A$500=$AM$1),--('2026'!$C$5:$C$500=$B11))+SUMPRODUCT(--('2026'!$A$5:$A$500=$AM$1),--('2026'!$F$5:$F$500=$B11))+SUMPRODUCT(--('2026'!$A$5:$A$500=$AM$1),--('2026'!$D$5:$D$500=$B11))+SUMPRODUCT(--('2026'!$A$5:$A$500=$AM$1),--('2026'!$G$5:$G$500=$B11))</f>
        <v>0</v>
      </c>
      <c r="AN11" s="51">
        <f>SUMPRODUCT(--('2026'!$A$5:$A$500=$AM$1),--('2026'!$I$5:$I$500=$B11))+SUMPRODUCT(--('2026'!$A$5:$A$500=$AM$1),--('2026'!$J$5:$J$500=$B11))</f>
        <v>0</v>
      </c>
      <c r="AO11" s="51">
        <f>SUMPRODUCT(--('2026'!$A$5:$A$500=$AO$1),--('2026'!$C$5:$C$500=$B11))+SUMPRODUCT(--('2026'!$A$5:$A$500=$AO$1),--('2026'!$F$5:$F$500=$B11))+SUMPRODUCT(--('2026'!$A$5:$A$500=$AO$1),--('2026'!$D$5:$D$500=$B11))+SUMPRODUCT(--('2026'!$A$5:$A$500=$AO$1),--('2026'!$G$5:$G$500=$B11))</f>
        <v>0</v>
      </c>
      <c r="AP11" s="51">
        <f>SUMPRODUCT(--('2026'!$A$5:$A$500=$AO$1),--('2026'!$I$5:$I$500=$B11))+SUMPRODUCT(--('2026'!$A$5:$A$500=$AO$1),--('2026'!$J$5:$J$500=$B11))</f>
        <v>0</v>
      </c>
      <c r="AQ11" s="51">
        <f>SUMPRODUCT(--('2026'!$A$5:$A$500=$AQ$1),--('2026'!$C$5:$C$500=$B11))+SUMPRODUCT(--('2026'!$A$5:$A$500=$AQ$1),--('2026'!$F$5:$F$500=$B11))+SUMPRODUCT(--('2026'!$A$5:$A$500=$AQ$1),--('2026'!$D$5:$D$500=$B11))+SUMPRODUCT(--('2026'!$A$5:$A$500=$AQ$1),--('2026'!$G$5:$G$500=$B11))</f>
        <v>0</v>
      </c>
      <c r="AR11" s="51">
        <f>SUMPRODUCT(--('2026'!$A$5:$A$500=$AQ$1),--('2026'!$I$5:$I$500=$B11))+SUMPRODUCT(--('2026'!$A$5:$A$500=$AQ$1),--('2026'!$J$5:$J$500=$B11))</f>
        <v>0</v>
      </c>
      <c r="AS11" s="51">
        <f>SUMPRODUCT(--('2026'!$A$5:$A$500=$AS$1),--('2026'!$C$5:$C$500=$B11))+SUMPRODUCT(--('2026'!$A$5:$A$500=$AS$1),--('2026'!$F$5:$F$500=$B11))+SUMPRODUCT(--('2026'!$A$5:$A$500=$AS$1),--('2026'!$D$5:$D$500=$B11))+SUMPRODUCT(--('2026'!$A$5:$A$500=$AS$1),--('2026'!$G$5:$G$500=$B11))</f>
        <v>0</v>
      </c>
      <c r="AT11" s="51">
        <f>SUMPRODUCT(--('2026'!$A$5:$A$500=$AS$1),--('2026'!$I$5:$I$500=$B11))+SUMPRODUCT(--('2026'!$A$5:$A$500=$AS$1),--('2026'!$J$5:$J$500=$B11))</f>
        <v>0</v>
      </c>
      <c r="AU11" s="51">
        <f>SUMPRODUCT(--('2026'!$A$5:$A$500=$AU$1),--('2026'!$C$5:$C$500=$B11))+SUMPRODUCT(--('2026'!$A$5:$A$500=$AU$1),--('2026'!$F$5:$F$500=$B11))+SUMPRODUCT(--('2026'!$A$5:$A$500=$AU$1),--('2026'!$D$5:$D$500=$B11))+SUMPRODUCT(--('2026'!$A$5:$A$500=$AU$1),--('2026'!$G$5:$G$500=$B11))</f>
        <v>0</v>
      </c>
      <c r="AV11" s="51">
        <f>SUMPRODUCT(--('2026'!$A$5:$A$500=$AU$1),--('2026'!$I$5:$I$500=$B11))+SUMPRODUCT(--('2026'!$A$5:$A$500=$AU$1),--('2026'!$J$5:$J$500=$B11))</f>
        <v>0</v>
      </c>
      <c r="AW11" s="51">
        <f>SUMPRODUCT(--('2026'!$A$5:$A$500=$AW$1),--('2026'!$C$5:$C$500=$B11))+SUMPRODUCT(--('2026'!$A$5:$A$500=$AW$1),--('2026'!$F$5:$F$500=$B11))+SUMPRODUCT(--('2026'!$A$5:$A$500=$AW$1),--('2026'!$D$5:$D$500=$B11))+SUMPRODUCT(--('2026'!$A$5:$A$500=$AW$1),--('2026'!$G$5:$G$500=$B11))</f>
        <v>0</v>
      </c>
      <c r="AX11" s="51">
        <f>SUMPRODUCT(--('2026'!$A$5:$A$500=$AW$1),--('2026'!$I$5:$I$500=$B11))+SUMPRODUCT(--('2026'!$A$5:$A$500=$AW$1),--('2026'!$J$5:$J$500=$B11))</f>
        <v>0</v>
      </c>
      <c r="BA11" s="54" t="s">
        <v>4</v>
      </c>
      <c r="BB11" s="47">
        <f t="shared" si="0"/>
        <v>0</v>
      </c>
      <c r="BC11" s="52">
        <f t="shared" si="1"/>
        <v>0</v>
      </c>
    </row>
    <row r="12" spans="1:55" ht="15" x14ac:dyDescent="0.25">
      <c r="A12">
        <v>10</v>
      </c>
      <c r="B12" s="54" t="s">
        <v>108</v>
      </c>
      <c r="C12" s="50">
        <f>SUMPRODUCT(--('2026'!$A$5:$A$500=$C$1),--('2026'!$C$5:$C$500=$B12))+SUMPRODUCT(--('2026'!$A$5:$A$500=$C$1),--('2026'!$F$5:$F$500=$B12))+SUMPRODUCT(--('2026'!$A$5:$A$500=$C$1),--('2026'!$D$5:$D$500=$B12))+SUMPRODUCT(--('2026'!$A$5:$A$500=$C$1),--('2026'!$G$5:$G$500=$B12))</f>
        <v>0</v>
      </c>
      <c r="D12" s="50">
        <f>SUMPRODUCT(--('2026'!$A$5:$A$500=$C$1),--('2026'!$I$5:$I$500=$B12))+SUMPRODUCT(--('2026'!$A$5:$A$500=$C$1),--('2026'!$J$5:$J$500=$B12))</f>
        <v>0</v>
      </c>
      <c r="E12" s="50">
        <f>SUMPRODUCT(--('2026'!$A$5:$A$500=$E$1),--('2026'!$C$5:$C$500=$B12))+SUMPRODUCT(--('2026'!$A$5:$A$500=$E$1),--('2026'!$F$5:$F$500=$B12))+SUMPRODUCT(--('2026'!$A$5:$A$500=$E$1),--('2026'!$D$5:$D$500=$B12))+SUMPRODUCT(--('2026'!$A$5:$A$500=$E$1),--('2026'!$G$5:$G$500=$B12))</f>
        <v>0</v>
      </c>
      <c r="F12" s="50">
        <f>SUMPRODUCT(--('2026'!$A$5:$A$500=$E$1),--('2026'!$I$5:$I$500=$B12))+SUMPRODUCT(--('2026'!$A$5:$A$500=$E$1),--('2026'!$J$5:$J$500=$B12))</f>
        <v>0</v>
      </c>
      <c r="G12" s="50">
        <f>SUMPRODUCT(--('2026'!$A$5:$A$500=$G$1),--('2026'!$C$5:$C$500=$B12))+SUMPRODUCT(--('2026'!$A$5:$A$500=$G$1),--('2026'!$F$5:$F$500=$B12))+SUMPRODUCT(--('2026'!$A$5:$A$500=$G$1),--('2026'!$D$5:$D$500=$B12))+SUMPRODUCT(--('2026'!$A$5:$A$500=$G$1),--('2026'!$G$5:$G$500=$B12))</f>
        <v>0</v>
      </c>
      <c r="H12" s="50">
        <f>SUMPRODUCT(--('2026'!$A$5:$A$500=$G$1),--('2026'!$I$5:$I$500=$B12))+SUMPRODUCT(--('2026'!$A$5:$A$500=$G$1),--('2026'!$J$5:$J$500=$B12))</f>
        <v>0</v>
      </c>
      <c r="I12" s="50">
        <f>SUMPRODUCT(--('2026'!$A$5:$A$500=$I$1),--('2026'!$C$5:$C$500=$B12))+SUMPRODUCT(--('2026'!$A$5:$A$500=$I$1),--('2026'!$F$5:$F$500=$B12))+SUMPRODUCT(--('2026'!$A$5:$A$500=$I$1),--('2026'!$D$5:$D$500=$B12))+SUMPRODUCT(--('2026'!$A$5:$A$500=$I$1),--('2026'!$G$5:$G$500=$B12))</f>
        <v>0</v>
      </c>
      <c r="J12" s="50">
        <f>SUMPRODUCT(--('2026'!$A$5:$A$500=$I$1),--('2026'!$I$5:$I$500=$B12))+SUMPRODUCT(--('2026'!$A$5:$A$500=$I$1),--('2026'!$J$5:$J$500=$B12))</f>
        <v>0</v>
      </c>
      <c r="K12" s="50">
        <f>SUMPRODUCT(--('2026'!$A$5:$A$500=$K$1),--('2026'!$C$5:$C$500=$B12))+SUMPRODUCT(--('2026'!$A$5:$A$500=$K$1),--('2026'!$F$5:$F$500=$B12))+SUMPRODUCT(--('2026'!$A$5:$A$500=$K$1),--('2026'!$D$5:$D$500=$B12))+SUMPRODUCT(--('2026'!$A$5:$A$500=$K$1),--('2026'!$G$5:$G$500=$B12))</f>
        <v>0</v>
      </c>
      <c r="L12" s="50">
        <f>SUMPRODUCT(--('2026'!$A$5:$A$500=$K$1),--('2026'!$I$5:$I$500=$B12))+SUMPRODUCT(--('2026'!$A$5:$A$500=$K$1),--('2026'!$J$5:$J$500=$B12))</f>
        <v>0</v>
      </c>
      <c r="M12" s="50">
        <f>SUMPRODUCT(--('2026'!$A$5:$A$500=$M$1),--('2026'!$C$5:$C$500=$B12))+SUMPRODUCT(--('2026'!$A$5:$A$500=$M$1),--('2026'!$F$5:$F$500=$B12))+SUMPRODUCT(--('2026'!$A$5:$A$500=$M$1),--('2026'!$D$5:$D$500=$B12))+SUMPRODUCT(--('2026'!$A$5:$A$500=$M$1),--('2026'!$G$5:$G$500=$B12))</f>
        <v>0</v>
      </c>
      <c r="N12" s="50">
        <f>SUMPRODUCT(--('2026'!$A$5:$A$500=$M$1),--('2026'!$I$5:$I$500=$B12))+SUMPRODUCT(--('2026'!$A$5:$A$500=$M$1),--('2026'!$J$5:$J$500=$B12))</f>
        <v>0</v>
      </c>
      <c r="O12" s="50">
        <f>SUMPRODUCT(--('2026'!$A$5:$A$500=$O$1),--('2026'!$C$5:$C$500=$B12))+SUMPRODUCT(--('2026'!$A$5:$A$500=$O$1),--('2026'!$F$5:$F$500=$B12))+SUMPRODUCT(--('2026'!$A$5:$A$500=$O$1),--('2026'!$D$5:$D$500=$B12))+SUMPRODUCT(--('2026'!$A$5:$A$500=$O$1),--('2026'!$G$5:$G$500=$B12))</f>
        <v>0</v>
      </c>
      <c r="P12" s="50">
        <f>SUMPRODUCT(--('2026'!$A$5:$A$500=$O$1),--('2026'!$I$5:$I$500=$B12))+SUMPRODUCT(--('2026'!$A$5:$A$500=$O$1),--('2026'!$J$5:$J$500=$B12))</f>
        <v>0</v>
      </c>
      <c r="Q12" s="50">
        <f>SUMPRODUCT(--('2026'!$A$5:$A$500=$Q$1),--('2026'!$C$5:$C$500=$B12))+SUMPRODUCT(--('2026'!$A$5:$A$500=$Q$1),--('2026'!$F$5:$F$500=$B12))+SUMPRODUCT(--('2026'!$A$5:$A$500=$Q$1),--('2026'!$D$5:$D$500=$B12))+SUMPRODUCT(--('2026'!$A$5:$A$500=$Q$1),--('2026'!$G$5:$G$500=$B12))</f>
        <v>0</v>
      </c>
      <c r="R12" s="50">
        <f>SUMPRODUCT(--('2026'!$A$5:$A$500=$Q$1),--('2026'!$I$5:$I$500=$B12))+SUMPRODUCT(--('2026'!$A$5:$A$500=$Q$1),--('2026'!$J$5:$J$500=$B12))</f>
        <v>0</v>
      </c>
      <c r="S12" s="50">
        <f>SUMPRODUCT(--('2026'!$A$5:$A$500=$S$1),--('2026'!$C$5:$C$500=$B12))+SUMPRODUCT(--('2026'!$A$5:$A$500=$S$1),--('2026'!$F$5:$F$500=$B12))+SUMPRODUCT(--('2026'!$A$5:$A$500=$S$1),--('2026'!$D$5:$D$500=$B12))+SUMPRODUCT(--('2026'!$A$5:$A$500=$S$1),--('2026'!$G$5:$G$500=$B12))</f>
        <v>0</v>
      </c>
      <c r="T12" s="50">
        <f>SUMPRODUCT(--('2026'!$A$5:$A$500=$S$1),--('2026'!$I$5:$I$500=$B12))+SUMPRODUCT(--('2026'!$A$5:$A$500=$S$1),--('2026'!$J$5:$J$500=$B12))</f>
        <v>0</v>
      </c>
      <c r="U12" s="50">
        <f>SUMPRODUCT(--('2026'!$A$5:$A$500=$U$1),--('2026'!$C$5:$C$500=$B12))+SUMPRODUCT(--('2026'!$A$5:$A$500=$U$1),--('2026'!$F$5:$F$500=$B12))+SUMPRODUCT(--('2026'!$A$5:$A$500=$U$1),--('2026'!$D$5:$D$500=$B12))+SUMPRODUCT(--('2026'!$A$5:$A$500=$U$1),--('2026'!$G$5:$G$500=$B12))</f>
        <v>0</v>
      </c>
      <c r="V12" s="50">
        <f>SUMPRODUCT(--('2026'!$A$5:$A$500=$U$1),--('2026'!$I$5:$I$500=$B12))+SUMPRODUCT(--('2026'!$A$5:$A$500=$U$1),--('2026'!$J$5:$J$500=$B12))</f>
        <v>0</v>
      </c>
      <c r="W12" s="60">
        <f>SUMPRODUCT(--('2026'!$A$5:$A$500=$W$1),--('2026'!$C$5:$C$500=$B12))+SUMPRODUCT(--('2026'!$A$5:$A$500=$W$1),--('2026'!$F$5:$F$500=$B12))+SUMPRODUCT(--('2026'!$A$5:$A$500=$W$1),--('2026'!$D$5:$D$500=$B12))+SUMPRODUCT(--('2026'!$A$5:$A$500=$W$1),--('2026'!$G$5:$G$500=$B12))</f>
        <v>0</v>
      </c>
      <c r="X12" s="60">
        <f>SUMPRODUCT(--('2026'!$A$5:$A$500=$W$1),--('2026'!$I$5:$I$500=$B12))+SUMPRODUCT(--('2026'!$A$5:$A$500=$W$1),--('2026'!$J$5:$J$500=$B12))</f>
        <v>0</v>
      </c>
      <c r="Y12" s="50">
        <f>SUMPRODUCT(--('2026'!$A$5:$A$500=$Y$1),--('2026'!$C$5:$C$500=$B12))+SUMPRODUCT(--('2026'!$A$5:$A$500=$Y$1),--('2026'!$F$5:$F$500=$B12))+SUMPRODUCT(--('2026'!$A$5:$A$500=$Y$1),--('2026'!$D$5:$D$500=$B12))+SUMPRODUCT(--('2026'!$A$5:$A$500=$Y$1),--('2026'!$G$5:$G$500=$B12))</f>
        <v>0</v>
      </c>
      <c r="Z12" s="50">
        <f>SUMPRODUCT(--('2026'!$A$5:$A$500=$Y$1),--('2026'!$I$5:$I$500=$B12))+SUMPRODUCT(--('2026'!$A$5:$A$500=$Y$1),--('2026'!$J$5:$J$500=$B12))</f>
        <v>0</v>
      </c>
      <c r="AA12" s="50">
        <f>SUMPRODUCT(--('2026'!$A$5:$A$500=$AA$1),--('2026'!$C$5:$C$500=$B12))+SUMPRODUCT(--('2026'!$A$5:$A$500=$AA$1),--('2026'!$F$5:$F$500=$B12))+SUMPRODUCT(--('2026'!$A$5:$A$500=$AA$1),--('2026'!$D$5:$D$500=$B12))+SUMPRODUCT(--('2026'!$A$5:$A$500=$AA$1),--('2026'!$G$5:$G$500=$B12))</f>
        <v>0</v>
      </c>
      <c r="AB12" s="50">
        <f>SUMPRODUCT(--('2026'!$A$5:$A$500=$AA$1),--('2026'!$I$5:$I$500=$B12))+SUMPRODUCT(--('2026'!$A$5:$A$500=$AA$1),--('2026'!$J$5:$J$500=$B12))</f>
        <v>0</v>
      </c>
      <c r="AC12" s="50">
        <f>SUMPRODUCT(--('2026'!$A$5:$A$500=$AC$1),--('2026'!$C$5:$C$500=$B12))+SUMPRODUCT(--('2026'!$A$5:$A$500=$AC$1),--('2026'!$F$5:$F$500=$B12))+SUMPRODUCT(--('2026'!$A$5:$A$500=$AC$1),--('2026'!$D$5:$D$500=$B12))+SUMPRODUCT(--('2026'!$A$5:$A$500=$AC$1),--('2026'!$G$5:$G$500=$B12))</f>
        <v>0</v>
      </c>
      <c r="AD12" s="50">
        <f>SUMPRODUCT(--('2026'!$A$5:$A$500=$AC$1),--('2026'!$I$5:$I$500=$B12))+SUMPRODUCT(--('2026'!$A$5:$A$500=$AC$1),--('2026'!$J$5:$J$500=$B12))</f>
        <v>0</v>
      </c>
      <c r="AE12" s="60">
        <f>SUMPRODUCT(--('2026'!$A$5:$A$500=$AE$1),--('2026'!$C$5:$C$500=$B12))+SUMPRODUCT(--('2026'!$A$5:$A$500=$AE$1),--('2026'!$F$5:$F$500=$B12))+SUMPRODUCT(--('2026'!$A$5:$A$500=$AE$1),--('2026'!$D$5:$D$500=$B12))+SUMPRODUCT(--('2026'!$A$5:$A$500=$AE$1),--('2026'!$G$5:$G$500=$B12))</f>
        <v>0</v>
      </c>
      <c r="AF12" s="60">
        <f>SUMPRODUCT(--('2026'!$A$5:$A$500=$AE$1),--('2026'!$I$5:$I$500=$B12))+SUMPRODUCT(--('2026'!$A$5:$A$500=$AE$1),--('2026'!$J$5:$J$500=$B12))</f>
        <v>0</v>
      </c>
      <c r="AG12" s="50">
        <f>SUMPRODUCT(--('2026'!$A$5:$A$500=$AG$1),--('2026'!$C$5:$C$500=$B12))+SUMPRODUCT(--('2026'!$A$5:$A$500=$AG$1),--('2026'!$F$5:$F$500=$B12))+SUMPRODUCT(--('2026'!$A$5:$A$500=$AG$1),--('2026'!$D$5:$D$500=$B12))+SUMPRODUCT(--('2026'!$A$5:$A$500=$AG$1),--('2026'!$G$5:$G$500=$B12))</f>
        <v>0</v>
      </c>
      <c r="AH12" s="50">
        <f>SUMPRODUCT(--('2026'!$A$5:$A$500=$AG$1),--('2026'!$I$5:$I$500=$B12))+SUMPRODUCT(--('2026'!$A$5:$A$500=$AG$1),--('2026'!$J$5:$J$500=$B12))</f>
        <v>0</v>
      </c>
      <c r="AI12" s="50">
        <f>SUMPRODUCT(--('2026'!$A$5:$A$500=$AI$1),--('2026'!$C$5:$C$500=$B12))+SUMPRODUCT(--('2026'!$A$5:$A$500=$AI$1),--('2026'!$F$5:$F$500=$B12))+SUMPRODUCT(--('2026'!$A$5:$A$500=$AI$1),--('2026'!$D$5:$D$500=$B12))+SUMPRODUCT(--('2026'!$A$5:$A$500=$AI$1),--('2026'!$G$5:$G$500=$B12))</f>
        <v>0</v>
      </c>
      <c r="AJ12" s="50">
        <f>SUMPRODUCT(--('2026'!$A$5:$A$500=$AI$1),--('2026'!$I$5:$I$500=$B12))+SUMPRODUCT(--('2026'!$A$5:$A$500=$AI$1),--('2026'!$J$5:$J$500=$B12))</f>
        <v>0</v>
      </c>
      <c r="AK12" s="50">
        <f>SUMPRODUCT(--('2026'!$A$5:$A$500=$AK$1),--('2026'!$C$5:$C$500=$B12))+SUMPRODUCT(--('2026'!$A$5:$A$500=$AK$1),--('2026'!$F$5:$F$500=$B12))+SUMPRODUCT(--('2026'!$A$5:$A$500=$AK$1),--('2026'!$D$5:$D$500=$B12))+SUMPRODUCT(--('2026'!$A$5:$A$500=$AK$1),--('2026'!$G$5:$G$500=$B12))</f>
        <v>0</v>
      </c>
      <c r="AL12" s="50">
        <f>SUMPRODUCT(--('2026'!$A$5:$A$500=$AK$1),--('2026'!$I$5:$I$500=$B12))+SUMPRODUCT(--('2026'!$A$5:$A$500=$AK$1),--('2026'!$J$5:$J$500=$B12))</f>
        <v>0</v>
      </c>
      <c r="AM12" s="50">
        <f>SUMPRODUCT(--('2026'!$A$5:$A$500=$AM$1),--('2026'!$C$5:$C$500=$B12))+SUMPRODUCT(--('2026'!$A$5:$A$500=$AM$1),--('2026'!$F$5:$F$500=$B12))+SUMPRODUCT(--('2026'!$A$5:$A$500=$AM$1),--('2026'!$D$5:$D$500=$B12))+SUMPRODUCT(--('2026'!$A$5:$A$500=$AM$1),--('2026'!$G$5:$G$500=$B12))</f>
        <v>0</v>
      </c>
      <c r="AN12" s="50">
        <f>SUMPRODUCT(--('2026'!$A$5:$A$500=$AM$1),--('2026'!$I$5:$I$500=$B12))+SUMPRODUCT(--('2026'!$A$5:$A$500=$AM$1),--('2026'!$J$5:$J$500=$B12))</f>
        <v>0</v>
      </c>
      <c r="AO12" s="50">
        <f>SUMPRODUCT(--('2026'!$A$5:$A$500=$AO$1),--('2026'!$C$5:$C$500=$B12))+SUMPRODUCT(--('2026'!$A$5:$A$500=$AO$1),--('2026'!$F$5:$F$500=$B12))+SUMPRODUCT(--('2026'!$A$5:$A$500=$AO$1),--('2026'!$D$5:$D$500=$B12))+SUMPRODUCT(--('2026'!$A$5:$A$500=$AO$1),--('2026'!$G$5:$G$500=$B12))</f>
        <v>0</v>
      </c>
      <c r="AP12" s="50">
        <f>SUMPRODUCT(--('2026'!$A$5:$A$500=$AO$1),--('2026'!$I$5:$I$500=$B12))+SUMPRODUCT(--('2026'!$A$5:$A$500=$AO$1),--('2026'!$J$5:$J$500=$B12))</f>
        <v>0</v>
      </c>
      <c r="AQ12" s="50">
        <f>SUMPRODUCT(--('2026'!$A$5:$A$500=$AQ$1),--('2026'!$C$5:$C$500=$B12))+SUMPRODUCT(--('2026'!$A$5:$A$500=$AQ$1),--('2026'!$F$5:$F$500=$B12))+SUMPRODUCT(--('2026'!$A$5:$A$500=$AQ$1),--('2026'!$D$5:$D$500=$B12))+SUMPRODUCT(--('2026'!$A$5:$A$500=$AQ$1),--('2026'!$G$5:$G$500=$B12))</f>
        <v>0</v>
      </c>
      <c r="AR12" s="50">
        <f>SUMPRODUCT(--('2026'!$A$5:$A$500=$AQ$1),--('2026'!$I$5:$I$500=$B12))+SUMPRODUCT(--('2026'!$A$5:$A$500=$AQ$1),--('2026'!$J$5:$J$500=$B12))</f>
        <v>0</v>
      </c>
      <c r="AS12" s="50">
        <f>SUMPRODUCT(--('2026'!$A$5:$A$500=$AS$1),--('2026'!$C$5:$C$500=$B12))+SUMPRODUCT(--('2026'!$A$5:$A$500=$AS$1),--('2026'!$F$5:$F$500=$B12))+SUMPRODUCT(--('2026'!$A$5:$A$500=$AS$1),--('2026'!$D$5:$D$500=$B12))+SUMPRODUCT(--('2026'!$A$5:$A$500=$AS$1),--('2026'!$G$5:$G$500=$B12))</f>
        <v>0</v>
      </c>
      <c r="AT12" s="50">
        <f>SUMPRODUCT(--('2026'!$A$5:$A$500=$AS$1),--('2026'!$I$5:$I$500=$B12))+SUMPRODUCT(--('2026'!$A$5:$A$500=$AS$1),--('2026'!$J$5:$J$500=$B12))</f>
        <v>0</v>
      </c>
      <c r="AU12" s="50">
        <f>SUMPRODUCT(--('2026'!$A$5:$A$500=$AU$1),--('2026'!$C$5:$C$500=$B12))+SUMPRODUCT(--('2026'!$A$5:$A$500=$AU$1),--('2026'!$F$5:$F$500=$B12))+SUMPRODUCT(--('2026'!$A$5:$A$500=$AU$1),--('2026'!$D$5:$D$500=$B12))+SUMPRODUCT(--('2026'!$A$5:$A$500=$AU$1),--('2026'!$G$5:$G$500=$B12))</f>
        <v>0</v>
      </c>
      <c r="AV12" s="50">
        <f>SUMPRODUCT(--('2026'!$A$5:$A$500=$AU$1),--('2026'!$I$5:$I$500=$B12))+SUMPRODUCT(--('2026'!$A$5:$A$500=$AU$1),--('2026'!$J$5:$J$500=$B12))</f>
        <v>0</v>
      </c>
      <c r="AW12" s="50">
        <f>SUMPRODUCT(--('2026'!$A$5:$A$500=$AW$1),--('2026'!$C$5:$C$500=$B12))+SUMPRODUCT(--('2026'!$A$5:$A$500=$AW$1),--('2026'!$F$5:$F$500=$B12))+SUMPRODUCT(--('2026'!$A$5:$A$500=$AW$1),--('2026'!$D$5:$D$500=$B12))+SUMPRODUCT(--('2026'!$A$5:$A$500=$AW$1),--('2026'!$G$5:$G$500=$B12))</f>
        <v>0</v>
      </c>
      <c r="AX12" s="50">
        <f>SUMPRODUCT(--('2026'!$A$5:$A$500=$AW$1),--('2026'!$I$5:$I$500=$B12))+SUMPRODUCT(--('2026'!$A$5:$A$500=$AW$1),--('2026'!$J$5:$J$500=$B12))</f>
        <v>0</v>
      </c>
      <c r="BA12" s="54" t="s">
        <v>108</v>
      </c>
      <c r="BB12" s="47">
        <f t="shared" si="0"/>
        <v>0</v>
      </c>
      <c r="BC12" s="52">
        <f t="shared" si="1"/>
        <v>0</v>
      </c>
    </row>
    <row r="13" spans="1:55" ht="15" x14ac:dyDescent="0.25">
      <c r="A13">
        <v>11</v>
      </c>
      <c r="B13" s="54" t="s">
        <v>115</v>
      </c>
      <c r="C13" s="50">
        <f>SUMPRODUCT(--('2026'!$A$5:$A$500=$C$1),--('2026'!$C$5:$C$500=$B13))+SUMPRODUCT(--('2026'!$A$5:$A$500=$C$1),--('2026'!$F$5:$F$500=$B13))+SUMPRODUCT(--('2026'!$A$5:$A$500=$C$1),--('2026'!$D$5:$D$500=$B13))+SUMPRODUCT(--('2026'!$A$5:$A$500=$C$1),--('2026'!$G$5:$G$500=$B13))</f>
        <v>0</v>
      </c>
      <c r="D13" s="50">
        <f>SUMPRODUCT(--('2026'!$A$5:$A$500=$C$1),--('2026'!$I$5:$I$500=$B13))+SUMPRODUCT(--('2026'!$A$5:$A$500=$C$1),--('2026'!$J$5:$J$500=$B13))</f>
        <v>0</v>
      </c>
      <c r="E13" s="50">
        <f>SUMPRODUCT(--('2026'!$A$5:$A$500=$E$1),--('2026'!$C$5:$C$500=$B13))+SUMPRODUCT(--('2026'!$A$5:$A$500=$E$1),--('2026'!$F$5:$F$500=$B13))+SUMPRODUCT(--('2026'!$A$5:$A$500=$E$1),--('2026'!$D$5:$D$500=$B13))+SUMPRODUCT(--('2026'!$A$5:$A$500=$E$1),--('2026'!$G$5:$G$500=$B13))</f>
        <v>0</v>
      </c>
      <c r="F13" s="50">
        <f>SUMPRODUCT(--('2026'!$A$5:$A$500=$E$1),--('2026'!$I$5:$I$500=$B13))+SUMPRODUCT(--('2026'!$A$5:$A$500=$E$1),--('2026'!$J$5:$J$500=$B13))</f>
        <v>0</v>
      </c>
      <c r="G13" s="50">
        <f>SUMPRODUCT(--('2026'!$A$5:$A$500=$G$1),--('2026'!$C$5:$C$500=$B13))+SUMPRODUCT(--('2026'!$A$5:$A$500=$G$1),--('2026'!$F$5:$F$500=$B13))+SUMPRODUCT(--('2026'!$A$5:$A$500=$G$1),--('2026'!$D$5:$D$500=$B13))+SUMPRODUCT(--('2026'!$A$5:$A$500=$G$1),--('2026'!$G$5:$G$500=$B13))</f>
        <v>0</v>
      </c>
      <c r="H13" s="50">
        <f>SUMPRODUCT(--('2026'!$A$5:$A$500=$G$1),--('2026'!$I$5:$I$500=$B13))+SUMPRODUCT(--('2026'!$A$5:$A$500=$G$1),--('2026'!$J$5:$J$500=$B13))</f>
        <v>0</v>
      </c>
      <c r="I13" s="50">
        <f>SUMPRODUCT(--('2026'!$A$5:$A$500=$I$1),--('2026'!$C$5:$C$500=$B13))+SUMPRODUCT(--('2026'!$A$5:$A$500=$I$1),--('2026'!$F$5:$F$500=$B13))+SUMPRODUCT(--('2026'!$A$5:$A$500=$I$1),--('2026'!$D$5:$D$500=$B13))+SUMPRODUCT(--('2026'!$A$5:$A$500=$I$1),--('2026'!$G$5:$G$500=$B13))</f>
        <v>0</v>
      </c>
      <c r="J13" s="50">
        <f>SUMPRODUCT(--('2026'!$A$5:$A$500=$I$1),--('2026'!$I$5:$I$500=$B13))+SUMPRODUCT(--('2026'!$A$5:$A$500=$I$1),--('2026'!$J$5:$J$500=$B13))</f>
        <v>0</v>
      </c>
      <c r="K13" s="50">
        <f>SUMPRODUCT(--('2026'!$A$5:$A$500=$K$1),--('2026'!$C$5:$C$500=$B13))+SUMPRODUCT(--('2026'!$A$5:$A$500=$K$1),--('2026'!$F$5:$F$500=$B13))+SUMPRODUCT(--('2026'!$A$5:$A$500=$K$1),--('2026'!$D$5:$D$500=$B13))+SUMPRODUCT(--('2026'!$A$5:$A$500=$K$1),--('2026'!$G$5:$G$500=$B13))</f>
        <v>0</v>
      </c>
      <c r="L13" s="50">
        <f>SUMPRODUCT(--('2026'!$A$5:$A$500=$K$1),--('2026'!$I$5:$I$500=$B13))+SUMPRODUCT(--('2026'!$A$5:$A$500=$K$1),--('2026'!$J$5:$J$500=$B13))</f>
        <v>0</v>
      </c>
      <c r="M13" s="50">
        <f>SUMPRODUCT(--('2026'!$A$5:$A$500=$M$1),--('2026'!$C$5:$C$500=$B13))+SUMPRODUCT(--('2026'!$A$5:$A$500=$M$1),--('2026'!$F$5:$F$500=$B13))+SUMPRODUCT(--('2026'!$A$5:$A$500=$M$1),--('2026'!$D$5:$D$500=$B13))+SUMPRODUCT(--('2026'!$A$5:$A$500=$M$1),--('2026'!$G$5:$G$500=$B13))</f>
        <v>0</v>
      </c>
      <c r="N13" s="50">
        <f>SUMPRODUCT(--('2026'!$A$5:$A$500=$M$1),--('2026'!$I$5:$I$500=$B13))+SUMPRODUCT(--('2026'!$A$5:$A$500=$M$1),--('2026'!$J$5:$J$500=$B13))</f>
        <v>0</v>
      </c>
      <c r="O13" s="50">
        <f>SUMPRODUCT(--('2026'!$A$5:$A$500=$O$1),--('2026'!$C$5:$C$500=$B13))+SUMPRODUCT(--('2026'!$A$5:$A$500=$O$1),--('2026'!$F$5:$F$500=$B13))+SUMPRODUCT(--('2026'!$A$5:$A$500=$O$1),--('2026'!$D$5:$D$500=$B13))+SUMPRODUCT(--('2026'!$A$5:$A$500=$O$1),--('2026'!$G$5:$G$500=$B13))</f>
        <v>0</v>
      </c>
      <c r="P13" s="50">
        <f>SUMPRODUCT(--('2026'!$A$5:$A$500=$O$1),--('2026'!$I$5:$I$500=$B13))+SUMPRODUCT(--('2026'!$A$5:$A$500=$O$1),--('2026'!$J$5:$J$500=$B13))</f>
        <v>0</v>
      </c>
      <c r="Q13" s="50">
        <f>SUMPRODUCT(--('2026'!$A$5:$A$500=$Q$1),--('2026'!$C$5:$C$500=$B13))+SUMPRODUCT(--('2026'!$A$5:$A$500=$Q$1),--('2026'!$F$5:$F$500=$B13))+SUMPRODUCT(--('2026'!$A$5:$A$500=$Q$1),--('2026'!$D$5:$D$500=$B13))+SUMPRODUCT(--('2026'!$A$5:$A$500=$Q$1),--('2026'!$G$5:$G$500=$B13))</f>
        <v>0</v>
      </c>
      <c r="R13" s="50">
        <f>SUMPRODUCT(--('2026'!$A$5:$A$500=$Q$1),--('2026'!$I$5:$I$500=$B13))+SUMPRODUCT(--('2026'!$A$5:$A$500=$Q$1),--('2026'!$J$5:$J$500=$B13))</f>
        <v>0</v>
      </c>
      <c r="S13" s="50">
        <f>SUMPRODUCT(--('2026'!$A$5:$A$500=$S$1),--('2026'!$C$5:$C$500=$B13))+SUMPRODUCT(--('2026'!$A$5:$A$500=$S$1),--('2026'!$F$5:$F$500=$B13))+SUMPRODUCT(--('2026'!$A$5:$A$500=$S$1),--('2026'!$D$5:$D$500=$B13))+SUMPRODUCT(--('2026'!$A$5:$A$500=$S$1),--('2026'!$G$5:$G$500=$B13))</f>
        <v>0</v>
      </c>
      <c r="T13" s="50">
        <f>SUMPRODUCT(--('2026'!$A$5:$A$500=$S$1),--('2026'!$I$5:$I$500=$B13))+SUMPRODUCT(--('2026'!$A$5:$A$500=$S$1),--('2026'!$J$5:$J$500=$B13))</f>
        <v>0</v>
      </c>
      <c r="U13" s="50">
        <f>SUMPRODUCT(--('2026'!$A$5:$A$500=$U$1),--('2026'!$C$5:$C$500=$B13))+SUMPRODUCT(--('2026'!$A$5:$A$500=$U$1),--('2026'!$F$5:$F$500=$B13))+SUMPRODUCT(--('2026'!$A$5:$A$500=$U$1),--('2026'!$D$5:$D$500=$B13))+SUMPRODUCT(--('2026'!$A$5:$A$500=$U$1),--('2026'!$G$5:$G$500=$B13))</f>
        <v>0</v>
      </c>
      <c r="V13" s="50">
        <f>SUMPRODUCT(--('2026'!$A$5:$A$500=$U$1),--('2026'!$I$5:$I$500=$B13))+SUMPRODUCT(--('2026'!$A$5:$A$500=$U$1),--('2026'!$J$5:$J$500=$B13))</f>
        <v>0</v>
      </c>
      <c r="W13" s="60">
        <f>SUMPRODUCT(--('2026'!$A$5:$A$500=$W$1),--('2026'!$C$5:$C$500=$B13))+SUMPRODUCT(--('2026'!$A$5:$A$500=$W$1),--('2026'!$F$5:$F$500=$B13))+SUMPRODUCT(--('2026'!$A$5:$A$500=$W$1),--('2026'!$D$5:$D$500=$B13))+SUMPRODUCT(--('2026'!$A$5:$A$500=$W$1),--('2026'!$G$5:$G$500=$B13))</f>
        <v>0</v>
      </c>
      <c r="X13" s="60">
        <f>SUMPRODUCT(--('2026'!$A$5:$A$500=$W$1),--('2026'!$I$5:$I$500=$B13))+SUMPRODUCT(--('2026'!$A$5:$A$500=$W$1),--('2026'!$J$5:$J$500=$B13))</f>
        <v>0</v>
      </c>
      <c r="Y13" s="50">
        <f>SUMPRODUCT(--('2026'!$A$5:$A$500=$Y$1),--('2026'!$C$5:$C$500=$B13))+SUMPRODUCT(--('2026'!$A$5:$A$500=$Y$1),--('2026'!$F$5:$F$500=$B13))+SUMPRODUCT(--('2026'!$A$5:$A$500=$Y$1),--('2026'!$D$5:$D$500=$B13))+SUMPRODUCT(--('2026'!$A$5:$A$500=$Y$1),--('2026'!$G$5:$G$500=$B13))</f>
        <v>0</v>
      </c>
      <c r="Z13" s="50">
        <f>SUMPRODUCT(--('2026'!$A$5:$A$500=$Y$1),--('2026'!$I$5:$I$500=$B13))+SUMPRODUCT(--('2026'!$A$5:$A$500=$Y$1),--('2026'!$J$5:$J$500=$B13))</f>
        <v>0</v>
      </c>
      <c r="AA13" s="50">
        <f>SUMPRODUCT(--('2026'!$A$5:$A$500=$AA$1),--('2026'!$C$5:$C$500=$B13))+SUMPRODUCT(--('2026'!$A$5:$A$500=$AA$1),--('2026'!$F$5:$F$500=$B13))+SUMPRODUCT(--('2026'!$A$5:$A$500=$AA$1),--('2026'!$D$5:$D$500=$B13))+SUMPRODUCT(--('2026'!$A$5:$A$500=$AA$1),--('2026'!$G$5:$G$500=$B13))</f>
        <v>0</v>
      </c>
      <c r="AB13" s="50">
        <f>SUMPRODUCT(--('2026'!$A$5:$A$500=$AA$1),--('2026'!$I$5:$I$500=$B13))+SUMPRODUCT(--('2026'!$A$5:$A$500=$AA$1),--('2026'!$J$5:$J$500=$B13))</f>
        <v>0</v>
      </c>
      <c r="AC13" s="50">
        <f>SUMPRODUCT(--('2026'!$A$5:$A$500=$AC$1),--('2026'!$C$5:$C$500=$B13))+SUMPRODUCT(--('2026'!$A$5:$A$500=$AC$1),--('2026'!$F$5:$F$500=$B13))+SUMPRODUCT(--('2026'!$A$5:$A$500=$AC$1),--('2026'!$D$5:$D$500=$B13))+SUMPRODUCT(--('2026'!$A$5:$A$500=$AC$1),--('2026'!$G$5:$G$500=$B13))</f>
        <v>0</v>
      </c>
      <c r="AD13" s="50">
        <f>SUMPRODUCT(--('2026'!$A$5:$A$500=$AC$1),--('2026'!$I$5:$I$500=$B13))+SUMPRODUCT(--('2026'!$A$5:$A$500=$AC$1),--('2026'!$J$5:$J$500=$B13))</f>
        <v>0</v>
      </c>
      <c r="AE13" s="60">
        <f>SUMPRODUCT(--('2026'!$A$5:$A$500=$AE$1),--('2026'!$C$5:$C$500=$B13))+SUMPRODUCT(--('2026'!$A$5:$A$500=$AE$1),--('2026'!$F$5:$F$500=$B13))+SUMPRODUCT(--('2026'!$A$5:$A$500=$AE$1),--('2026'!$D$5:$D$500=$B13))+SUMPRODUCT(--('2026'!$A$5:$A$500=$AE$1),--('2026'!$G$5:$G$500=$B13))</f>
        <v>0</v>
      </c>
      <c r="AF13" s="60">
        <f>SUMPRODUCT(--('2026'!$A$5:$A$500=$AE$1),--('2026'!$I$5:$I$500=$B13))+SUMPRODUCT(--('2026'!$A$5:$A$500=$AE$1),--('2026'!$J$5:$J$500=$B13))</f>
        <v>0</v>
      </c>
      <c r="AG13" s="50">
        <f>SUMPRODUCT(--('2026'!$A$5:$A$500=$AG$1),--('2026'!$C$5:$C$500=$B13))+SUMPRODUCT(--('2026'!$A$5:$A$500=$AG$1),--('2026'!$F$5:$F$500=$B13))+SUMPRODUCT(--('2026'!$A$5:$A$500=$AG$1),--('2026'!$D$5:$D$500=$B13))+SUMPRODUCT(--('2026'!$A$5:$A$500=$AG$1),--('2026'!$G$5:$G$500=$B13))</f>
        <v>0</v>
      </c>
      <c r="AH13" s="50">
        <f>SUMPRODUCT(--('2026'!$A$5:$A$500=$AG$1),--('2026'!$I$5:$I$500=$B13))+SUMPRODUCT(--('2026'!$A$5:$A$500=$AG$1),--('2026'!$J$5:$J$500=$B13))</f>
        <v>0</v>
      </c>
      <c r="AI13" s="50">
        <f>SUMPRODUCT(--('2026'!$A$5:$A$500=$AI$1),--('2026'!$C$5:$C$500=$B13))+SUMPRODUCT(--('2026'!$A$5:$A$500=$AI$1),--('2026'!$F$5:$F$500=$B13))+SUMPRODUCT(--('2026'!$A$5:$A$500=$AI$1),--('2026'!$D$5:$D$500=$B13))+SUMPRODUCT(--('2026'!$A$5:$A$500=$AI$1),--('2026'!$G$5:$G$500=$B13))</f>
        <v>0</v>
      </c>
      <c r="AJ13" s="50">
        <f>SUMPRODUCT(--('2026'!$A$5:$A$500=$AI$1),--('2026'!$I$5:$I$500=$B13))+SUMPRODUCT(--('2026'!$A$5:$A$500=$AI$1),--('2026'!$J$5:$J$500=$B13))</f>
        <v>0</v>
      </c>
      <c r="AK13" s="50">
        <f>SUMPRODUCT(--('2026'!$A$5:$A$500=$AK$1),--('2026'!$C$5:$C$500=$B13))+SUMPRODUCT(--('2026'!$A$5:$A$500=$AK$1),--('2026'!$F$5:$F$500=$B13))+SUMPRODUCT(--('2026'!$A$5:$A$500=$AK$1),--('2026'!$D$5:$D$500=$B13))+SUMPRODUCT(--('2026'!$A$5:$A$500=$AK$1),--('2026'!$G$5:$G$500=$B13))</f>
        <v>0</v>
      </c>
      <c r="AL13" s="50">
        <f>SUMPRODUCT(--('2026'!$A$5:$A$500=$AK$1),--('2026'!$I$5:$I$500=$B13))+SUMPRODUCT(--('2026'!$A$5:$A$500=$AK$1),--('2026'!$J$5:$J$500=$B13))</f>
        <v>0</v>
      </c>
      <c r="AM13" s="50">
        <f>SUMPRODUCT(--('2026'!$A$5:$A$500=$AM$1),--('2026'!$C$5:$C$500=$B13))+SUMPRODUCT(--('2026'!$A$5:$A$500=$AM$1),--('2026'!$F$5:$F$500=$B13))+SUMPRODUCT(--('2026'!$A$5:$A$500=$AM$1),--('2026'!$D$5:$D$500=$B13))+SUMPRODUCT(--('2026'!$A$5:$A$500=$AM$1),--('2026'!$G$5:$G$500=$B13))</f>
        <v>0</v>
      </c>
      <c r="AN13" s="50">
        <f>SUMPRODUCT(--('2026'!$A$5:$A$500=$AM$1),--('2026'!$I$5:$I$500=$B13))+SUMPRODUCT(--('2026'!$A$5:$A$500=$AM$1),--('2026'!$J$5:$J$500=$B13))</f>
        <v>0</v>
      </c>
      <c r="AO13" s="50">
        <f>SUMPRODUCT(--('2026'!$A$5:$A$500=$AO$1),--('2026'!$C$5:$C$500=$B13))+SUMPRODUCT(--('2026'!$A$5:$A$500=$AO$1),--('2026'!$F$5:$F$500=$B13))+SUMPRODUCT(--('2026'!$A$5:$A$500=$AO$1),--('2026'!$D$5:$D$500=$B13))+SUMPRODUCT(--('2026'!$A$5:$A$500=$AO$1),--('2026'!$G$5:$G$500=$B13))</f>
        <v>0</v>
      </c>
      <c r="AP13" s="50">
        <f>SUMPRODUCT(--('2026'!$A$5:$A$500=$AO$1),--('2026'!$I$5:$I$500=$B13))+SUMPRODUCT(--('2026'!$A$5:$A$500=$AO$1),--('2026'!$J$5:$J$500=$B13))</f>
        <v>0</v>
      </c>
      <c r="AQ13" s="50">
        <f>SUMPRODUCT(--('2026'!$A$5:$A$500=$AQ$1),--('2026'!$C$5:$C$500=$B13))+SUMPRODUCT(--('2026'!$A$5:$A$500=$AQ$1),--('2026'!$F$5:$F$500=$B13))+SUMPRODUCT(--('2026'!$A$5:$A$500=$AQ$1),--('2026'!$D$5:$D$500=$B13))+SUMPRODUCT(--('2026'!$A$5:$A$500=$AQ$1),--('2026'!$G$5:$G$500=$B13))</f>
        <v>0</v>
      </c>
      <c r="AR13" s="50">
        <f>SUMPRODUCT(--('2026'!$A$5:$A$500=$AQ$1),--('2026'!$I$5:$I$500=$B13))+SUMPRODUCT(--('2026'!$A$5:$A$500=$AQ$1),--('2026'!$J$5:$J$500=$B13))</f>
        <v>0</v>
      </c>
      <c r="AS13" s="50">
        <f>SUMPRODUCT(--('2026'!$A$5:$A$500=$AS$1),--('2026'!$C$5:$C$500=$B13))+SUMPRODUCT(--('2026'!$A$5:$A$500=$AS$1),--('2026'!$F$5:$F$500=$B13))+SUMPRODUCT(--('2026'!$A$5:$A$500=$AS$1),--('2026'!$D$5:$D$500=$B13))+SUMPRODUCT(--('2026'!$A$5:$A$500=$AS$1),--('2026'!$G$5:$G$500=$B13))</f>
        <v>0</v>
      </c>
      <c r="AT13" s="50">
        <f>SUMPRODUCT(--('2026'!$A$5:$A$500=$AS$1),--('2026'!$I$5:$I$500=$B13))+SUMPRODUCT(--('2026'!$A$5:$A$500=$AS$1),--('2026'!$J$5:$J$500=$B13))</f>
        <v>0</v>
      </c>
      <c r="AU13" s="50">
        <f>SUMPRODUCT(--('2026'!$A$5:$A$500=$AU$1),--('2026'!$C$5:$C$500=$B13))+SUMPRODUCT(--('2026'!$A$5:$A$500=$AU$1),--('2026'!$F$5:$F$500=$B13))+SUMPRODUCT(--('2026'!$A$5:$A$500=$AU$1),--('2026'!$D$5:$D$500=$B13))+SUMPRODUCT(--('2026'!$A$5:$A$500=$AU$1),--('2026'!$G$5:$G$500=$B13))</f>
        <v>0</v>
      </c>
      <c r="AV13" s="50">
        <f>SUMPRODUCT(--('2026'!$A$5:$A$500=$AU$1),--('2026'!$I$5:$I$500=$B13))+SUMPRODUCT(--('2026'!$A$5:$A$500=$AU$1),--('2026'!$J$5:$J$500=$B13))</f>
        <v>0</v>
      </c>
      <c r="AW13" s="50">
        <f>SUMPRODUCT(--('2026'!$A$5:$A$500=$AW$1),--('2026'!$C$5:$C$500=$B13))+SUMPRODUCT(--('2026'!$A$5:$A$500=$AW$1),--('2026'!$F$5:$F$500=$B13))+SUMPRODUCT(--('2026'!$A$5:$A$500=$AW$1),--('2026'!$D$5:$D$500=$B13))+SUMPRODUCT(--('2026'!$A$5:$A$500=$AW$1),--('2026'!$G$5:$G$500=$B13))</f>
        <v>0</v>
      </c>
      <c r="AX13" s="50">
        <f>SUMPRODUCT(--('2026'!$A$5:$A$500=$AW$1),--('2026'!$I$5:$I$500=$B13))+SUMPRODUCT(--('2026'!$A$5:$A$500=$AW$1),--('2026'!$J$5:$J$500=$B13))</f>
        <v>0</v>
      </c>
      <c r="BA13" s="54" t="s">
        <v>115</v>
      </c>
      <c r="BB13" s="47">
        <f t="shared" si="0"/>
        <v>0</v>
      </c>
      <c r="BC13" s="52">
        <f t="shared" si="1"/>
        <v>0</v>
      </c>
    </row>
    <row r="14" spans="1:55" ht="15" x14ac:dyDescent="0.25">
      <c r="A14">
        <v>12</v>
      </c>
      <c r="B14" s="54" t="s">
        <v>7</v>
      </c>
      <c r="C14" s="50">
        <f>SUMPRODUCT(--('2026'!$A$5:$A$500=$C$1),--('2026'!$C$5:$C$500=$B14))+SUMPRODUCT(--('2026'!$A$5:$A$500=$C$1),--('2026'!$F$5:$F$500=$B14))+SUMPRODUCT(--('2026'!$A$5:$A$500=$C$1),--('2026'!$D$5:$D$500=$B14))+SUMPRODUCT(--('2026'!$A$5:$A$500=$C$1),--('2026'!$G$5:$G$500=$B14))</f>
        <v>0</v>
      </c>
      <c r="D14" s="50">
        <f>SUMPRODUCT(--('2026'!$A$5:$A$500=$C$1),--('2026'!$I$5:$I$500=$B14))+SUMPRODUCT(--('2026'!$A$5:$A$500=$C$1),--('2026'!$J$5:$J$500=$B14))</f>
        <v>0</v>
      </c>
      <c r="E14" s="50">
        <f>SUMPRODUCT(--('2026'!$A$5:$A$500=$E$1),--('2026'!$C$5:$C$500=$B14))+SUMPRODUCT(--('2026'!$A$5:$A$500=$E$1),--('2026'!$F$5:$F$500=$B14))+SUMPRODUCT(--('2026'!$A$5:$A$500=$E$1),--('2026'!$D$5:$D$500=$B14))+SUMPRODUCT(--('2026'!$A$5:$A$500=$E$1),--('2026'!$G$5:$G$500=$B14))</f>
        <v>0</v>
      </c>
      <c r="F14" s="50">
        <f>SUMPRODUCT(--('2026'!$A$5:$A$500=$E$1),--('2026'!$I$5:$I$500=$B14))+SUMPRODUCT(--('2026'!$A$5:$A$500=$E$1),--('2026'!$J$5:$J$500=$B14))</f>
        <v>0</v>
      </c>
      <c r="G14" s="50">
        <f>SUMPRODUCT(--('2026'!$A$5:$A$500=$G$1),--('2026'!$C$5:$C$500=$B14))+SUMPRODUCT(--('2026'!$A$5:$A$500=$G$1),--('2026'!$F$5:$F$500=$B14))+SUMPRODUCT(--('2026'!$A$5:$A$500=$G$1),--('2026'!$D$5:$D$500=$B14))+SUMPRODUCT(--('2026'!$A$5:$A$500=$G$1),--('2026'!$G$5:$G$500=$B14))</f>
        <v>0</v>
      </c>
      <c r="H14" s="50">
        <f>SUMPRODUCT(--('2026'!$A$5:$A$500=$G$1),--('2026'!$I$5:$I$500=$B14))+SUMPRODUCT(--('2026'!$A$5:$A$500=$G$1),--('2026'!$J$5:$J$500=$B14))</f>
        <v>0</v>
      </c>
      <c r="I14" s="50">
        <f>SUMPRODUCT(--('2026'!$A$5:$A$500=$I$1),--('2026'!$C$5:$C$500=$B14))+SUMPRODUCT(--('2026'!$A$5:$A$500=$I$1),--('2026'!$F$5:$F$500=$B14))+SUMPRODUCT(--('2026'!$A$5:$A$500=$I$1),--('2026'!$D$5:$D$500=$B14))+SUMPRODUCT(--('2026'!$A$5:$A$500=$I$1),--('2026'!$G$5:$G$500=$B14))</f>
        <v>0</v>
      </c>
      <c r="J14" s="50">
        <f>SUMPRODUCT(--('2026'!$A$5:$A$500=$I$1),--('2026'!$I$5:$I$500=$B14))+SUMPRODUCT(--('2026'!$A$5:$A$500=$I$1),--('2026'!$J$5:$J$500=$B14))</f>
        <v>0</v>
      </c>
      <c r="K14" s="50">
        <f>SUMPRODUCT(--('2026'!$A$5:$A$500=$K$1),--('2026'!$C$5:$C$500=$B14))+SUMPRODUCT(--('2026'!$A$5:$A$500=$K$1),--('2026'!$F$5:$F$500=$B14))+SUMPRODUCT(--('2026'!$A$5:$A$500=$K$1),--('2026'!$D$5:$D$500=$B14))+SUMPRODUCT(--('2026'!$A$5:$A$500=$K$1),--('2026'!$G$5:$G$500=$B14))</f>
        <v>0</v>
      </c>
      <c r="L14" s="50">
        <f>SUMPRODUCT(--('2026'!$A$5:$A$500=$K$1),--('2026'!$I$5:$I$500=$B14))+SUMPRODUCT(--('2026'!$A$5:$A$500=$K$1),--('2026'!$J$5:$J$500=$B14))</f>
        <v>0</v>
      </c>
      <c r="M14" s="50">
        <f>SUMPRODUCT(--('2026'!$A$5:$A$500=$M$1),--('2026'!$C$5:$C$500=$B14))+SUMPRODUCT(--('2026'!$A$5:$A$500=$M$1),--('2026'!$F$5:$F$500=$B14))+SUMPRODUCT(--('2026'!$A$5:$A$500=$M$1),--('2026'!$D$5:$D$500=$B14))+SUMPRODUCT(--('2026'!$A$5:$A$500=$M$1),--('2026'!$G$5:$G$500=$B14))</f>
        <v>0</v>
      </c>
      <c r="N14" s="50">
        <f>SUMPRODUCT(--('2026'!$A$5:$A$500=$M$1),--('2026'!$I$5:$I$500=$B14))+SUMPRODUCT(--('2026'!$A$5:$A$500=$M$1),--('2026'!$J$5:$J$500=$B14))</f>
        <v>0</v>
      </c>
      <c r="O14" s="50">
        <f>SUMPRODUCT(--('2026'!$A$5:$A$500=$O$1),--('2026'!$C$5:$C$500=$B14))+SUMPRODUCT(--('2026'!$A$5:$A$500=$O$1),--('2026'!$F$5:$F$500=$B14))+SUMPRODUCT(--('2026'!$A$5:$A$500=$O$1),--('2026'!$D$5:$D$500=$B14))+SUMPRODUCT(--('2026'!$A$5:$A$500=$O$1),--('2026'!$G$5:$G$500=$B14))</f>
        <v>0</v>
      </c>
      <c r="P14" s="50">
        <f>SUMPRODUCT(--('2026'!$A$5:$A$500=$O$1),--('2026'!$I$5:$I$500=$B14))+SUMPRODUCT(--('2026'!$A$5:$A$500=$O$1),--('2026'!$J$5:$J$500=$B14))</f>
        <v>0</v>
      </c>
      <c r="Q14" s="50">
        <f>SUMPRODUCT(--('2026'!$A$5:$A$500=$Q$1),--('2026'!$C$5:$C$500=$B14))+SUMPRODUCT(--('2026'!$A$5:$A$500=$Q$1),--('2026'!$F$5:$F$500=$B14))+SUMPRODUCT(--('2026'!$A$5:$A$500=$Q$1),--('2026'!$D$5:$D$500=$B14))+SUMPRODUCT(--('2026'!$A$5:$A$500=$Q$1),--('2026'!$G$5:$G$500=$B14))</f>
        <v>0</v>
      </c>
      <c r="R14" s="50">
        <f>SUMPRODUCT(--('2026'!$A$5:$A$500=$Q$1),--('2026'!$I$5:$I$500=$B14))+SUMPRODUCT(--('2026'!$A$5:$A$500=$Q$1),--('2026'!$J$5:$J$500=$B14))</f>
        <v>0</v>
      </c>
      <c r="S14" s="50">
        <f>SUMPRODUCT(--('2026'!$A$5:$A$500=$S$1),--('2026'!$C$5:$C$500=$B14))+SUMPRODUCT(--('2026'!$A$5:$A$500=$S$1),--('2026'!$F$5:$F$500=$B14))+SUMPRODUCT(--('2026'!$A$5:$A$500=$S$1),--('2026'!$D$5:$D$500=$B14))+SUMPRODUCT(--('2026'!$A$5:$A$500=$S$1),--('2026'!$G$5:$G$500=$B14))</f>
        <v>0</v>
      </c>
      <c r="T14" s="50">
        <f>SUMPRODUCT(--('2026'!$A$5:$A$500=$S$1),--('2026'!$I$5:$I$500=$B14))+SUMPRODUCT(--('2026'!$A$5:$A$500=$S$1),--('2026'!$J$5:$J$500=$B14))</f>
        <v>0</v>
      </c>
      <c r="U14" s="50">
        <f>SUMPRODUCT(--('2026'!$A$5:$A$500=$U$1),--('2026'!$C$5:$C$500=$B14))+SUMPRODUCT(--('2026'!$A$5:$A$500=$U$1),--('2026'!$F$5:$F$500=$B14))+SUMPRODUCT(--('2026'!$A$5:$A$500=$U$1),--('2026'!$D$5:$D$500=$B14))+SUMPRODUCT(--('2026'!$A$5:$A$500=$U$1),--('2026'!$G$5:$G$500=$B14))</f>
        <v>0</v>
      </c>
      <c r="V14" s="50">
        <f>SUMPRODUCT(--('2026'!$A$5:$A$500=$U$1),--('2026'!$I$5:$I$500=$B14))+SUMPRODUCT(--('2026'!$A$5:$A$500=$U$1),--('2026'!$J$5:$J$500=$B14))</f>
        <v>0</v>
      </c>
      <c r="W14" s="60">
        <f>SUMPRODUCT(--('2026'!$A$5:$A$500=$W$1),--('2026'!$C$5:$C$500=$B14))+SUMPRODUCT(--('2026'!$A$5:$A$500=$W$1),--('2026'!$F$5:$F$500=$B14))+SUMPRODUCT(--('2026'!$A$5:$A$500=$W$1),--('2026'!$D$5:$D$500=$B14))+SUMPRODUCT(--('2026'!$A$5:$A$500=$W$1),--('2026'!$G$5:$G$500=$B14))</f>
        <v>0</v>
      </c>
      <c r="X14" s="60">
        <f>SUMPRODUCT(--('2026'!$A$5:$A$500=$W$1),--('2026'!$I$5:$I$500=$B14))+SUMPRODUCT(--('2026'!$A$5:$A$500=$W$1),--('2026'!$J$5:$J$500=$B14))</f>
        <v>0</v>
      </c>
      <c r="Y14" s="51">
        <f>SUMPRODUCT(--('2026'!$A$5:$A$500=$Y$1),--('2026'!$C$5:$C$500=$B14))+SUMPRODUCT(--('2026'!$A$5:$A$500=$Y$1),--('2026'!$F$5:$F$500=$B14))+SUMPRODUCT(--('2026'!$A$5:$A$500=$Y$1),--('2026'!$D$5:$D$500=$B14))+SUMPRODUCT(--('2026'!$A$5:$A$500=$Y$1),--('2026'!$G$5:$G$500=$B14))</f>
        <v>0</v>
      </c>
      <c r="Z14" s="51">
        <f>SUMPRODUCT(--('2026'!$A$5:$A$500=$Y$1),--('2026'!$I$5:$I$500=$B14))+SUMPRODUCT(--('2026'!$A$5:$A$500=$Y$1),--('2026'!$J$5:$J$500=$B14))</f>
        <v>0</v>
      </c>
      <c r="AA14" s="51">
        <f>SUMPRODUCT(--('2026'!$A$5:$A$500=$AA$1),--('2026'!$C$5:$C$500=$B14))+SUMPRODUCT(--('2026'!$A$5:$A$500=$AA$1),--('2026'!$F$5:$F$500=$B14))+SUMPRODUCT(--('2026'!$A$5:$A$500=$AA$1),--('2026'!$D$5:$D$500=$B14))+SUMPRODUCT(--('2026'!$A$5:$A$500=$AA$1),--('2026'!$G$5:$G$500=$B14))</f>
        <v>0</v>
      </c>
      <c r="AB14" s="51">
        <f>SUMPRODUCT(--('2026'!$A$5:$A$500=$AA$1),--('2026'!$I$5:$I$500=$B14))+SUMPRODUCT(--('2026'!$A$5:$A$500=$AA$1),--('2026'!$J$5:$J$500=$B14))</f>
        <v>0</v>
      </c>
      <c r="AC14" s="51">
        <f>SUMPRODUCT(--('2026'!$A$5:$A$500=$AC$1),--('2026'!$C$5:$C$500=$B14))+SUMPRODUCT(--('2026'!$A$5:$A$500=$AC$1),--('2026'!$F$5:$F$500=$B14))+SUMPRODUCT(--('2026'!$A$5:$A$500=$AC$1),--('2026'!$D$5:$D$500=$B14))+SUMPRODUCT(--('2026'!$A$5:$A$500=$AC$1),--('2026'!$G$5:$G$500=$B14))</f>
        <v>0</v>
      </c>
      <c r="AD14" s="51">
        <f>SUMPRODUCT(--('2026'!$A$5:$A$500=$AC$1),--('2026'!$I$5:$I$500=$B14))+SUMPRODUCT(--('2026'!$A$5:$A$500=$AC$1),--('2026'!$J$5:$J$500=$B14))</f>
        <v>0</v>
      </c>
      <c r="AE14" s="61">
        <f>SUMPRODUCT(--('2026'!$A$5:$A$500=$AE$1),--('2026'!$C$5:$C$500=$B14))+SUMPRODUCT(--('2026'!$A$5:$A$500=$AE$1),--('2026'!$F$5:$F$500=$B14))+SUMPRODUCT(--('2026'!$A$5:$A$500=$AE$1),--('2026'!$D$5:$D$500=$B14))+SUMPRODUCT(--('2026'!$A$5:$A$500=$AE$1),--('2026'!$G$5:$G$500=$B14))</f>
        <v>0</v>
      </c>
      <c r="AF14" s="61">
        <f>SUMPRODUCT(--('2026'!$A$5:$A$500=$AE$1),--('2026'!$I$5:$I$500=$B14))+SUMPRODUCT(--('2026'!$A$5:$A$500=$AE$1),--('2026'!$J$5:$J$500=$B14))</f>
        <v>0</v>
      </c>
      <c r="AG14" s="51">
        <f>SUMPRODUCT(--('2026'!$A$5:$A$500=$AG$1),--('2026'!$C$5:$C$500=$B14))+SUMPRODUCT(--('2026'!$A$5:$A$500=$AG$1),--('2026'!$F$5:$F$500=$B14))+SUMPRODUCT(--('2026'!$A$5:$A$500=$AG$1),--('2026'!$D$5:$D$500=$B14))+SUMPRODUCT(--('2026'!$A$5:$A$500=$AG$1),--('2026'!$G$5:$G$500=$B14))</f>
        <v>0</v>
      </c>
      <c r="AH14" s="51">
        <f>SUMPRODUCT(--('2026'!$A$5:$A$500=$AG$1),--('2026'!$I$5:$I$500=$B14))+SUMPRODUCT(--('2026'!$A$5:$A$500=$AG$1),--('2026'!$J$5:$J$500=$B14))</f>
        <v>0</v>
      </c>
      <c r="AI14" s="51">
        <f>SUMPRODUCT(--('2026'!$A$5:$A$500=$AI$1),--('2026'!$C$5:$C$500=$B14))+SUMPRODUCT(--('2026'!$A$5:$A$500=$AI$1),--('2026'!$F$5:$F$500=$B14))+SUMPRODUCT(--('2026'!$A$5:$A$500=$AI$1),--('2026'!$D$5:$D$500=$B14))+SUMPRODUCT(--('2026'!$A$5:$A$500=$AI$1),--('2026'!$G$5:$G$500=$B14))</f>
        <v>0</v>
      </c>
      <c r="AJ14" s="51">
        <f>SUMPRODUCT(--('2026'!$A$5:$A$500=$AI$1),--('2026'!$I$5:$I$500=$B14))+SUMPRODUCT(--('2026'!$A$5:$A$500=$AI$1),--('2026'!$J$5:$J$500=$B14))</f>
        <v>0</v>
      </c>
      <c r="AK14" s="51">
        <f>SUMPRODUCT(--('2026'!$A$5:$A$500=$AK$1),--('2026'!$C$5:$C$500=$B14))+SUMPRODUCT(--('2026'!$A$5:$A$500=$AK$1),--('2026'!$F$5:$F$500=$B14))+SUMPRODUCT(--('2026'!$A$5:$A$500=$AK$1),--('2026'!$D$5:$D$500=$B14))+SUMPRODUCT(--('2026'!$A$5:$A$500=$AK$1),--('2026'!$G$5:$G$500=$B14))</f>
        <v>0</v>
      </c>
      <c r="AL14" s="51">
        <f>SUMPRODUCT(--('2026'!$A$5:$A$500=$AK$1),--('2026'!$I$5:$I$500=$B14))+SUMPRODUCT(--('2026'!$A$5:$A$500=$AK$1),--('2026'!$J$5:$J$500=$B14))</f>
        <v>0</v>
      </c>
      <c r="AM14" s="51">
        <f>SUMPRODUCT(--('2026'!$A$5:$A$500=$AM$1),--('2026'!$C$5:$C$500=$B14))+SUMPRODUCT(--('2026'!$A$5:$A$500=$AM$1),--('2026'!$F$5:$F$500=$B14))+SUMPRODUCT(--('2026'!$A$5:$A$500=$AM$1),--('2026'!$D$5:$D$500=$B14))+SUMPRODUCT(--('2026'!$A$5:$A$500=$AM$1),--('2026'!$G$5:$G$500=$B14))</f>
        <v>0</v>
      </c>
      <c r="AN14" s="51">
        <f>SUMPRODUCT(--('2026'!$A$5:$A$500=$AM$1),--('2026'!$I$5:$I$500=$B14))+SUMPRODUCT(--('2026'!$A$5:$A$500=$AM$1),--('2026'!$J$5:$J$500=$B14))</f>
        <v>0</v>
      </c>
      <c r="AO14" s="51">
        <f>SUMPRODUCT(--('2026'!$A$5:$A$500=$AO$1),--('2026'!$C$5:$C$500=$B14))+SUMPRODUCT(--('2026'!$A$5:$A$500=$AO$1),--('2026'!$F$5:$F$500=$B14))+SUMPRODUCT(--('2026'!$A$5:$A$500=$AO$1),--('2026'!$D$5:$D$500=$B14))+SUMPRODUCT(--('2026'!$A$5:$A$500=$AO$1),--('2026'!$G$5:$G$500=$B14))</f>
        <v>0</v>
      </c>
      <c r="AP14" s="51">
        <f>SUMPRODUCT(--('2026'!$A$5:$A$500=$AO$1),--('2026'!$I$5:$I$500=$B14))+SUMPRODUCT(--('2026'!$A$5:$A$500=$AO$1),--('2026'!$J$5:$J$500=$B14))</f>
        <v>0</v>
      </c>
      <c r="AQ14" s="51">
        <f>SUMPRODUCT(--('2026'!$A$5:$A$500=$AQ$1),--('2026'!$C$5:$C$500=$B14))+SUMPRODUCT(--('2026'!$A$5:$A$500=$AQ$1),--('2026'!$F$5:$F$500=$B14))+SUMPRODUCT(--('2026'!$A$5:$A$500=$AQ$1),--('2026'!$D$5:$D$500=$B14))+SUMPRODUCT(--('2026'!$A$5:$A$500=$AQ$1),--('2026'!$G$5:$G$500=$B14))</f>
        <v>0</v>
      </c>
      <c r="AR14" s="51">
        <f>SUMPRODUCT(--('2026'!$A$5:$A$500=$AQ$1),--('2026'!$I$5:$I$500=$B14))+SUMPRODUCT(--('2026'!$A$5:$A$500=$AQ$1),--('2026'!$J$5:$J$500=$B14))</f>
        <v>0</v>
      </c>
      <c r="AS14" s="51">
        <f>SUMPRODUCT(--('2026'!$A$5:$A$500=$AS$1),--('2026'!$C$5:$C$500=$B14))+SUMPRODUCT(--('2026'!$A$5:$A$500=$AS$1),--('2026'!$F$5:$F$500=$B14))+SUMPRODUCT(--('2026'!$A$5:$A$500=$AS$1),--('2026'!$D$5:$D$500=$B14))+SUMPRODUCT(--('2026'!$A$5:$A$500=$AS$1),--('2026'!$G$5:$G$500=$B14))</f>
        <v>0</v>
      </c>
      <c r="AT14" s="51">
        <f>SUMPRODUCT(--('2026'!$A$5:$A$500=$AS$1),--('2026'!$I$5:$I$500=$B14))+SUMPRODUCT(--('2026'!$A$5:$A$500=$AS$1),--('2026'!$J$5:$J$500=$B14))</f>
        <v>0</v>
      </c>
      <c r="AU14" s="51">
        <f>SUMPRODUCT(--('2026'!$A$5:$A$500=$AU$1),--('2026'!$C$5:$C$500=$B14))+SUMPRODUCT(--('2026'!$A$5:$A$500=$AU$1),--('2026'!$F$5:$F$500=$B14))+SUMPRODUCT(--('2026'!$A$5:$A$500=$AU$1),--('2026'!$D$5:$D$500=$B14))+SUMPRODUCT(--('2026'!$A$5:$A$500=$AU$1),--('2026'!$G$5:$G$500=$B14))</f>
        <v>0</v>
      </c>
      <c r="AV14" s="51">
        <f>SUMPRODUCT(--('2026'!$A$5:$A$500=$AU$1),--('2026'!$I$5:$I$500=$B14))+SUMPRODUCT(--('2026'!$A$5:$A$500=$AU$1),--('2026'!$J$5:$J$500=$B14))</f>
        <v>0</v>
      </c>
      <c r="AW14" s="51">
        <f>SUMPRODUCT(--('2026'!$A$5:$A$500=$AW$1),--('2026'!$C$5:$C$500=$B14))+SUMPRODUCT(--('2026'!$A$5:$A$500=$AW$1),--('2026'!$F$5:$F$500=$B14))+SUMPRODUCT(--('2026'!$A$5:$A$500=$AW$1),--('2026'!$D$5:$D$500=$B14))+SUMPRODUCT(--('2026'!$A$5:$A$500=$AW$1),--('2026'!$G$5:$G$500=$B14))</f>
        <v>0</v>
      </c>
      <c r="AX14" s="51">
        <f>SUMPRODUCT(--('2026'!$A$5:$A$500=$AW$1),--('2026'!$I$5:$I$500=$B14))+SUMPRODUCT(--('2026'!$A$5:$A$500=$AW$1),--('2026'!$J$5:$J$500=$B14))</f>
        <v>0</v>
      </c>
      <c r="BA14" s="54" t="s">
        <v>7</v>
      </c>
      <c r="BB14" s="47">
        <f t="shared" si="0"/>
        <v>0</v>
      </c>
      <c r="BC14" s="52">
        <f t="shared" si="1"/>
        <v>0</v>
      </c>
    </row>
    <row r="15" spans="1:55" ht="15" x14ac:dyDescent="0.25">
      <c r="A15">
        <v>13</v>
      </c>
      <c r="B15" s="54" t="s">
        <v>1</v>
      </c>
      <c r="C15" s="50">
        <f>SUMPRODUCT(--('2026'!$A$5:$A$500=$C$1),--('2026'!$C$5:$C$500=$B15))+SUMPRODUCT(--('2026'!$A$5:$A$500=$C$1),--('2026'!$F$5:$F$500=$B15))+SUMPRODUCT(--('2026'!$A$5:$A$500=$C$1),--('2026'!$D$5:$D$500=$B15))+SUMPRODUCT(--('2026'!$A$5:$A$500=$C$1),--('2026'!$G$5:$G$500=$B15))</f>
        <v>0</v>
      </c>
      <c r="D15" s="50">
        <f>SUMPRODUCT(--('2026'!$A$5:$A$500=$C$1),--('2026'!$I$5:$I$500=$B15))+SUMPRODUCT(--('2026'!$A$5:$A$500=$C$1),--('2026'!$J$5:$J$500=$B15))</f>
        <v>0</v>
      </c>
      <c r="E15" s="50">
        <f>SUMPRODUCT(--('2026'!$A$5:$A$500=$E$1),--('2026'!$C$5:$C$500=$B15))+SUMPRODUCT(--('2026'!$A$5:$A$500=$E$1),--('2026'!$F$5:$F$500=$B15))+SUMPRODUCT(--('2026'!$A$5:$A$500=$E$1),--('2026'!$D$5:$D$500=$B15))+SUMPRODUCT(--('2026'!$A$5:$A$500=$E$1),--('2026'!$G$5:$G$500=$B15))</f>
        <v>0</v>
      </c>
      <c r="F15" s="50">
        <f>SUMPRODUCT(--('2026'!$A$5:$A$500=$E$1),--('2026'!$I$5:$I$500=$B15))+SUMPRODUCT(--('2026'!$A$5:$A$500=$E$1),--('2026'!$J$5:$J$500=$B15))</f>
        <v>0</v>
      </c>
      <c r="G15" s="50">
        <f>SUMPRODUCT(--('2026'!$A$5:$A$500=$G$1),--('2026'!$C$5:$C$500=$B15))+SUMPRODUCT(--('2026'!$A$5:$A$500=$G$1),--('2026'!$F$5:$F$500=$B15))+SUMPRODUCT(--('2026'!$A$5:$A$500=$G$1),--('2026'!$D$5:$D$500=$B15))+SUMPRODUCT(--('2026'!$A$5:$A$500=$G$1),--('2026'!$G$5:$G$500=$B15))</f>
        <v>0</v>
      </c>
      <c r="H15" s="50">
        <f>SUMPRODUCT(--('2026'!$A$5:$A$500=$G$1),--('2026'!$I$5:$I$500=$B15))+SUMPRODUCT(--('2026'!$A$5:$A$500=$G$1),--('2026'!$J$5:$J$500=$B15))</f>
        <v>0</v>
      </c>
      <c r="I15" s="50">
        <f>SUMPRODUCT(--('2026'!$A$5:$A$500=$I$1),--('2026'!$C$5:$C$500=$B15))+SUMPRODUCT(--('2026'!$A$5:$A$500=$I$1),--('2026'!$F$5:$F$500=$B15))+SUMPRODUCT(--('2026'!$A$5:$A$500=$I$1),--('2026'!$D$5:$D$500=$B15))+SUMPRODUCT(--('2026'!$A$5:$A$500=$I$1),--('2026'!$G$5:$G$500=$B15))</f>
        <v>0</v>
      </c>
      <c r="J15" s="50">
        <f>SUMPRODUCT(--('2026'!$A$5:$A$500=$I$1),--('2026'!$I$5:$I$500=$B15))+SUMPRODUCT(--('2026'!$A$5:$A$500=$I$1),--('2026'!$J$5:$J$500=$B15))</f>
        <v>0</v>
      </c>
      <c r="K15" s="50">
        <f>SUMPRODUCT(--('2026'!$A$5:$A$500=$K$1),--('2026'!$C$5:$C$500=$B15))+SUMPRODUCT(--('2026'!$A$5:$A$500=$K$1),--('2026'!$F$5:$F$500=$B15))+SUMPRODUCT(--('2026'!$A$5:$A$500=$K$1),--('2026'!$D$5:$D$500=$B15))+SUMPRODUCT(--('2026'!$A$5:$A$500=$K$1),--('2026'!$G$5:$G$500=$B15))</f>
        <v>0</v>
      </c>
      <c r="L15" s="50">
        <f>SUMPRODUCT(--('2026'!$A$5:$A$500=$K$1),--('2026'!$I$5:$I$500=$B15))+SUMPRODUCT(--('2026'!$A$5:$A$500=$K$1),--('2026'!$J$5:$J$500=$B15))</f>
        <v>0</v>
      </c>
      <c r="M15" s="50">
        <f>SUMPRODUCT(--('2026'!$A$5:$A$500=$M$1),--('2026'!$C$5:$C$500=$B15))+SUMPRODUCT(--('2026'!$A$5:$A$500=$M$1),--('2026'!$F$5:$F$500=$B15))+SUMPRODUCT(--('2026'!$A$5:$A$500=$M$1),--('2026'!$D$5:$D$500=$B15))+SUMPRODUCT(--('2026'!$A$5:$A$500=$M$1),--('2026'!$G$5:$G$500=$B15))</f>
        <v>0</v>
      </c>
      <c r="N15" s="50">
        <f>SUMPRODUCT(--('2026'!$A$5:$A$500=$M$1),--('2026'!$I$5:$I$500=$B15))+SUMPRODUCT(--('2026'!$A$5:$A$500=$M$1),--('2026'!$J$5:$J$500=$B15))</f>
        <v>0</v>
      </c>
      <c r="O15" s="50">
        <f>SUMPRODUCT(--('2026'!$A$5:$A$500=$O$1),--('2026'!$C$5:$C$500=$B15))+SUMPRODUCT(--('2026'!$A$5:$A$500=$O$1),--('2026'!$F$5:$F$500=$B15))+SUMPRODUCT(--('2026'!$A$5:$A$500=$O$1),--('2026'!$D$5:$D$500=$B15))+SUMPRODUCT(--('2026'!$A$5:$A$500=$O$1),--('2026'!$G$5:$G$500=$B15))</f>
        <v>0</v>
      </c>
      <c r="P15" s="50">
        <f>SUMPRODUCT(--('2026'!$A$5:$A$500=$O$1),--('2026'!$I$5:$I$500=$B15))+SUMPRODUCT(--('2026'!$A$5:$A$500=$O$1),--('2026'!$J$5:$J$500=$B15))</f>
        <v>0</v>
      </c>
      <c r="Q15" s="50">
        <f>SUMPRODUCT(--('2026'!$A$5:$A$500=$Q$1),--('2026'!$C$5:$C$500=$B15))+SUMPRODUCT(--('2026'!$A$5:$A$500=$Q$1),--('2026'!$F$5:$F$500=$B15))+SUMPRODUCT(--('2026'!$A$5:$A$500=$Q$1),--('2026'!$D$5:$D$500=$B15))+SUMPRODUCT(--('2026'!$A$5:$A$500=$Q$1),--('2026'!$G$5:$G$500=$B15))</f>
        <v>0</v>
      </c>
      <c r="R15" s="50">
        <f>SUMPRODUCT(--('2026'!$A$5:$A$500=$Q$1),--('2026'!$I$5:$I$500=$B15))+SUMPRODUCT(--('2026'!$A$5:$A$500=$Q$1),--('2026'!$J$5:$J$500=$B15))</f>
        <v>0</v>
      </c>
      <c r="S15" s="50">
        <f>SUMPRODUCT(--('2026'!$A$5:$A$500=$S$1),--('2026'!$C$5:$C$500=$B15))+SUMPRODUCT(--('2026'!$A$5:$A$500=$S$1),--('2026'!$F$5:$F$500=$B15))+SUMPRODUCT(--('2026'!$A$5:$A$500=$S$1),--('2026'!$D$5:$D$500=$B15))+SUMPRODUCT(--('2026'!$A$5:$A$500=$S$1),--('2026'!$G$5:$G$500=$B15))</f>
        <v>0</v>
      </c>
      <c r="T15" s="50">
        <f>SUMPRODUCT(--('2026'!$A$5:$A$500=$S$1),--('2026'!$I$5:$I$500=$B15))+SUMPRODUCT(--('2026'!$A$5:$A$500=$S$1),--('2026'!$J$5:$J$500=$B15))</f>
        <v>0</v>
      </c>
      <c r="U15" s="50">
        <f>SUMPRODUCT(--('2026'!$A$5:$A$500=$U$1),--('2026'!$C$5:$C$500=$B15))+SUMPRODUCT(--('2026'!$A$5:$A$500=$U$1),--('2026'!$F$5:$F$500=$B15))+SUMPRODUCT(--('2026'!$A$5:$A$500=$U$1),--('2026'!$D$5:$D$500=$B15))+SUMPRODUCT(--('2026'!$A$5:$A$500=$U$1),--('2026'!$G$5:$G$500=$B15))</f>
        <v>0</v>
      </c>
      <c r="V15" s="50">
        <f>SUMPRODUCT(--('2026'!$A$5:$A$500=$U$1),--('2026'!$I$5:$I$500=$B15))+SUMPRODUCT(--('2026'!$A$5:$A$500=$U$1),--('2026'!$J$5:$J$500=$B15))</f>
        <v>0</v>
      </c>
      <c r="W15" s="60">
        <f>SUMPRODUCT(--('2026'!$A$5:$A$500=$W$1),--('2026'!$C$5:$C$500=$B15))+SUMPRODUCT(--('2026'!$A$5:$A$500=$W$1),--('2026'!$F$5:$F$500=$B15))+SUMPRODUCT(--('2026'!$A$5:$A$500=$W$1),--('2026'!$D$5:$D$500=$B15))+SUMPRODUCT(--('2026'!$A$5:$A$500=$W$1),--('2026'!$G$5:$G$500=$B15))</f>
        <v>0</v>
      </c>
      <c r="X15" s="60">
        <f>SUMPRODUCT(--('2026'!$A$5:$A$500=$W$1),--('2026'!$I$5:$I$500=$B15))+SUMPRODUCT(--('2026'!$A$5:$A$500=$W$1),--('2026'!$J$5:$J$500=$B15))</f>
        <v>0</v>
      </c>
      <c r="Y15" s="50">
        <f>SUMPRODUCT(--('2026'!$A$5:$A$500=$Y$1),--('2026'!$C$5:$C$500=$B15))+SUMPRODUCT(--('2026'!$A$5:$A$500=$Y$1),--('2026'!$F$5:$F$500=$B15))+SUMPRODUCT(--('2026'!$A$5:$A$500=$Y$1),--('2026'!$D$5:$D$500=$B15))+SUMPRODUCT(--('2026'!$A$5:$A$500=$Y$1),--('2026'!$G$5:$G$500=$B15))</f>
        <v>0</v>
      </c>
      <c r="Z15" s="50">
        <f>SUMPRODUCT(--('2026'!$A$5:$A$500=$Y$1),--('2026'!$I$5:$I$500=$B15))+SUMPRODUCT(--('2026'!$A$5:$A$500=$Y$1),--('2026'!$J$5:$J$500=$B15))</f>
        <v>0</v>
      </c>
      <c r="AA15" s="50">
        <f>SUMPRODUCT(--('2026'!$A$5:$A$500=$AA$1),--('2026'!$C$5:$C$500=$B15))+SUMPRODUCT(--('2026'!$A$5:$A$500=$AA$1),--('2026'!$F$5:$F$500=$B15))+SUMPRODUCT(--('2026'!$A$5:$A$500=$AA$1),--('2026'!$D$5:$D$500=$B15))+SUMPRODUCT(--('2026'!$A$5:$A$500=$AA$1),--('2026'!$G$5:$G$500=$B15))</f>
        <v>0</v>
      </c>
      <c r="AB15" s="50">
        <f>SUMPRODUCT(--('2026'!$A$5:$A$500=$AA$1),--('2026'!$I$5:$I$500=$B15))+SUMPRODUCT(--('2026'!$A$5:$A$500=$AA$1),--('2026'!$J$5:$J$500=$B15))</f>
        <v>0</v>
      </c>
      <c r="AC15" s="50">
        <f>SUMPRODUCT(--('2026'!$A$5:$A$500=$AC$1),--('2026'!$C$5:$C$500=$B15))+SUMPRODUCT(--('2026'!$A$5:$A$500=$AC$1),--('2026'!$F$5:$F$500=$B15))+SUMPRODUCT(--('2026'!$A$5:$A$500=$AC$1),--('2026'!$D$5:$D$500=$B15))+SUMPRODUCT(--('2026'!$A$5:$A$500=$AC$1),--('2026'!$G$5:$G$500=$B15))</f>
        <v>0</v>
      </c>
      <c r="AD15" s="50">
        <f>SUMPRODUCT(--('2026'!$A$5:$A$500=$AC$1),--('2026'!$I$5:$I$500=$B15))+SUMPRODUCT(--('2026'!$A$5:$A$500=$AC$1),--('2026'!$J$5:$J$500=$B15))</f>
        <v>0</v>
      </c>
      <c r="AE15" s="50">
        <f>SUMPRODUCT(--('2026'!$A$5:$A$500=$AE$1),--('2026'!$C$5:$C$500=$B15))+SUMPRODUCT(--('2026'!$A$5:$A$500=$AE$1),--('2026'!$F$5:$F$500=$B15))+SUMPRODUCT(--('2026'!$A$5:$A$500=$AE$1),--('2026'!$D$5:$D$500=$B15))+SUMPRODUCT(--('2026'!$A$5:$A$500=$AE$1),--('2026'!$G$5:$G$500=$B15))</f>
        <v>0</v>
      </c>
      <c r="AF15" s="50">
        <f>SUMPRODUCT(--('2026'!$A$5:$A$500=$AE$1),--('2026'!$I$5:$I$500=$B15))+SUMPRODUCT(--('2026'!$A$5:$A$500=$AE$1),--('2026'!$J$5:$J$500=$B15))</f>
        <v>0</v>
      </c>
      <c r="AG15" s="50">
        <f>SUMPRODUCT(--('2026'!$A$5:$A$500=$AG$1),--('2026'!$C$5:$C$500=$B15))+SUMPRODUCT(--('2026'!$A$5:$A$500=$AG$1),--('2026'!$F$5:$F$500=$B15))+SUMPRODUCT(--('2026'!$A$5:$A$500=$AG$1),--('2026'!$D$5:$D$500=$B15))+SUMPRODUCT(--('2026'!$A$5:$A$500=$AG$1),--('2026'!$G$5:$G$500=$B15))</f>
        <v>0</v>
      </c>
      <c r="AH15" s="50">
        <f>SUMPRODUCT(--('2026'!$A$5:$A$500=$AG$1),--('2026'!$I$5:$I$500=$B15))+SUMPRODUCT(--('2026'!$A$5:$A$500=$AG$1),--('2026'!$J$5:$J$500=$B15))</f>
        <v>0</v>
      </c>
      <c r="AI15" s="50">
        <f>SUMPRODUCT(--('2026'!$A$5:$A$500=$AI$1),--('2026'!$C$5:$C$500=$B15))+SUMPRODUCT(--('2026'!$A$5:$A$500=$AI$1),--('2026'!$F$5:$F$500=$B15))+SUMPRODUCT(--('2026'!$A$5:$A$500=$AI$1),--('2026'!$D$5:$D$500=$B15))+SUMPRODUCT(--('2026'!$A$5:$A$500=$AI$1),--('2026'!$G$5:$G$500=$B15))</f>
        <v>0</v>
      </c>
      <c r="AJ15" s="50">
        <f>SUMPRODUCT(--('2026'!$A$5:$A$500=$AI$1),--('2026'!$I$5:$I$500=$B15))+SUMPRODUCT(--('2026'!$A$5:$A$500=$AI$1),--('2026'!$J$5:$J$500=$B15))</f>
        <v>0</v>
      </c>
      <c r="AK15" s="50">
        <f>SUMPRODUCT(--('2026'!$A$5:$A$500=$AK$1),--('2026'!$C$5:$C$500=$B15))+SUMPRODUCT(--('2026'!$A$5:$A$500=$AK$1),--('2026'!$F$5:$F$500=$B15))+SUMPRODUCT(--('2026'!$A$5:$A$500=$AK$1),--('2026'!$D$5:$D$500=$B15))+SUMPRODUCT(--('2026'!$A$5:$A$500=$AK$1),--('2026'!$G$5:$G$500=$B15))</f>
        <v>0</v>
      </c>
      <c r="AL15" s="50">
        <f>SUMPRODUCT(--('2026'!$A$5:$A$500=$AK$1),--('2026'!$I$5:$I$500=$B15))+SUMPRODUCT(--('2026'!$A$5:$A$500=$AK$1),--('2026'!$J$5:$J$500=$B15))</f>
        <v>0</v>
      </c>
      <c r="AM15" s="50">
        <f>SUMPRODUCT(--('2026'!$A$5:$A$500=$AM$1),--('2026'!$C$5:$C$500=$B15))+SUMPRODUCT(--('2026'!$A$5:$A$500=$AM$1),--('2026'!$F$5:$F$500=$B15))+SUMPRODUCT(--('2026'!$A$5:$A$500=$AM$1),--('2026'!$D$5:$D$500=$B15))+SUMPRODUCT(--('2026'!$A$5:$A$500=$AM$1),--('2026'!$G$5:$G$500=$B15))</f>
        <v>0</v>
      </c>
      <c r="AN15" s="50">
        <f>SUMPRODUCT(--('2026'!$A$5:$A$500=$AM$1),--('2026'!$I$5:$I$500=$B15))+SUMPRODUCT(--('2026'!$A$5:$A$500=$AM$1),--('2026'!$J$5:$J$500=$B15))</f>
        <v>0</v>
      </c>
      <c r="AO15" s="50">
        <f>SUMPRODUCT(--('2026'!$A$5:$A$500=$AO$1),--('2026'!$C$5:$C$500=$B15))+SUMPRODUCT(--('2026'!$A$5:$A$500=$AO$1),--('2026'!$F$5:$F$500=$B15))+SUMPRODUCT(--('2026'!$A$5:$A$500=$AO$1),--('2026'!$D$5:$D$500=$B15))+SUMPRODUCT(--('2026'!$A$5:$A$500=$AO$1),--('2026'!$G$5:$G$500=$B15))</f>
        <v>0</v>
      </c>
      <c r="AP15" s="50">
        <f>SUMPRODUCT(--('2026'!$A$5:$A$500=$AO$1),--('2026'!$I$5:$I$500=$B15))+SUMPRODUCT(--('2026'!$A$5:$A$500=$AO$1),--('2026'!$J$5:$J$500=$B15))</f>
        <v>0</v>
      </c>
      <c r="AQ15" s="50">
        <f>SUMPRODUCT(--('2026'!$A$5:$A$500=$AQ$1),--('2026'!$C$5:$C$500=$B15))+SUMPRODUCT(--('2026'!$A$5:$A$500=$AQ$1),--('2026'!$F$5:$F$500=$B15))+SUMPRODUCT(--('2026'!$A$5:$A$500=$AQ$1),--('2026'!$D$5:$D$500=$B15))+SUMPRODUCT(--('2026'!$A$5:$A$500=$AQ$1),--('2026'!$G$5:$G$500=$B15))</f>
        <v>0</v>
      </c>
      <c r="AR15" s="50">
        <f>SUMPRODUCT(--('2026'!$A$5:$A$500=$AQ$1),--('2026'!$I$5:$I$500=$B15))+SUMPRODUCT(--('2026'!$A$5:$A$500=$AQ$1),--('2026'!$J$5:$J$500=$B15))</f>
        <v>0</v>
      </c>
      <c r="AS15" s="50">
        <f>SUMPRODUCT(--('2026'!$A$5:$A$500=$AS$1),--('2026'!$C$5:$C$500=$B15))+SUMPRODUCT(--('2026'!$A$5:$A$500=$AS$1),--('2026'!$F$5:$F$500=$B15))+SUMPRODUCT(--('2026'!$A$5:$A$500=$AS$1),--('2026'!$D$5:$D$500=$B15))+SUMPRODUCT(--('2026'!$A$5:$A$500=$AS$1),--('2026'!$G$5:$G$500=$B15))</f>
        <v>0</v>
      </c>
      <c r="AT15" s="50">
        <f>SUMPRODUCT(--('2026'!$A$5:$A$500=$AS$1),--('2026'!$I$5:$I$500=$B15))+SUMPRODUCT(--('2026'!$A$5:$A$500=$AS$1),--('2026'!$J$5:$J$500=$B15))</f>
        <v>0</v>
      </c>
      <c r="AU15" s="50">
        <f>SUMPRODUCT(--('2026'!$A$5:$A$500=$AU$1),--('2026'!$C$5:$C$500=$B15))+SUMPRODUCT(--('2026'!$A$5:$A$500=$AU$1),--('2026'!$F$5:$F$500=$B15))+SUMPRODUCT(--('2026'!$A$5:$A$500=$AU$1),--('2026'!$D$5:$D$500=$B15))+SUMPRODUCT(--('2026'!$A$5:$A$500=$AU$1),--('2026'!$G$5:$G$500=$B15))</f>
        <v>0</v>
      </c>
      <c r="AV15" s="50">
        <f>SUMPRODUCT(--('2026'!$A$5:$A$500=$AU$1),--('2026'!$I$5:$I$500=$B15))+SUMPRODUCT(--('2026'!$A$5:$A$500=$AU$1),--('2026'!$J$5:$J$500=$B15))</f>
        <v>0</v>
      </c>
      <c r="AW15" s="50">
        <f>SUMPRODUCT(--('2026'!$A$5:$A$500=$AW$1),--('2026'!$C$5:$C$500=$B15))+SUMPRODUCT(--('2026'!$A$5:$A$500=$AW$1),--('2026'!$F$5:$F$500=$B15))+SUMPRODUCT(--('2026'!$A$5:$A$500=$AW$1),--('2026'!$D$5:$D$500=$B15))+SUMPRODUCT(--('2026'!$A$5:$A$500=$AW$1),--('2026'!$G$5:$G$500=$B15))</f>
        <v>0</v>
      </c>
      <c r="AX15" s="50">
        <f>SUMPRODUCT(--('2026'!$A$5:$A$500=$AW$1),--('2026'!$I$5:$I$500=$B15))+SUMPRODUCT(--('2026'!$A$5:$A$500=$AW$1),--('2026'!$J$5:$J$500=$B15))</f>
        <v>0</v>
      </c>
      <c r="BA15" s="54" t="s">
        <v>1</v>
      </c>
      <c r="BB15" s="47">
        <f t="shared" si="0"/>
        <v>0</v>
      </c>
      <c r="BC15" s="52">
        <f t="shared" si="1"/>
        <v>0</v>
      </c>
    </row>
    <row r="16" spans="1:55" ht="15" x14ac:dyDescent="0.25">
      <c r="A16">
        <v>14</v>
      </c>
      <c r="B16" s="54" t="s">
        <v>116</v>
      </c>
      <c r="C16" s="50">
        <f>SUMPRODUCT(--('2026'!$A$5:$A$500=$C$1),--('2026'!$C$5:$C$500=$B16))+SUMPRODUCT(--('2026'!$A$5:$A$500=$C$1),--('2026'!$F$5:$F$500=$B16))+SUMPRODUCT(--('2026'!$A$5:$A$500=$C$1),--('2026'!$D$5:$D$500=$B16))+SUMPRODUCT(--('2026'!$A$5:$A$500=$C$1),--('2026'!$G$5:$G$500=$B16))</f>
        <v>0</v>
      </c>
      <c r="D16" s="50">
        <f>SUMPRODUCT(--('2026'!$A$5:$A$500=$C$1),--('2026'!$I$5:$I$500=$B16))+SUMPRODUCT(--('2026'!$A$5:$A$500=$C$1),--('2026'!$J$5:$J$500=$B16))</f>
        <v>0</v>
      </c>
      <c r="E16" s="50">
        <f>SUMPRODUCT(--('2026'!$A$5:$A$500=$E$1),--('2026'!$C$5:$C$500=$B16))+SUMPRODUCT(--('2026'!$A$5:$A$500=$E$1),--('2026'!$F$5:$F$500=$B16))+SUMPRODUCT(--('2026'!$A$5:$A$500=$E$1),--('2026'!$D$5:$D$500=$B16))+SUMPRODUCT(--('2026'!$A$5:$A$500=$E$1),--('2026'!$G$5:$G$500=$B16))</f>
        <v>0</v>
      </c>
      <c r="F16" s="50">
        <f>SUMPRODUCT(--('2026'!$A$5:$A$500=$E$1),--('2026'!$I$5:$I$500=$B16))+SUMPRODUCT(--('2026'!$A$5:$A$500=$E$1),--('2026'!$J$5:$J$500=$B16))</f>
        <v>0</v>
      </c>
      <c r="G16" s="50">
        <f>SUMPRODUCT(--('2026'!$A$5:$A$500=$G$1),--('2026'!$C$5:$C$500=$B16))+SUMPRODUCT(--('2026'!$A$5:$A$500=$G$1),--('2026'!$F$5:$F$500=$B16))+SUMPRODUCT(--('2026'!$A$5:$A$500=$G$1),--('2026'!$D$5:$D$500=$B16))+SUMPRODUCT(--('2026'!$A$5:$A$500=$G$1),--('2026'!$G$5:$G$500=$B16))</f>
        <v>0</v>
      </c>
      <c r="H16" s="50">
        <f>SUMPRODUCT(--('2026'!$A$5:$A$500=$G$1),--('2026'!$I$5:$I$500=$B16))+SUMPRODUCT(--('2026'!$A$5:$A$500=$G$1),--('2026'!$J$5:$J$500=$B16))</f>
        <v>0</v>
      </c>
      <c r="I16" s="50">
        <f>SUMPRODUCT(--('2026'!$A$5:$A$500=$I$1),--('2026'!$C$5:$C$500=$B16))+SUMPRODUCT(--('2026'!$A$5:$A$500=$I$1),--('2026'!$F$5:$F$500=$B16))+SUMPRODUCT(--('2026'!$A$5:$A$500=$I$1),--('2026'!$D$5:$D$500=$B16))+SUMPRODUCT(--('2026'!$A$5:$A$500=$I$1),--('2026'!$G$5:$G$500=$B16))</f>
        <v>0</v>
      </c>
      <c r="J16" s="50">
        <f>SUMPRODUCT(--('2026'!$A$5:$A$500=$I$1),--('2026'!$I$5:$I$500=$B16))+SUMPRODUCT(--('2026'!$A$5:$A$500=$I$1),--('2026'!$J$5:$J$500=$B16))</f>
        <v>0</v>
      </c>
      <c r="K16" s="50">
        <f>SUMPRODUCT(--('2026'!$A$5:$A$500=$K$1),--('2026'!$C$5:$C$500=$B16))+SUMPRODUCT(--('2026'!$A$5:$A$500=$K$1),--('2026'!$F$5:$F$500=$B16))+SUMPRODUCT(--('2026'!$A$5:$A$500=$K$1),--('2026'!$D$5:$D$500=$B16))+SUMPRODUCT(--('2026'!$A$5:$A$500=$K$1),--('2026'!$G$5:$G$500=$B16))</f>
        <v>0</v>
      </c>
      <c r="L16" s="50">
        <f>SUMPRODUCT(--('2026'!$A$5:$A$500=$K$1),--('2026'!$I$5:$I$500=$B16))+SUMPRODUCT(--('2026'!$A$5:$A$500=$K$1),--('2026'!$J$5:$J$500=$B16))</f>
        <v>0</v>
      </c>
      <c r="M16" s="50">
        <f>SUMPRODUCT(--('2026'!$A$5:$A$500=$M$1),--('2026'!$C$5:$C$500=$B16))+SUMPRODUCT(--('2026'!$A$5:$A$500=$M$1),--('2026'!$F$5:$F$500=$B16))+SUMPRODUCT(--('2026'!$A$5:$A$500=$M$1),--('2026'!$D$5:$D$500=$B16))+SUMPRODUCT(--('2026'!$A$5:$A$500=$M$1),--('2026'!$G$5:$G$500=$B16))</f>
        <v>0</v>
      </c>
      <c r="N16" s="50">
        <f>SUMPRODUCT(--('2026'!$A$5:$A$500=$M$1),--('2026'!$I$5:$I$500=$B16))+SUMPRODUCT(--('2026'!$A$5:$A$500=$M$1),--('2026'!$J$5:$J$500=$B16))</f>
        <v>0</v>
      </c>
      <c r="O16" s="50">
        <f>SUMPRODUCT(--('2026'!$A$5:$A$500=$O$1),--('2026'!$C$5:$C$500=$B16))+SUMPRODUCT(--('2026'!$A$5:$A$500=$O$1),--('2026'!$F$5:$F$500=$B16))+SUMPRODUCT(--('2026'!$A$5:$A$500=$O$1),--('2026'!$D$5:$D$500=$B16))+SUMPRODUCT(--('2026'!$A$5:$A$500=$O$1),--('2026'!$G$5:$G$500=$B16))</f>
        <v>0</v>
      </c>
      <c r="P16" s="50">
        <f>SUMPRODUCT(--('2026'!$A$5:$A$500=$O$1),--('2026'!$I$5:$I$500=$B16))+SUMPRODUCT(--('2026'!$A$5:$A$500=$O$1),--('2026'!$J$5:$J$500=$B16))</f>
        <v>0</v>
      </c>
      <c r="Q16" s="50">
        <f>SUMPRODUCT(--('2026'!$A$5:$A$500=$Q$1),--('2026'!$C$5:$C$500=$B16))+SUMPRODUCT(--('2026'!$A$5:$A$500=$Q$1),--('2026'!$F$5:$F$500=$B16))+SUMPRODUCT(--('2026'!$A$5:$A$500=$Q$1),--('2026'!$D$5:$D$500=$B16))+SUMPRODUCT(--('2026'!$A$5:$A$500=$Q$1),--('2026'!$G$5:$G$500=$B16))</f>
        <v>0</v>
      </c>
      <c r="R16" s="50">
        <f>SUMPRODUCT(--('2026'!$A$5:$A$500=$Q$1),--('2026'!$I$5:$I$500=$B16))+SUMPRODUCT(--('2026'!$A$5:$A$500=$Q$1),--('2026'!$J$5:$J$500=$B16))</f>
        <v>0</v>
      </c>
      <c r="S16" s="50">
        <f>SUMPRODUCT(--('2026'!$A$5:$A$500=$S$1),--('2026'!$C$5:$C$500=$B16))+SUMPRODUCT(--('2026'!$A$5:$A$500=$S$1),--('2026'!$F$5:$F$500=$B16))+SUMPRODUCT(--('2026'!$A$5:$A$500=$S$1),--('2026'!$D$5:$D$500=$B16))+SUMPRODUCT(--('2026'!$A$5:$A$500=$S$1),--('2026'!$G$5:$G$500=$B16))</f>
        <v>0</v>
      </c>
      <c r="T16" s="50">
        <f>SUMPRODUCT(--('2026'!$A$5:$A$500=$S$1),--('2026'!$I$5:$I$500=$B16))+SUMPRODUCT(--('2026'!$A$5:$A$500=$S$1),--('2026'!$J$5:$J$500=$B16))</f>
        <v>0</v>
      </c>
      <c r="U16" s="50">
        <f>SUMPRODUCT(--('2026'!$A$5:$A$500=$U$1),--('2026'!$C$5:$C$500=$B16))+SUMPRODUCT(--('2026'!$A$5:$A$500=$U$1),--('2026'!$F$5:$F$500=$B16))+SUMPRODUCT(--('2026'!$A$5:$A$500=$U$1),--('2026'!$D$5:$D$500=$B16))+SUMPRODUCT(--('2026'!$A$5:$A$500=$U$1),--('2026'!$G$5:$G$500=$B16))</f>
        <v>0</v>
      </c>
      <c r="V16" s="50">
        <f>SUMPRODUCT(--('2026'!$A$5:$A$500=$U$1),--('2026'!$I$5:$I$500=$B16))+SUMPRODUCT(--('2026'!$A$5:$A$500=$U$1),--('2026'!$J$5:$J$500=$B16))</f>
        <v>0</v>
      </c>
      <c r="W16" s="60">
        <f>SUMPRODUCT(--('2026'!$A$5:$A$500=$W$1),--('2026'!$C$5:$C$500=$B16))+SUMPRODUCT(--('2026'!$A$5:$A$500=$W$1),--('2026'!$F$5:$F$500=$B16))+SUMPRODUCT(--('2026'!$A$5:$A$500=$W$1),--('2026'!$D$5:$D$500=$B16))+SUMPRODUCT(--('2026'!$A$5:$A$500=$W$1),--('2026'!$G$5:$G$500=$B16))</f>
        <v>0</v>
      </c>
      <c r="X16" s="60">
        <f>SUMPRODUCT(--('2026'!$A$5:$A$500=$W$1),--('2026'!$I$5:$I$500=$B16))+SUMPRODUCT(--('2026'!$A$5:$A$500=$W$1),--('2026'!$J$5:$J$500=$B16))</f>
        <v>0</v>
      </c>
      <c r="Y16" s="50">
        <f>SUMPRODUCT(--('2026'!$A$5:$A$500=$Y$1),--('2026'!$C$5:$C$500=$B16))+SUMPRODUCT(--('2026'!$A$5:$A$500=$Y$1),--('2026'!$F$5:$F$500=$B16))+SUMPRODUCT(--('2026'!$A$5:$A$500=$Y$1),--('2026'!$D$5:$D$500=$B16))+SUMPRODUCT(--('2026'!$A$5:$A$500=$Y$1),--('2026'!$G$5:$G$500=$B16))</f>
        <v>0</v>
      </c>
      <c r="Z16" s="50">
        <f>SUMPRODUCT(--('2026'!$A$5:$A$500=$Y$1),--('2026'!$I$5:$I$500=$B16))+SUMPRODUCT(--('2026'!$A$5:$A$500=$Y$1),--('2026'!$J$5:$J$500=$B16))</f>
        <v>0</v>
      </c>
      <c r="AA16" s="50">
        <f>SUMPRODUCT(--('2026'!$A$5:$A$500=$AA$1),--('2026'!$C$5:$C$500=$B16))+SUMPRODUCT(--('2026'!$A$5:$A$500=$AA$1),--('2026'!$F$5:$F$500=$B16))+SUMPRODUCT(--('2026'!$A$5:$A$500=$AA$1),--('2026'!$D$5:$D$500=$B16))+SUMPRODUCT(--('2026'!$A$5:$A$500=$AA$1),--('2026'!$G$5:$G$500=$B16))</f>
        <v>0</v>
      </c>
      <c r="AB16" s="50">
        <f>SUMPRODUCT(--('2026'!$A$5:$A$500=$AA$1),--('2026'!$I$5:$I$500=$B16))+SUMPRODUCT(--('2026'!$A$5:$A$500=$AA$1),--('2026'!$J$5:$J$500=$B16))</f>
        <v>0</v>
      </c>
      <c r="AC16" s="50">
        <f>SUMPRODUCT(--('2026'!$A$5:$A$500=$AC$1),--('2026'!$C$5:$C$500=$B16))+SUMPRODUCT(--('2026'!$A$5:$A$500=$AC$1),--('2026'!$F$5:$F$500=$B16))+SUMPRODUCT(--('2026'!$A$5:$A$500=$AC$1),--('2026'!$D$5:$D$500=$B16))+SUMPRODUCT(--('2026'!$A$5:$A$500=$AC$1),--('2026'!$G$5:$G$500=$B16))</f>
        <v>0</v>
      </c>
      <c r="AD16" s="50">
        <f>SUMPRODUCT(--('2026'!$A$5:$A$500=$AC$1),--('2026'!$I$5:$I$500=$B16))+SUMPRODUCT(--('2026'!$A$5:$A$500=$AC$1),--('2026'!$J$5:$J$500=$B16))</f>
        <v>0</v>
      </c>
      <c r="AE16" s="60">
        <f>SUMPRODUCT(--('2026'!$A$5:$A$500=$AE$1),--('2026'!$C$5:$C$500=$B16))+SUMPRODUCT(--('2026'!$A$5:$A$500=$AE$1),--('2026'!$F$5:$F$500=$B16))+SUMPRODUCT(--('2026'!$A$5:$A$500=$AE$1),--('2026'!$D$5:$D$500=$B16))+SUMPRODUCT(--('2026'!$A$5:$A$500=$AE$1),--('2026'!$G$5:$G$500=$B16))</f>
        <v>0</v>
      </c>
      <c r="AF16" s="60">
        <f>SUMPRODUCT(--('2026'!$A$5:$A$500=$AE$1),--('2026'!$I$5:$I$500=$B16))+SUMPRODUCT(--('2026'!$A$5:$A$500=$AE$1),--('2026'!$J$5:$J$500=$B16))</f>
        <v>0</v>
      </c>
      <c r="AG16" s="50">
        <f>SUMPRODUCT(--('2026'!$A$5:$A$500=$AG$1),--('2026'!$C$5:$C$500=$B16))+SUMPRODUCT(--('2026'!$A$5:$A$500=$AG$1),--('2026'!$F$5:$F$500=$B16))+SUMPRODUCT(--('2026'!$A$5:$A$500=$AG$1),--('2026'!$D$5:$D$500=$B16))+SUMPRODUCT(--('2026'!$A$5:$A$500=$AG$1),--('2026'!$G$5:$G$500=$B16))</f>
        <v>0</v>
      </c>
      <c r="AH16" s="50">
        <f>SUMPRODUCT(--('2026'!$A$5:$A$500=$AG$1),--('2026'!$I$5:$I$500=$B16))+SUMPRODUCT(--('2026'!$A$5:$A$500=$AG$1),--('2026'!$J$5:$J$500=$B16))</f>
        <v>0</v>
      </c>
      <c r="AI16" s="50">
        <f>SUMPRODUCT(--('2026'!$A$5:$A$500=$AI$1),--('2026'!$C$5:$C$500=$B16))+SUMPRODUCT(--('2026'!$A$5:$A$500=$AI$1),--('2026'!$F$5:$F$500=$B16))+SUMPRODUCT(--('2026'!$A$5:$A$500=$AI$1),--('2026'!$D$5:$D$500=$B16))+SUMPRODUCT(--('2026'!$A$5:$A$500=$AI$1),--('2026'!$G$5:$G$500=$B16))</f>
        <v>0</v>
      </c>
      <c r="AJ16" s="50">
        <f>SUMPRODUCT(--('2026'!$A$5:$A$500=$AI$1),--('2026'!$I$5:$I$500=$B16))+SUMPRODUCT(--('2026'!$A$5:$A$500=$AI$1),--('2026'!$J$5:$J$500=$B16))</f>
        <v>0</v>
      </c>
      <c r="AK16" s="50">
        <f>SUMPRODUCT(--('2026'!$A$5:$A$500=$AK$1),--('2026'!$C$5:$C$500=$B16))+SUMPRODUCT(--('2026'!$A$5:$A$500=$AK$1),--('2026'!$F$5:$F$500=$B16))+SUMPRODUCT(--('2026'!$A$5:$A$500=$AK$1),--('2026'!$D$5:$D$500=$B16))+SUMPRODUCT(--('2026'!$A$5:$A$500=$AK$1),--('2026'!$G$5:$G$500=$B16))</f>
        <v>0</v>
      </c>
      <c r="AL16" s="50">
        <f>SUMPRODUCT(--('2026'!$A$5:$A$500=$AK$1),--('2026'!$I$5:$I$500=$B16))+SUMPRODUCT(--('2026'!$A$5:$A$500=$AK$1),--('2026'!$J$5:$J$500=$B16))</f>
        <v>0</v>
      </c>
      <c r="AM16" s="50">
        <f>SUMPRODUCT(--('2026'!$A$5:$A$500=$AM$1),--('2026'!$C$5:$C$500=$B16))+SUMPRODUCT(--('2026'!$A$5:$A$500=$AM$1),--('2026'!$F$5:$F$500=$B16))+SUMPRODUCT(--('2026'!$A$5:$A$500=$AM$1),--('2026'!$D$5:$D$500=$B16))+SUMPRODUCT(--('2026'!$A$5:$A$500=$AM$1),--('2026'!$G$5:$G$500=$B16))</f>
        <v>0</v>
      </c>
      <c r="AN16" s="50">
        <f>SUMPRODUCT(--('2026'!$A$5:$A$500=$AM$1),--('2026'!$I$5:$I$500=$B16))+SUMPRODUCT(--('2026'!$A$5:$A$500=$AM$1),--('2026'!$J$5:$J$500=$B16))</f>
        <v>0</v>
      </c>
      <c r="AO16" s="50">
        <f>SUMPRODUCT(--('2026'!$A$5:$A$500=$AO$1),--('2026'!$C$5:$C$500=$B16))+SUMPRODUCT(--('2026'!$A$5:$A$500=$AO$1),--('2026'!$F$5:$F$500=$B16))+SUMPRODUCT(--('2026'!$A$5:$A$500=$AO$1),--('2026'!$D$5:$D$500=$B16))+SUMPRODUCT(--('2026'!$A$5:$A$500=$AO$1),--('2026'!$G$5:$G$500=$B16))</f>
        <v>0</v>
      </c>
      <c r="AP16" s="50">
        <f>SUMPRODUCT(--('2026'!$A$5:$A$500=$AO$1),--('2026'!$I$5:$I$500=$B16))+SUMPRODUCT(--('2026'!$A$5:$A$500=$AO$1),--('2026'!$J$5:$J$500=$B16))</f>
        <v>0</v>
      </c>
      <c r="AQ16" s="50">
        <f>SUMPRODUCT(--('2026'!$A$5:$A$500=$AQ$1),--('2026'!$C$5:$C$500=$B16))+SUMPRODUCT(--('2026'!$A$5:$A$500=$AQ$1),--('2026'!$F$5:$F$500=$B16))+SUMPRODUCT(--('2026'!$A$5:$A$500=$AQ$1),--('2026'!$D$5:$D$500=$B16))+SUMPRODUCT(--('2026'!$A$5:$A$500=$AQ$1),--('2026'!$G$5:$G$500=$B16))</f>
        <v>0</v>
      </c>
      <c r="AR16" s="50">
        <f>SUMPRODUCT(--('2026'!$A$5:$A$500=$AQ$1),--('2026'!$I$5:$I$500=$B16))+SUMPRODUCT(--('2026'!$A$5:$A$500=$AQ$1),--('2026'!$J$5:$J$500=$B16))</f>
        <v>0</v>
      </c>
      <c r="AS16" s="50">
        <f>SUMPRODUCT(--('2026'!$A$5:$A$500=$AS$1),--('2026'!$C$5:$C$500=$B16))+SUMPRODUCT(--('2026'!$A$5:$A$500=$AS$1),--('2026'!$F$5:$F$500=$B16))+SUMPRODUCT(--('2026'!$A$5:$A$500=$AS$1),--('2026'!$D$5:$D$500=$B16))+SUMPRODUCT(--('2026'!$A$5:$A$500=$AS$1),--('2026'!$G$5:$G$500=$B16))</f>
        <v>0</v>
      </c>
      <c r="AT16" s="50">
        <f>SUMPRODUCT(--('2026'!$A$5:$A$500=$AS$1),--('2026'!$I$5:$I$500=$B16))+SUMPRODUCT(--('2026'!$A$5:$A$500=$AS$1),--('2026'!$J$5:$J$500=$B16))</f>
        <v>0</v>
      </c>
      <c r="AU16" s="50">
        <f>SUMPRODUCT(--('2026'!$A$5:$A$500=$AU$1),--('2026'!$C$5:$C$500=$B16))+SUMPRODUCT(--('2026'!$A$5:$A$500=$AU$1),--('2026'!$F$5:$F$500=$B16))+SUMPRODUCT(--('2026'!$A$5:$A$500=$AU$1),--('2026'!$D$5:$D$500=$B16))+SUMPRODUCT(--('2026'!$A$5:$A$500=$AU$1),--('2026'!$G$5:$G$500=$B16))</f>
        <v>0</v>
      </c>
      <c r="AV16" s="50">
        <f>SUMPRODUCT(--('2026'!$A$5:$A$500=$AU$1),--('2026'!$I$5:$I$500=$B16))+SUMPRODUCT(--('2026'!$A$5:$A$500=$AU$1),--('2026'!$J$5:$J$500=$B16))</f>
        <v>0</v>
      </c>
      <c r="AW16" s="50">
        <f>SUMPRODUCT(--('2026'!$A$5:$A$500=$AW$1),--('2026'!$C$5:$C$500=$B16))+SUMPRODUCT(--('2026'!$A$5:$A$500=$AW$1),--('2026'!$F$5:$F$500=$B16))+SUMPRODUCT(--('2026'!$A$5:$A$500=$AW$1),--('2026'!$D$5:$D$500=$B16))+SUMPRODUCT(--('2026'!$A$5:$A$500=$AW$1),--('2026'!$G$5:$G$500=$B16))</f>
        <v>0</v>
      </c>
      <c r="AX16" s="50">
        <f>SUMPRODUCT(--('2026'!$A$5:$A$500=$AW$1),--('2026'!$I$5:$I$500=$B16))+SUMPRODUCT(--('2026'!$A$5:$A$500=$AW$1),--('2026'!$J$5:$J$500=$B16))</f>
        <v>0</v>
      </c>
      <c r="BA16" s="54" t="s">
        <v>116</v>
      </c>
      <c r="BB16" s="47">
        <f t="shared" si="0"/>
        <v>0</v>
      </c>
      <c r="BC16" s="52">
        <f t="shared" si="1"/>
        <v>0</v>
      </c>
    </row>
    <row r="17" spans="1:55" ht="15" x14ac:dyDescent="0.25">
      <c r="A17">
        <v>15</v>
      </c>
      <c r="B17" s="54" t="s">
        <v>96</v>
      </c>
      <c r="C17" s="50">
        <f>SUMPRODUCT(--('2026'!$A$5:$A$500=$C$1),--('2026'!$C$5:$C$500=$B17))+SUMPRODUCT(--('2026'!$A$5:$A$500=$C$1),--('2026'!$F$5:$F$500=$B17))+SUMPRODUCT(--('2026'!$A$5:$A$500=$C$1),--('2026'!$D$5:$D$500=$B17))+SUMPRODUCT(--('2026'!$A$5:$A$500=$C$1),--('2026'!$G$5:$G$500=$B17))</f>
        <v>0</v>
      </c>
      <c r="D17" s="50">
        <f>SUMPRODUCT(--('2026'!$A$5:$A$500=$C$1),--('2026'!$I$5:$I$500=$B17))+SUMPRODUCT(--('2026'!$A$5:$A$500=$C$1),--('2026'!$J$5:$J$500=$B17))</f>
        <v>0</v>
      </c>
      <c r="E17" s="50">
        <f>SUMPRODUCT(--('2026'!$A$5:$A$500=$E$1),--('2026'!$C$5:$C$500=$B17))+SUMPRODUCT(--('2026'!$A$5:$A$500=$E$1),--('2026'!$F$5:$F$500=$B17))+SUMPRODUCT(--('2026'!$A$5:$A$500=$E$1),--('2026'!$D$5:$D$500=$B17))+SUMPRODUCT(--('2026'!$A$5:$A$500=$E$1),--('2026'!$G$5:$G$500=$B17))</f>
        <v>0</v>
      </c>
      <c r="F17" s="50">
        <f>SUMPRODUCT(--('2026'!$A$5:$A$500=$E$1),--('2026'!$I$5:$I$500=$B17))+SUMPRODUCT(--('2026'!$A$5:$A$500=$E$1),--('2026'!$J$5:$J$500=$B17))</f>
        <v>0</v>
      </c>
      <c r="G17" s="50">
        <f>SUMPRODUCT(--('2026'!$A$5:$A$500=$G$1),--('2026'!$C$5:$C$500=$B17))+SUMPRODUCT(--('2026'!$A$5:$A$500=$G$1),--('2026'!$F$5:$F$500=$B17))+SUMPRODUCT(--('2026'!$A$5:$A$500=$G$1),--('2026'!$D$5:$D$500=$B17))+SUMPRODUCT(--('2026'!$A$5:$A$500=$G$1),--('2026'!$G$5:$G$500=$B17))</f>
        <v>0</v>
      </c>
      <c r="H17" s="50">
        <f>SUMPRODUCT(--('2026'!$A$5:$A$500=$G$1),--('2026'!$I$5:$I$500=$B17))+SUMPRODUCT(--('2026'!$A$5:$A$500=$G$1),--('2026'!$J$5:$J$500=$B17))</f>
        <v>0</v>
      </c>
      <c r="I17" s="50">
        <f>SUMPRODUCT(--('2026'!$A$5:$A$500=$I$1),--('2026'!$C$5:$C$500=$B17))+SUMPRODUCT(--('2026'!$A$5:$A$500=$I$1),--('2026'!$F$5:$F$500=$B17))+SUMPRODUCT(--('2026'!$A$5:$A$500=$I$1),--('2026'!$D$5:$D$500=$B17))+SUMPRODUCT(--('2026'!$A$5:$A$500=$I$1),--('2026'!$G$5:$G$500=$B17))</f>
        <v>0</v>
      </c>
      <c r="J17" s="50">
        <f>SUMPRODUCT(--('2026'!$A$5:$A$500=$I$1),--('2026'!$I$5:$I$500=$B17))+SUMPRODUCT(--('2026'!$A$5:$A$500=$I$1),--('2026'!$J$5:$J$500=$B17))</f>
        <v>0</v>
      </c>
      <c r="K17" s="50">
        <f>SUMPRODUCT(--('2026'!$A$5:$A$500=$K$1),--('2026'!$C$5:$C$500=$B17))+SUMPRODUCT(--('2026'!$A$5:$A$500=$K$1),--('2026'!$F$5:$F$500=$B17))+SUMPRODUCT(--('2026'!$A$5:$A$500=$K$1),--('2026'!$D$5:$D$500=$B17))+SUMPRODUCT(--('2026'!$A$5:$A$500=$K$1),--('2026'!$G$5:$G$500=$B17))</f>
        <v>0</v>
      </c>
      <c r="L17" s="50">
        <f>SUMPRODUCT(--('2026'!$A$5:$A$500=$K$1),--('2026'!$I$5:$I$500=$B17))+SUMPRODUCT(--('2026'!$A$5:$A$500=$K$1),--('2026'!$J$5:$J$500=$B17))</f>
        <v>0</v>
      </c>
      <c r="M17" s="50">
        <f>SUMPRODUCT(--('2026'!$A$5:$A$500=$M$1),--('2026'!$C$5:$C$500=$B17))+SUMPRODUCT(--('2026'!$A$5:$A$500=$M$1),--('2026'!$F$5:$F$500=$B17))+SUMPRODUCT(--('2026'!$A$5:$A$500=$M$1),--('2026'!$D$5:$D$500=$B17))+SUMPRODUCT(--('2026'!$A$5:$A$500=$M$1),--('2026'!$G$5:$G$500=$B17))</f>
        <v>0</v>
      </c>
      <c r="N17" s="50">
        <f>SUMPRODUCT(--('2026'!$A$5:$A$500=$M$1),--('2026'!$I$5:$I$500=$B17))+SUMPRODUCT(--('2026'!$A$5:$A$500=$M$1),--('2026'!$J$5:$J$500=$B17))</f>
        <v>0</v>
      </c>
      <c r="O17" s="50">
        <f>SUMPRODUCT(--('2026'!$A$5:$A$500=$O$1),--('2026'!$C$5:$C$500=$B17))+SUMPRODUCT(--('2026'!$A$5:$A$500=$O$1),--('2026'!$F$5:$F$500=$B17))+SUMPRODUCT(--('2026'!$A$5:$A$500=$O$1),--('2026'!$D$5:$D$500=$B17))+SUMPRODUCT(--('2026'!$A$5:$A$500=$O$1),--('2026'!$G$5:$G$500=$B17))</f>
        <v>0</v>
      </c>
      <c r="P17" s="50">
        <f>SUMPRODUCT(--('2026'!$A$5:$A$500=$O$1),--('2026'!$I$5:$I$500=$B17))+SUMPRODUCT(--('2026'!$A$5:$A$500=$O$1),--('2026'!$J$5:$J$500=$B17))</f>
        <v>0</v>
      </c>
      <c r="Q17" s="50">
        <f>SUMPRODUCT(--('2026'!$A$5:$A$500=$Q$1),--('2026'!$C$5:$C$500=$B17))+SUMPRODUCT(--('2026'!$A$5:$A$500=$Q$1),--('2026'!$F$5:$F$500=$B17))+SUMPRODUCT(--('2026'!$A$5:$A$500=$Q$1),--('2026'!$D$5:$D$500=$B17))+SUMPRODUCT(--('2026'!$A$5:$A$500=$Q$1),--('2026'!$G$5:$G$500=$B17))</f>
        <v>0</v>
      </c>
      <c r="R17" s="50">
        <f>SUMPRODUCT(--('2026'!$A$5:$A$500=$Q$1),--('2026'!$I$5:$I$500=$B17))+SUMPRODUCT(--('2026'!$A$5:$A$500=$Q$1),--('2026'!$J$5:$J$500=$B17))</f>
        <v>0</v>
      </c>
      <c r="S17" s="50">
        <f>SUMPRODUCT(--('2026'!$A$5:$A$500=$S$1),--('2026'!$C$5:$C$500=$B17))+SUMPRODUCT(--('2026'!$A$5:$A$500=$S$1),--('2026'!$F$5:$F$500=$B17))+SUMPRODUCT(--('2026'!$A$5:$A$500=$S$1),--('2026'!$D$5:$D$500=$B17))+SUMPRODUCT(--('2026'!$A$5:$A$500=$S$1),--('2026'!$G$5:$G$500=$B17))</f>
        <v>0</v>
      </c>
      <c r="T17" s="50">
        <f>SUMPRODUCT(--('2026'!$A$5:$A$500=$S$1),--('2026'!$I$5:$I$500=$B17))+SUMPRODUCT(--('2026'!$A$5:$A$500=$S$1),--('2026'!$J$5:$J$500=$B17))</f>
        <v>0</v>
      </c>
      <c r="U17" s="50">
        <f>SUMPRODUCT(--('2026'!$A$5:$A$500=$U$1),--('2026'!$C$5:$C$500=$B17))+SUMPRODUCT(--('2026'!$A$5:$A$500=$U$1),--('2026'!$F$5:$F$500=$B17))+SUMPRODUCT(--('2026'!$A$5:$A$500=$U$1),--('2026'!$D$5:$D$500=$B17))+SUMPRODUCT(--('2026'!$A$5:$A$500=$U$1),--('2026'!$G$5:$G$500=$B17))</f>
        <v>0</v>
      </c>
      <c r="V17" s="50">
        <f>SUMPRODUCT(--('2026'!$A$5:$A$500=$U$1),--('2026'!$I$5:$I$500=$B17))+SUMPRODUCT(--('2026'!$A$5:$A$500=$U$1),--('2026'!$J$5:$J$500=$B17))</f>
        <v>0</v>
      </c>
      <c r="W17" s="60">
        <f>SUMPRODUCT(--('2026'!$A$5:$A$500=$W$1),--('2026'!$C$5:$C$500=$B17))+SUMPRODUCT(--('2026'!$A$5:$A$500=$W$1),--('2026'!$F$5:$F$500=$B17))+SUMPRODUCT(--('2026'!$A$5:$A$500=$W$1),--('2026'!$D$5:$D$500=$B17))+SUMPRODUCT(--('2026'!$A$5:$A$500=$W$1),--('2026'!$G$5:$G$500=$B17))</f>
        <v>0</v>
      </c>
      <c r="X17" s="60">
        <f>SUMPRODUCT(--('2026'!$A$5:$A$500=$W$1),--('2026'!$I$5:$I$500=$B17))+SUMPRODUCT(--('2026'!$A$5:$A$500=$W$1),--('2026'!$J$5:$J$500=$B17))</f>
        <v>0</v>
      </c>
      <c r="Y17" s="50">
        <f>SUMPRODUCT(--('2026'!$A$5:$A$500=$Y$1),--('2026'!$C$5:$C$500=$B17))+SUMPRODUCT(--('2026'!$A$5:$A$500=$Y$1),--('2026'!$F$5:$F$500=$B17))+SUMPRODUCT(--('2026'!$A$5:$A$500=$Y$1),--('2026'!$D$5:$D$500=$B17))+SUMPRODUCT(--('2026'!$A$5:$A$500=$Y$1),--('2026'!$G$5:$G$500=$B17))</f>
        <v>0</v>
      </c>
      <c r="Z17" s="50">
        <f>SUMPRODUCT(--('2026'!$A$5:$A$500=$Y$1),--('2026'!$I$5:$I$500=$B17))+SUMPRODUCT(--('2026'!$A$5:$A$500=$Y$1),--('2026'!$J$5:$J$500=$B17))</f>
        <v>0</v>
      </c>
      <c r="AA17" s="50">
        <f>SUMPRODUCT(--('2026'!$A$5:$A$500=$AA$1),--('2026'!$C$5:$C$500=$B17))+SUMPRODUCT(--('2026'!$A$5:$A$500=$AA$1),--('2026'!$F$5:$F$500=$B17))+SUMPRODUCT(--('2026'!$A$5:$A$500=$AA$1),--('2026'!$D$5:$D$500=$B17))+SUMPRODUCT(--('2026'!$A$5:$A$500=$AA$1),--('2026'!$G$5:$G$500=$B17))</f>
        <v>0</v>
      </c>
      <c r="AB17" s="50">
        <f>SUMPRODUCT(--('2026'!$A$5:$A$500=$AA$1),--('2026'!$I$5:$I$500=$B17))+SUMPRODUCT(--('2026'!$A$5:$A$500=$AA$1),--('2026'!$J$5:$J$500=$B17))</f>
        <v>0</v>
      </c>
      <c r="AC17" s="50">
        <f>SUMPRODUCT(--('2026'!$A$5:$A$500=$AC$1),--('2026'!$C$5:$C$500=$B17))+SUMPRODUCT(--('2026'!$A$5:$A$500=$AC$1),--('2026'!$F$5:$F$500=$B17))+SUMPRODUCT(--('2026'!$A$5:$A$500=$AC$1),--('2026'!$D$5:$D$500=$B17))+SUMPRODUCT(--('2026'!$A$5:$A$500=$AC$1),--('2026'!$G$5:$G$500=$B17))</f>
        <v>0</v>
      </c>
      <c r="AD17" s="50">
        <f>SUMPRODUCT(--('2026'!$A$5:$A$500=$AC$1),--('2026'!$I$5:$I$500=$B17))+SUMPRODUCT(--('2026'!$A$5:$A$500=$AC$1),--('2026'!$J$5:$J$500=$B17))</f>
        <v>0</v>
      </c>
      <c r="AE17" s="60">
        <f>SUMPRODUCT(--('2026'!$A$5:$A$500=$AE$1),--('2026'!$C$5:$C$500=$B17))+SUMPRODUCT(--('2026'!$A$5:$A$500=$AE$1),--('2026'!$F$5:$F$500=$B17))+SUMPRODUCT(--('2026'!$A$5:$A$500=$AE$1),--('2026'!$D$5:$D$500=$B17))+SUMPRODUCT(--('2026'!$A$5:$A$500=$AE$1),--('2026'!$G$5:$G$500=$B17))</f>
        <v>0</v>
      </c>
      <c r="AF17" s="60">
        <f>SUMPRODUCT(--('2026'!$A$5:$A$500=$AE$1),--('2026'!$I$5:$I$500=$B17))+SUMPRODUCT(--('2026'!$A$5:$A$500=$AE$1),--('2026'!$J$5:$J$500=$B17))</f>
        <v>0</v>
      </c>
      <c r="AG17" s="50">
        <f>SUMPRODUCT(--('2026'!$A$5:$A$500=$AG$1),--('2026'!$C$5:$C$500=$B17))+SUMPRODUCT(--('2026'!$A$5:$A$500=$AG$1),--('2026'!$F$5:$F$500=$B17))+SUMPRODUCT(--('2026'!$A$5:$A$500=$AG$1),--('2026'!$D$5:$D$500=$B17))+SUMPRODUCT(--('2026'!$A$5:$A$500=$AG$1),--('2026'!$G$5:$G$500=$B17))</f>
        <v>0</v>
      </c>
      <c r="AH17" s="50">
        <f>SUMPRODUCT(--('2026'!$A$5:$A$500=$AG$1),--('2026'!$I$5:$I$500=$B17))+SUMPRODUCT(--('2026'!$A$5:$A$500=$AG$1),--('2026'!$J$5:$J$500=$B17))</f>
        <v>0</v>
      </c>
      <c r="AI17" s="50">
        <f>SUMPRODUCT(--('2026'!$A$5:$A$500=$AI$1),--('2026'!$C$5:$C$500=$B17))+SUMPRODUCT(--('2026'!$A$5:$A$500=$AI$1),--('2026'!$F$5:$F$500=$B17))+SUMPRODUCT(--('2026'!$A$5:$A$500=$AI$1),--('2026'!$D$5:$D$500=$B17))+SUMPRODUCT(--('2026'!$A$5:$A$500=$AI$1),--('2026'!$G$5:$G$500=$B17))</f>
        <v>0</v>
      </c>
      <c r="AJ17" s="50">
        <f>SUMPRODUCT(--('2026'!$A$5:$A$500=$AI$1),--('2026'!$I$5:$I$500=$B17))+SUMPRODUCT(--('2026'!$A$5:$A$500=$AI$1),--('2026'!$J$5:$J$500=$B17))</f>
        <v>0</v>
      </c>
      <c r="AK17" s="50">
        <f>SUMPRODUCT(--('2026'!$A$5:$A$500=$AK$1),--('2026'!$C$5:$C$500=$B17))+SUMPRODUCT(--('2026'!$A$5:$A$500=$AK$1),--('2026'!$F$5:$F$500=$B17))+SUMPRODUCT(--('2026'!$A$5:$A$500=$AK$1),--('2026'!$D$5:$D$500=$B17))+SUMPRODUCT(--('2026'!$A$5:$A$500=$AK$1),--('2026'!$G$5:$G$500=$B17))</f>
        <v>0</v>
      </c>
      <c r="AL17" s="50">
        <f>SUMPRODUCT(--('2026'!$A$5:$A$500=$AK$1),--('2026'!$I$5:$I$500=$B17))+SUMPRODUCT(--('2026'!$A$5:$A$500=$AK$1),--('2026'!$J$5:$J$500=$B17))</f>
        <v>0</v>
      </c>
      <c r="AM17" s="50">
        <f>SUMPRODUCT(--('2026'!$A$5:$A$500=$AM$1),--('2026'!$C$5:$C$500=$B17))+SUMPRODUCT(--('2026'!$A$5:$A$500=$AM$1),--('2026'!$F$5:$F$500=$B17))+SUMPRODUCT(--('2026'!$A$5:$A$500=$AM$1),--('2026'!$D$5:$D$500=$B17))+SUMPRODUCT(--('2026'!$A$5:$A$500=$AM$1),--('2026'!$G$5:$G$500=$B17))</f>
        <v>0</v>
      </c>
      <c r="AN17" s="50">
        <f>SUMPRODUCT(--('2026'!$A$5:$A$500=$AM$1),--('2026'!$I$5:$I$500=$B17))+SUMPRODUCT(--('2026'!$A$5:$A$500=$AM$1),--('2026'!$J$5:$J$500=$B17))</f>
        <v>0</v>
      </c>
      <c r="AO17" s="50">
        <f>SUMPRODUCT(--('2026'!$A$5:$A$500=$AO$1),--('2026'!$C$5:$C$500=$B17))+SUMPRODUCT(--('2026'!$A$5:$A$500=$AO$1),--('2026'!$F$5:$F$500=$B17))+SUMPRODUCT(--('2026'!$A$5:$A$500=$AO$1),--('2026'!$D$5:$D$500=$B17))+SUMPRODUCT(--('2026'!$A$5:$A$500=$AO$1),--('2026'!$G$5:$G$500=$B17))</f>
        <v>0</v>
      </c>
      <c r="AP17" s="50">
        <f>SUMPRODUCT(--('2026'!$A$5:$A$500=$AO$1),--('2026'!$I$5:$I$500=$B17))+SUMPRODUCT(--('2026'!$A$5:$A$500=$AO$1),--('2026'!$J$5:$J$500=$B17))</f>
        <v>0</v>
      </c>
      <c r="AQ17" s="50">
        <f>SUMPRODUCT(--('2026'!$A$5:$A$500=$AQ$1),--('2026'!$C$5:$C$500=$B17))+SUMPRODUCT(--('2026'!$A$5:$A$500=$AQ$1),--('2026'!$F$5:$F$500=$B17))+SUMPRODUCT(--('2026'!$A$5:$A$500=$AQ$1),--('2026'!$D$5:$D$500=$B17))+SUMPRODUCT(--('2026'!$A$5:$A$500=$AQ$1),--('2026'!$G$5:$G$500=$B17))</f>
        <v>0</v>
      </c>
      <c r="AR17" s="50">
        <f>SUMPRODUCT(--('2026'!$A$5:$A$500=$AQ$1),--('2026'!$I$5:$I$500=$B17))+SUMPRODUCT(--('2026'!$A$5:$A$500=$AQ$1),--('2026'!$J$5:$J$500=$B17))</f>
        <v>0</v>
      </c>
      <c r="AS17" s="50">
        <f>SUMPRODUCT(--('2026'!$A$5:$A$500=$AS$1),--('2026'!$C$5:$C$500=$B17))+SUMPRODUCT(--('2026'!$A$5:$A$500=$AS$1),--('2026'!$F$5:$F$500=$B17))+SUMPRODUCT(--('2026'!$A$5:$A$500=$AS$1),--('2026'!$D$5:$D$500=$B17))+SUMPRODUCT(--('2026'!$A$5:$A$500=$AS$1),--('2026'!$G$5:$G$500=$B17))</f>
        <v>0</v>
      </c>
      <c r="AT17" s="50">
        <f>SUMPRODUCT(--('2026'!$A$5:$A$500=$AS$1),--('2026'!$I$5:$I$500=$B17))+SUMPRODUCT(--('2026'!$A$5:$A$500=$AS$1),--('2026'!$J$5:$J$500=$B17))</f>
        <v>0</v>
      </c>
      <c r="AU17" s="50">
        <f>SUMPRODUCT(--('2026'!$A$5:$A$500=$AU$1),--('2026'!$C$5:$C$500=$B17))+SUMPRODUCT(--('2026'!$A$5:$A$500=$AU$1),--('2026'!$F$5:$F$500=$B17))+SUMPRODUCT(--('2026'!$A$5:$A$500=$AU$1),--('2026'!$D$5:$D$500=$B17))+SUMPRODUCT(--('2026'!$A$5:$A$500=$AU$1),--('2026'!$G$5:$G$500=$B17))</f>
        <v>0</v>
      </c>
      <c r="AV17" s="50">
        <f>SUMPRODUCT(--('2026'!$A$5:$A$500=$AU$1),--('2026'!$I$5:$I$500=$B17))+SUMPRODUCT(--('2026'!$A$5:$A$500=$AU$1),--('2026'!$J$5:$J$500=$B17))</f>
        <v>0</v>
      </c>
      <c r="AW17" s="50">
        <f>SUMPRODUCT(--('2026'!$A$5:$A$500=$AW$1),--('2026'!$C$5:$C$500=$B17))+SUMPRODUCT(--('2026'!$A$5:$A$500=$AW$1),--('2026'!$F$5:$F$500=$B17))+SUMPRODUCT(--('2026'!$A$5:$A$500=$AW$1),--('2026'!$D$5:$D$500=$B17))+SUMPRODUCT(--('2026'!$A$5:$A$500=$AW$1),--('2026'!$G$5:$G$500=$B17))</f>
        <v>0</v>
      </c>
      <c r="AX17" s="50">
        <f>SUMPRODUCT(--('2026'!$A$5:$A$500=$AW$1),--('2026'!$I$5:$I$500=$B17))+SUMPRODUCT(--('2026'!$A$5:$A$500=$AW$1),--('2026'!$J$5:$J$500=$B17))</f>
        <v>0</v>
      </c>
      <c r="BA17" s="54" t="s">
        <v>96</v>
      </c>
      <c r="BB17" s="47">
        <f t="shared" si="0"/>
        <v>0</v>
      </c>
      <c r="BC17" s="52">
        <f t="shared" si="1"/>
        <v>0</v>
      </c>
    </row>
    <row r="18" spans="1:55" ht="15" x14ac:dyDescent="0.25">
      <c r="A18">
        <v>16</v>
      </c>
      <c r="B18" s="54" t="s">
        <v>117</v>
      </c>
      <c r="C18" s="50">
        <f>SUMPRODUCT(--('2026'!$A$5:$A$500=$C$1),--('2026'!$C$5:$C$500=$B18))+SUMPRODUCT(--('2026'!$A$5:$A$500=$C$1),--('2026'!$F$5:$F$500=$B18))+SUMPRODUCT(--('2026'!$A$5:$A$500=$C$1),--('2026'!$D$5:$D$500=$B18))+SUMPRODUCT(--('2026'!$A$5:$A$500=$C$1),--('2026'!$G$5:$G$500=$B18))</f>
        <v>0</v>
      </c>
      <c r="D18" s="50">
        <f>SUMPRODUCT(--('2026'!$A$5:$A$500=$C$1),--('2026'!$I$5:$I$500=$B18))+SUMPRODUCT(--('2026'!$A$5:$A$500=$C$1),--('2026'!$J$5:$J$500=$B18))</f>
        <v>0</v>
      </c>
      <c r="E18" s="50">
        <f>SUMPRODUCT(--('2026'!$A$5:$A$500=$E$1),--('2026'!$C$5:$C$500=$B18))+SUMPRODUCT(--('2026'!$A$5:$A$500=$E$1),--('2026'!$F$5:$F$500=$B18))+SUMPRODUCT(--('2026'!$A$5:$A$500=$E$1),--('2026'!$D$5:$D$500=$B18))+SUMPRODUCT(--('2026'!$A$5:$A$500=$E$1),--('2026'!$G$5:$G$500=$B18))</f>
        <v>0</v>
      </c>
      <c r="F18" s="50">
        <f>SUMPRODUCT(--('2026'!$A$5:$A$500=$E$1),--('2026'!$I$5:$I$500=$B18))+SUMPRODUCT(--('2026'!$A$5:$A$500=$E$1),--('2026'!$J$5:$J$500=$B18))</f>
        <v>0</v>
      </c>
      <c r="G18" s="50">
        <f>SUMPRODUCT(--('2026'!$A$5:$A$500=$G$1),--('2026'!$C$5:$C$500=$B18))+SUMPRODUCT(--('2026'!$A$5:$A$500=$G$1),--('2026'!$F$5:$F$500=$B18))+SUMPRODUCT(--('2026'!$A$5:$A$500=$G$1),--('2026'!$D$5:$D$500=$B18))+SUMPRODUCT(--('2026'!$A$5:$A$500=$G$1),--('2026'!$G$5:$G$500=$B18))</f>
        <v>0</v>
      </c>
      <c r="H18" s="50">
        <f>SUMPRODUCT(--('2026'!$A$5:$A$500=$G$1),--('2026'!$I$5:$I$500=$B18))+SUMPRODUCT(--('2026'!$A$5:$A$500=$G$1),--('2026'!$J$5:$J$500=$B18))</f>
        <v>0</v>
      </c>
      <c r="I18" s="50">
        <f>SUMPRODUCT(--('2026'!$A$5:$A$500=$I$1),--('2026'!$C$5:$C$500=$B18))+SUMPRODUCT(--('2026'!$A$5:$A$500=$I$1),--('2026'!$F$5:$F$500=$B18))+SUMPRODUCT(--('2026'!$A$5:$A$500=$I$1),--('2026'!$D$5:$D$500=$B18))+SUMPRODUCT(--('2026'!$A$5:$A$500=$I$1),--('2026'!$G$5:$G$500=$B18))</f>
        <v>0</v>
      </c>
      <c r="J18" s="50">
        <f>SUMPRODUCT(--('2026'!$A$5:$A$500=$I$1),--('2026'!$I$5:$I$500=$B18))+SUMPRODUCT(--('2026'!$A$5:$A$500=$I$1),--('2026'!$J$5:$J$500=$B18))</f>
        <v>0</v>
      </c>
      <c r="K18" s="50">
        <f>SUMPRODUCT(--('2026'!$A$5:$A$500=$K$1),--('2026'!$C$5:$C$500=$B18))+SUMPRODUCT(--('2026'!$A$5:$A$500=$K$1),--('2026'!$F$5:$F$500=$B18))+SUMPRODUCT(--('2026'!$A$5:$A$500=$K$1),--('2026'!$D$5:$D$500=$B18))+SUMPRODUCT(--('2026'!$A$5:$A$500=$K$1),--('2026'!$G$5:$G$500=$B18))</f>
        <v>0</v>
      </c>
      <c r="L18" s="50">
        <f>SUMPRODUCT(--('2026'!$A$5:$A$500=$K$1),--('2026'!$I$5:$I$500=$B18))+SUMPRODUCT(--('2026'!$A$5:$A$500=$K$1),--('2026'!$J$5:$J$500=$B18))</f>
        <v>0</v>
      </c>
      <c r="M18" s="50">
        <f>SUMPRODUCT(--('2026'!$A$5:$A$500=$M$1),--('2026'!$C$5:$C$500=$B18))+SUMPRODUCT(--('2026'!$A$5:$A$500=$M$1),--('2026'!$F$5:$F$500=$B18))+SUMPRODUCT(--('2026'!$A$5:$A$500=$M$1),--('2026'!$D$5:$D$500=$B18))+SUMPRODUCT(--('2026'!$A$5:$A$500=$M$1),--('2026'!$G$5:$G$500=$B18))</f>
        <v>0</v>
      </c>
      <c r="N18" s="50">
        <f>SUMPRODUCT(--('2026'!$A$5:$A$500=$M$1),--('2026'!$I$5:$I$500=$B18))+SUMPRODUCT(--('2026'!$A$5:$A$500=$M$1),--('2026'!$J$5:$J$500=$B18))</f>
        <v>0</v>
      </c>
      <c r="O18" s="50">
        <f>SUMPRODUCT(--('2026'!$A$5:$A$500=$O$1),--('2026'!$C$5:$C$500=$B18))+SUMPRODUCT(--('2026'!$A$5:$A$500=$O$1),--('2026'!$F$5:$F$500=$B18))+SUMPRODUCT(--('2026'!$A$5:$A$500=$O$1),--('2026'!$D$5:$D$500=$B18))+SUMPRODUCT(--('2026'!$A$5:$A$500=$O$1),--('2026'!$G$5:$G$500=$B18))</f>
        <v>0</v>
      </c>
      <c r="P18" s="50">
        <f>SUMPRODUCT(--('2026'!$A$5:$A$500=$O$1),--('2026'!$I$5:$I$500=$B18))+SUMPRODUCT(--('2026'!$A$5:$A$500=$O$1),--('2026'!$J$5:$J$500=$B18))</f>
        <v>0</v>
      </c>
      <c r="Q18" s="50">
        <f>SUMPRODUCT(--('2026'!$A$5:$A$500=$Q$1),--('2026'!$C$5:$C$500=$B18))+SUMPRODUCT(--('2026'!$A$5:$A$500=$Q$1),--('2026'!$F$5:$F$500=$B18))+SUMPRODUCT(--('2026'!$A$5:$A$500=$Q$1),--('2026'!$D$5:$D$500=$B18))+SUMPRODUCT(--('2026'!$A$5:$A$500=$Q$1),--('2026'!$G$5:$G$500=$B18))</f>
        <v>0</v>
      </c>
      <c r="R18" s="50">
        <f>SUMPRODUCT(--('2026'!$A$5:$A$500=$Q$1),--('2026'!$I$5:$I$500=$B18))+SUMPRODUCT(--('2026'!$A$5:$A$500=$Q$1),--('2026'!$J$5:$J$500=$B18))</f>
        <v>0</v>
      </c>
      <c r="S18" s="50">
        <f>SUMPRODUCT(--('2026'!$A$5:$A$500=$S$1),--('2026'!$C$5:$C$500=$B18))+SUMPRODUCT(--('2026'!$A$5:$A$500=$S$1),--('2026'!$F$5:$F$500=$B18))+SUMPRODUCT(--('2026'!$A$5:$A$500=$S$1),--('2026'!$D$5:$D$500=$B18))+SUMPRODUCT(--('2026'!$A$5:$A$500=$S$1),--('2026'!$G$5:$G$500=$B18))</f>
        <v>0</v>
      </c>
      <c r="T18" s="50">
        <f>SUMPRODUCT(--('2026'!$A$5:$A$500=$S$1),--('2026'!$I$5:$I$500=$B18))+SUMPRODUCT(--('2026'!$A$5:$A$500=$S$1),--('2026'!$J$5:$J$500=$B18))</f>
        <v>0</v>
      </c>
      <c r="U18" s="50">
        <f>SUMPRODUCT(--('2026'!$A$5:$A$500=$U$1),--('2026'!$C$5:$C$500=$B18))+SUMPRODUCT(--('2026'!$A$5:$A$500=$U$1),--('2026'!$F$5:$F$500=$B18))+SUMPRODUCT(--('2026'!$A$5:$A$500=$U$1),--('2026'!$D$5:$D$500=$B18))+SUMPRODUCT(--('2026'!$A$5:$A$500=$U$1),--('2026'!$G$5:$G$500=$B18))</f>
        <v>0</v>
      </c>
      <c r="V18" s="50">
        <f>SUMPRODUCT(--('2026'!$A$5:$A$500=$U$1),--('2026'!$I$5:$I$500=$B18))+SUMPRODUCT(--('2026'!$A$5:$A$500=$U$1),--('2026'!$J$5:$J$500=$B18))</f>
        <v>0</v>
      </c>
      <c r="W18" s="60">
        <f>SUMPRODUCT(--('2026'!$A$5:$A$500=$W$1),--('2026'!$C$5:$C$500=$B18))+SUMPRODUCT(--('2026'!$A$5:$A$500=$W$1),--('2026'!$F$5:$F$500=$B18))+SUMPRODUCT(--('2026'!$A$5:$A$500=$W$1),--('2026'!$D$5:$D$500=$B18))+SUMPRODUCT(--('2026'!$A$5:$A$500=$W$1),--('2026'!$G$5:$G$500=$B18))</f>
        <v>0</v>
      </c>
      <c r="X18" s="60">
        <f>SUMPRODUCT(--('2026'!$A$5:$A$500=$W$1),--('2026'!$I$5:$I$500=$B18))+SUMPRODUCT(--('2026'!$A$5:$A$500=$W$1),--('2026'!$J$5:$J$500=$B18))</f>
        <v>0</v>
      </c>
      <c r="Y18" s="50">
        <f>SUMPRODUCT(--('2026'!$A$5:$A$500=$Y$1),--('2026'!$C$5:$C$500=$B18))+SUMPRODUCT(--('2026'!$A$5:$A$500=$Y$1),--('2026'!$F$5:$F$500=$B18))+SUMPRODUCT(--('2026'!$A$5:$A$500=$Y$1),--('2026'!$D$5:$D$500=$B18))+SUMPRODUCT(--('2026'!$A$5:$A$500=$Y$1),--('2026'!$G$5:$G$500=$B18))</f>
        <v>0</v>
      </c>
      <c r="Z18" s="50">
        <f>SUMPRODUCT(--('2026'!$A$5:$A$500=$Y$1),--('2026'!$I$5:$I$500=$B18))+SUMPRODUCT(--('2026'!$A$5:$A$500=$Y$1),--('2026'!$J$5:$J$500=$B18))</f>
        <v>0</v>
      </c>
      <c r="AA18" s="50">
        <f>SUMPRODUCT(--('2026'!$A$5:$A$500=$AA$1),--('2026'!$C$5:$C$500=$B18))+SUMPRODUCT(--('2026'!$A$5:$A$500=$AA$1),--('2026'!$F$5:$F$500=$B18))+SUMPRODUCT(--('2026'!$A$5:$A$500=$AA$1),--('2026'!$D$5:$D$500=$B18))+SUMPRODUCT(--('2026'!$A$5:$A$500=$AA$1),--('2026'!$G$5:$G$500=$B18))</f>
        <v>0</v>
      </c>
      <c r="AB18" s="50">
        <f>SUMPRODUCT(--('2026'!$A$5:$A$500=$AA$1),--('2026'!$I$5:$I$500=$B18))+SUMPRODUCT(--('2026'!$A$5:$A$500=$AA$1),--('2026'!$J$5:$J$500=$B18))</f>
        <v>0</v>
      </c>
      <c r="AC18" s="50">
        <f>SUMPRODUCT(--('2026'!$A$5:$A$500=$AC$1),--('2026'!$C$5:$C$500=$B18))+SUMPRODUCT(--('2026'!$A$5:$A$500=$AC$1),--('2026'!$F$5:$F$500=$B18))+SUMPRODUCT(--('2026'!$A$5:$A$500=$AC$1),--('2026'!$D$5:$D$500=$B18))+SUMPRODUCT(--('2026'!$A$5:$A$500=$AC$1),--('2026'!$G$5:$G$500=$B18))</f>
        <v>0</v>
      </c>
      <c r="AD18" s="50">
        <f>SUMPRODUCT(--('2026'!$A$5:$A$500=$AC$1),--('2026'!$I$5:$I$500=$B18))+SUMPRODUCT(--('2026'!$A$5:$A$500=$AC$1),--('2026'!$J$5:$J$500=$B18))</f>
        <v>0</v>
      </c>
      <c r="AE18" s="60">
        <f>SUMPRODUCT(--('2026'!$A$5:$A$500=$AE$1),--('2026'!$C$5:$C$500=$B18))+SUMPRODUCT(--('2026'!$A$5:$A$500=$AE$1),--('2026'!$F$5:$F$500=$B18))+SUMPRODUCT(--('2026'!$A$5:$A$500=$AE$1),--('2026'!$D$5:$D$500=$B18))+SUMPRODUCT(--('2026'!$A$5:$A$500=$AE$1),--('2026'!$G$5:$G$500=$B18))</f>
        <v>0</v>
      </c>
      <c r="AF18" s="60">
        <f>SUMPRODUCT(--('2026'!$A$5:$A$500=$AE$1),--('2026'!$I$5:$I$500=$B18))+SUMPRODUCT(--('2026'!$A$5:$A$500=$AE$1),--('2026'!$J$5:$J$500=$B18))</f>
        <v>0</v>
      </c>
      <c r="AG18" s="50">
        <f>SUMPRODUCT(--('2026'!$A$5:$A$500=$AG$1),--('2026'!$C$5:$C$500=$B18))+SUMPRODUCT(--('2026'!$A$5:$A$500=$AG$1),--('2026'!$F$5:$F$500=$B18))+SUMPRODUCT(--('2026'!$A$5:$A$500=$AG$1),--('2026'!$D$5:$D$500=$B18))+SUMPRODUCT(--('2026'!$A$5:$A$500=$AG$1),--('2026'!$G$5:$G$500=$B18))</f>
        <v>0</v>
      </c>
      <c r="AH18" s="50">
        <f>SUMPRODUCT(--('2026'!$A$5:$A$500=$AG$1),--('2026'!$I$5:$I$500=$B18))+SUMPRODUCT(--('2026'!$A$5:$A$500=$AG$1),--('2026'!$J$5:$J$500=$B18))</f>
        <v>0</v>
      </c>
      <c r="AI18" s="50">
        <f>SUMPRODUCT(--('2026'!$A$5:$A$500=$AI$1),--('2026'!$C$5:$C$500=$B18))+SUMPRODUCT(--('2026'!$A$5:$A$500=$AI$1),--('2026'!$F$5:$F$500=$B18))+SUMPRODUCT(--('2026'!$A$5:$A$500=$AI$1),--('2026'!$D$5:$D$500=$B18))+SUMPRODUCT(--('2026'!$A$5:$A$500=$AI$1),--('2026'!$G$5:$G$500=$B18))</f>
        <v>0</v>
      </c>
      <c r="AJ18" s="50">
        <f>SUMPRODUCT(--('2026'!$A$5:$A$500=$AI$1),--('2026'!$I$5:$I$500=$B18))+SUMPRODUCT(--('2026'!$A$5:$A$500=$AI$1),--('2026'!$J$5:$J$500=$B18))</f>
        <v>0</v>
      </c>
      <c r="AK18" s="50">
        <f>SUMPRODUCT(--('2026'!$A$5:$A$500=$AK$1),--('2026'!$C$5:$C$500=$B18))+SUMPRODUCT(--('2026'!$A$5:$A$500=$AK$1),--('2026'!$F$5:$F$500=$B18))+SUMPRODUCT(--('2026'!$A$5:$A$500=$AK$1),--('2026'!$D$5:$D$500=$B18))+SUMPRODUCT(--('2026'!$A$5:$A$500=$AK$1),--('2026'!$G$5:$G$500=$B18))</f>
        <v>0</v>
      </c>
      <c r="AL18" s="50">
        <f>SUMPRODUCT(--('2026'!$A$5:$A$500=$AK$1),--('2026'!$I$5:$I$500=$B18))+SUMPRODUCT(--('2026'!$A$5:$A$500=$AK$1),--('2026'!$J$5:$J$500=$B18))</f>
        <v>0</v>
      </c>
      <c r="AM18" s="50">
        <f>SUMPRODUCT(--('2026'!$A$5:$A$500=$AM$1),--('2026'!$C$5:$C$500=$B18))+SUMPRODUCT(--('2026'!$A$5:$A$500=$AM$1),--('2026'!$F$5:$F$500=$B18))+SUMPRODUCT(--('2026'!$A$5:$A$500=$AM$1),--('2026'!$D$5:$D$500=$B18))+SUMPRODUCT(--('2026'!$A$5:$A$500=$AM$1),--('2026'!$G$5:$G$500=$B18))</f>
        <v>0</v>
      </c>
      <c r="AN18" s="50">
        <f>SUMPRODUCT(--('2026'!$A$5:$A$500=$AM$1),--('2026'!$I$5:$I$500=$B18))+SUMPRODUCT(--('2026'!$A$5:$A$500=$AM$1),--('2026'!$J$5:$J$500=$B18))</f>
        <v>0</v>
      </c>
      <c r="AO18" s="50">
        <f>SUMPRODUCT(--('2026'!$A$5:$A$500=$AO$1),--('2026'!$C$5:$C$500=$B18))+SUMPRODUCT(--('2026'!$A$5:$A$500=$AO$1),--('2026'!$F$5:$F$500=$B18))+SUMPRODUCT(--('2026'!$A$5:$A$500=$AO$1),--('2026'!$D$5:$D$500=$B18))+SUMPRODUCT(--('2026'!$A$5:$A$500=$AO$1),--('2026'!$G$5:$G$500=$B18))</f>
        <v>0</v>
      </c>
      <c r="AP18" s="50">
        <f>SUMPRODUCT(--('2026'!$A$5:$A$500=$AO$1),--('2026'!$I$5:$I$500=$B18))+SUMPRODUCT(--('2026'!$A$5:$A$500=$AO$1),--('2026'!$J$5:$J$500=$B18))</f>
        <v>0</v>
      </c>
      <c r="AQ18" s="50">
        <f>SUMPRODUCT(--('2026'!$A$5:$A$500=$AQ$1),--('2026'!$C$5:$C$500=$B18))+SUMPRODUCT(--('2026'!$A$5:$A$500=$AQ$1),--('2026'!$F$5:$F$500=$B18))+SUMPRODUCT(--('2026'!$A$5:$A$500=$AQ$1),--('2026'!$D$5:$D$500=$B18))+SUMPRODUCT(--('2026'!$A$5:$A$500=$AQ$1),--('2026'!$G$5:$G$500=$B18))</f>
        <v>0</v>
      </c>
      <c r="AR18" s="50">
        <f>SUMPRODUCT(--('2026'!$A$5:$A$500=$AQ$1),--('2026'!$I$5:$I$500=$B18))+SUMPRODUCT(--('2026'!$A$5:$A$500=$AQ$1),--('2026'!$J$5:$J$500=$B18))</f>
        <v>0</v>
      </c>
      <c r="AS18" s="50">
        <f>SUMPRODUCT(--('2026'!$A$5:$A$500=$AS$1),--('2026'!$C$5:$C$500=$B18))+SUMPRODUCT(--('2026'!$A$5:$A$500=$AS$1),--('2026'!$F$5:$F$500=$B18))+SUMPRODUCT(--('2026'!$A$5:$A$500=$AS$1),--('2026'!$D$5:$D$500=$B18))+SUMPRODUCT(--('2026'!$A$5:$A$500=$AS$1),--('2026'!$G$5:$G$500=$B18))</f>
        <v>0</v>
      </c>
      <c r="AT18" s="50">
        <f>SUMPRODUCT(--('2026'!$A$5:$A$500=$AS$1),--('2026'!$I$5:$I$500=$B18))+SUMPRODUCT(--('2026'!$A$5:$A$500=$AS$1),--('2026'!$J$5:$J$500=$B18))</f>
        <v>0</v>
      </c>
      <c r="AU18" s="50">
        <f>SUMPRODUCT(--('2026'!$A$5:$A$500=$AU$1),--('2026'!$C$5:$C$500=$B18))+SUMPRODUCT(--('2026'!$A$5:$A$500=$AU$1),--('2026'!$F$5:$F$500=$B18))+SUMPRODUCT(--('2026'!$A$5:$A$500=$AU$1),--('2026'!$D$5:$D$500=$B18))+SUMPRODUCT(--('2026'!$A$5:$A$500=$AU$1),--('2026'!$G$5:$G$500=$B18))</f>
        <v>0</v>
      </c>
      <c r="AV18" s="50">
        <f>SUMPRODUCT(--('2026'!$A$5:$A$500=$AU$1),--('2026'!$I$5:$I$500=$B18))+SUMPRODUCT(--('2026'!$A$5:$A$500=$AU$1),--('2026'!$J$5:$J$500=$B18))</f>
        <v>0</v>
      </c>
      <c r="AW18" s="50">
        <f>SUMPRODUCT(--('2026'!$A$5:$A$500=$AW$1),--('2026'!$C$5:$C$500=$B18))+SUMPRODUCT(--('2026'!$A$5:$A$500=$AW$1),--('2026'!$F$5:$F$500=$B18))+SUMPRODUCT(--('2026'!$A$5:$A$500=$AW$1),--('2026'!$D$5:$D$500=$B18))+SUMPRODUCT(--('2026'!$A$5:$A$500=$AW$1),--('2026'!$G$5:$G$500=$B18))</f>
        <v>0</v>
      </c>
      <c r="AX18" s="50">
        <f>SUMPRODUCT(--('2026'!$A$5:$A$500=$AW$1),--('2026'!$I$5:$I$500=$B18))+SUMPRODUCT(--('2026'!$A$5:$A$500=$AW$1),--('2026'!$J$5:$J$500=$B18))</f>
        <v>0</v>
      </c>
      <c r="BA18" s="54" t="s">
        <v>117</v>
      </c>
      <c r="BB18" s="47">
        <f t="shared" si="0"/>
        <v>0</v>
      </c>
      <c r="BC18" s="52">
        <f t="shared" si="1"/>
        <v>0</v>
      </c>
    </row>
    <row r="19" spans="1:55" ht="15" x14ac:dyDescent="0.25">
      <c r="A19">
        <v>17</v>
      </c>
      <c r="B19" s="54" t="s">
        <v>97</v>
      </c>
      <c r="C19" s="50">
        <f>SUMPRODUCT(--('2026'!$A$5:$A$500=$C$1),--('2026'!$C$5:$C$500=$B19))+SUMPRODUCT(--('2026'!$A$5:$A$500=$C$1),--('2026'!$F$5:$F$500=$B19))+SUMPRODUCT(--('2026'!$A$5:$A$500=$C$1),--('2026'!$D$5:$D$500=$B19))+SUMPRODUCT(--('2026'!$A$5:$A$500=$C$1),--('2026'!$G$5:$G$500=$B19))</f>
        <v>0</v>
      </c>
      <c r="D19" s="50">
        <f>SUMPRODUCT(--('2026'!$A$5:$A$500=$C$1),--('2026'!$I$5:$I$500=$B19))+SUMPRODUCT(--('2026'!$A$5:$A$500=$C$1),--('2026'!$J$5:$J$500=$B19))</f>
        <v>0</v>
      </c>
      <c r="E19" s="50">
        <f>SUMPRODUCT(--('2026'!$A$5:$A$500=$E$1),--('2026'!$C$5:$C$500=$B19))+SUMPRODUCT(--('2026'!$A$5:$A$500=$E$1),--('2026'!$F$5:$F$500=$B19))+SUMPRODUCT(--('2026'!$A$5:$A$500=$E$1),--('2026'!$D$5:$D$500=$B19))+SUMPRODUCT(--('2026'!$A$5:$A$500=$E$1),--('2026'!$G$5:$G$500=$B19))</f>
        <v>0</v>
      </c>
      <c r="F19" s="50">
        <f>SUMPRODUCT(--('2026'!$A$5:$A$500=$E$1),--('2026'!$I$5:$I$500=$B19))+SUMPRODUCT(--('2026'!$A$5:$A$500=$E$1),--('2026'!$J$5:$J$500=$B19))</f>
        <v>0</v>
      </c>
      <c r="G19" s="50">
        <f>SUMPRODUCT(--('2026'!$A$5:$A$500=$G$1),--('2026'!$C$5:$C$500=$B19))+SUMPRODUCT(--('2026'!$A$5:$A$500=$G$1),--('2026'!$F$5:$F$500=$B19))+SUMPRODUCT(--('2026'!$A$5:$A$500=$G$1),--('2026'!$D$5:$D$500=$B19))+SUMPRODUCT(--('2026'!$A$5:$A$500=$G$1),--('2026'!$G$5:$G$500=$B19))</f>
        <v>0</v>
      </c>
      <c r="H19" s="50">
        <f>SUMPRODUCT(--('2026'!$A$5:$A$500=$G$1),--('2026'!$I$5:$I$500=$B19))+SUMPRODUCT(--('2026'!$A$5:$A$500=$G$1),--('2026'!$J$5:$J$500=$B19))</f>
        <v>0</v>
      </c>
      <c r="I19" s="50">
        <f>SUMPRODUCT(--('2026'!$A$5:$A$500=$I$1),--('2026'!$C$5:$C$500=$B19))+SUMPRODUCT(--('2026'!$A$5:$A$500=$I$1),--('2026'!$F$5:$F$500=$B19))+SUMPRODUCT(--('2026'!$A$5:$A$500=$I$1),--('2026'!$D$5:$D$500=$B19))+SUMPRODUCT(--('2026'!$A$5:$A$500=$I$1),--('2026'!$G$5:$G$500=$B19))</f>
        <v>0</v>
      </c>
      <c r="J19" s="80">
        <f>SUMPRODUCT(--('2026'!$A$5:$A$500=$I$1),--('2026'!$I$5:$I$500=$B19))+SUMPRODUCT(--('2026'!$A$5:$A$500=$I$1),--('2026'!$J$5:$J$500=$B19))</f>
        <v>0</v>
      </c>
      <c r="K19" s="50">
        <f>SUMPRODUCT(--('2026'!$A$5:$A$500=$K$1),--('2026'!$C$5:$C$500=$B19))+SUMPRODUCT(--('2026'!$A$5:$A$500=$K$1),--('2026'!$F$5:$F$500=$B19))+SUMPRODUCT(--('2026'!$A$5:$A$500=$K$1),--('2026'!$D$5:$D$500=$B19))+SUMPRODUCT(--('2026'!$A$5:$A$500=$K$1),--('2026'!$G$5:$G$500=$B19))</f>
        <v>0</v>
      </c>
      <c r="L19" s="50">
        <f>SUMPRODUCT(--('2026'!$A$5:$A$500=$K$1),--('2026'!$I$5:$I$500=$B19))+SUMPRODUCT(--('2026'!$A$5:$A$500=$K$1),--('2026'!$J$5:$J$500=$B19))</f>
        <v>0</v>
      </c>
      <c r="M19" s="50">
        <f>SUMPRODUCT(--('2026'!$A$5:$A$500=$M$1),--('2026'!$C$5:$C$500=$B19))+SUMPRODUCT(--('2026'!$A$5:$A$500=$M$1),--('2026'!$F$5:$F$500=$B19))+SUMPRODUCT(--('2026'!$A$5:$A$500=$M$1),--('2026'!$D$5:$D$500=$B19))+SUMPRODUCT(--('2026'!$A$5:$A$500=$M$1),--('2026'!$G$5:$G$500=$B19))</f>
        <v>0</v>
      </c>
      <c r="N19" s="50">
        <f>SUMPRODUCT(--('2026'!$A$5:$A$500=$M$1),--('2026'!$I$5:$I$500=$B19))+SUMPRODUCT(--('2026'!$A$5:$A$500=$M$1),--('2026'!$J$5:$J$500=$B19))</f>
        <v>0</v>
      </c>
      <c r="O19" s="50">
        <f>SUMPRODUCT(--('2026'!$A$5:$A$500=$O$1),--('2026'!$C$5:$C$500=$B19))+SUMPRODUCT(--('2026'!$A$5:$A$500=$O$1),--('2026'!$F$5:$F$500=$B19))+SUMPRODUCT(--('2026'!$A$5:$A$500=$O$1),--('2026'!$D$5:$D$500=$B19))+SUMPRODUCT(--('2026'!$A$5:$A$500=$O$1),--('2026'!$G$5:$G$500=$B19))</f>
        <v>0</v>
      </c>
      <c r="P19" s="50">
        <f>SUMPRODUCT(--('2026'!$A$5:$A$500=$O$1),--('2026'!$I$5:$I$500=$B19))+SUMPRODUCT(--('2026'!$A$5:$A$500=$O$1),--('2026'!$J$5:$J$500=$B19))</f>
        <v>0</v>
      </c>
      <c r="Q19" s="50">
        <f>SUMPRODUCT(--('2026'!$A$5:$A$500=$Q$1),--('2026'!$C$5:$C$500=$B19))+SUMPRODUCT(--('2026'!$A$5:$A$500=$Q$1),--('2026'!$F$5:$F$500=$B19))+SUMPRODUCT(--('2026'!$A$5:$A$500=$Q$1),--('2026'!$D$5:$D$500=$B19))+SUMPRODUCT(--('2026'!$A$5:$A$500=$Q$1),--('2026'!$G$5:$G$500=$B19))</f>
        <v>0</v>
      </c>
      <c r="R19" s="50">
        <f>SUMPRODUCT(--('2026'!$A$5:$A$500=$Q$1),--('2026'!$I$5:$I$500=$B19))+SUMPRODUCT(--('2026'!$A$5:$A$500=$Q$1),--('2026'!$J$5:$J$500=$B19))</f>
        <v>0</v>
      </c>
      <c r="S19" s="50">
        <f>SUMPRODUCT(--('2026'!$A$5:$A$500=$S$1),--('2026'!$C$5:$C$500=$B19))+SUMPRODUCT(--('2026'!$A$5:$A$500=$S$1),--('2026'!$F$5:$F$500=$B19))+SUMPRODUCT(--('2026'!$A$5:$A$500=$S$1),--('2026'!$D$5:$D$500=$B19))+SUMPRODUCT(--('2026'!$A$5:$A$500=$S$1),--('2026'!$G$5:$G$500=$B19))</f>
        <v>0</v>
      </c>
      <c r="T19" s="50">
        <f>SUMPRODUCT(--('2026'!$A$5:$A$500=$S$1),--('2026'!$I$5:$I$500=$B19))+SUMPRODUCT(--('2026'!$A$5:$A$500=$S$1),--('2026'!$J$5:$J$500=$B19))</f>
        <v>0</v>
      </c>
      <c r="U19" s="50">
        <f>SUMPRODUCT(--('2026'!$A$5:$A$500=$U$1),--('2026'!$C$5:$C$500=$B19))+SUMPRODUCT(--('2026'!$A$5:$A$500=$U$1),--('2026'!$F$5:$F$500=$B19))+SUMPRODUCT(--('2026'!$A$5:$A$500=$U$1),--('2026'!$D$5:$D$500=$B19))+SUMPRODUCT(--('2026'!$A$5:$A$500=$U$1),--('2026'!$G$5:$G$500=$B19))</f>
        <v>0</v>
      </c>
      <c r="V19" s="50">
        <f>SUMPRODUCT(--('2026'!$A$5:$A$500=$U$1),--('2026'!$I$5:$I$500=$B19))+SUMPRODUCT(--('2026'!$A$5:$A$500=$U$1),--('2026'!$J$5:$J$500=$B19))</f>
        <v>0</v>
      </c>
      <c r="W19" s="60">
        <f>SUMPRODUCT(--('2026'!$A$5:$A$500=$W$1),--('2026'!$C$5:$C$500=$B19))+SUMPRODUCT(--('2026'!$A$5:$A$500=$W$1),--('2026'!$F$5:$F$500=$B19))+SUMPRODUCT(--('2026'!$A$5:$A$500=$W$1),--('2026'!$D$5:$D$500=$B19))+SUMPRODUCT(--('2026'!$A$5:$A$500=$W$1),--('2026'!$G$5:$G$500=$B19))</f>
        <v>0</v>
      </c>
      <c r="X19" s="60">
        <f>SUMPRODUCT(--('2026'!$A$5:$A$500=$W$1),--('2026'!$I$5:$I$500=$B19))+SUMPRODUCT(--('2026'!$A$5:$A$500=$W$1),--('2026'!$J$5:$J$500=$B19))</f>
        <v>0</v>
      </c>
      <c r="Y19" s="51">
        <f>SUMPRODUCT(--('2026'!$A$5:$A$500=$Y$1),--('2026'!$C$5:$C$500=$B19))+SUMPRODUCT(--('2026'!$A$5:$A$500=$Y$1),--('2026'!$F$5:$F$500=$B19))+SUMPRODUCT(--('2026'!$A$5:$A$500=$Y$1),--('2026'!$D$5:$D$500=$B19))+SUMPRODUCT(--('2026'!$A$5:$A$500=$Y$1),--('2026'!$G$5:$G$500=$B19))</f>
        <v>0</v>
      </c>
      <c r="Z19" s="51">
        <f>SUMPRODUCT(--('2026'!$A$5:$A$500=$Y$1),--('2026'!$I$5:$I$500=$B19))+SUMPRODUCT(--('2026'!$A$5:$A$500=$Y$1),--('2026'!$J$5:$J$500=$B19))</f>
        <v>0</v>
      </c>
      <c r="AA19" s="51">
        <f>SUMPRODUCT(--('2026'!$A$5:$A$500=$AA$1),--('2026'!$C$5:$C$500=$B19))+SUMPRODUCT(--('2026'!$A$5:$A$500=$AA$1),--('2026'!$F$5:$F$500=$B19))+SUMPRODUCT(--('2026'!$A$5:$A$500=$AA$1),--('2026'!$D$5:$D$500=$B19))+SUMPRODUCT(--('2026'!$A$5:$A$500=$AA$1),--('2026'!$G$5:$G$500=$B19))</f>
        <v>0</v>
      </c>
      <c r="AB19" s="51">
        <f>SUMPRODUCT(--('2026'!$A$5:$A$500=$AA$1),--('2026'!$I$5:$I$500=$B19))+SUMPRODUCT(--('2026'!$A$5:$A$500=$AA$1),--('2026'!$J$5:$J$500=$B19))</f>
        <v>0</v>
      </c>
      <c r="AC19" s="51">
        <f>SUMPRODUCT(--('2026'!$A$5:$A$500=$AC$1),--('2026'!$C$5:$C$500=$B19))+SUMPRODUCT(--('2026'!$A$5:$A$500=$AC$1),--('2026'!$F$5:$F$500=$B19))+SUMPRODUCT(--('2026'!$A$5:$A$500=$AC$1),--('2026'!$D$5:$D$500=$B19))+SUMPRODUCT(--('2026'!$A$5:$A$500=$AC$1),--('2026'!$G$5:$G$500=$B19))</f>
        <v>0</v>
      </c>
      <c r="AD19" s="51">
        <f>SUMPRODUCT(--('2026'!$A$5:$A$500=$AC$1),--('2026'!$I$5:$I$500=$B19))+SUMPRODUCT(--('2026'!$A$5:$A$500=$AC$1),--('2026'!$J$5:$J$500=$B19))</f>
        <v>0</v>
      </c>
      <c r="AE19" s="61">
        <f>SUMPRODUCT(--('2026'!$A$5:$A$500=$AE$1),--('2026'!$C$5:$C$500=$B19))+SUMPRODUCT(--('2026'!$A$5:$A$500=$AE$1),--('2026'!$F$5:$F$500=$B19))+SUMPRODUCT(--('2026'!$A$5:$A$500=$AE$1),--('2026'!$D$5:$D$500=$B19))+SUMPRODUCT(--('2026'!$A$5:$A$500=$AE$1),--('2026'!$G$5:$G$500=$B19))</f>
        <v>0</v>
      </c>
      <c r="AF19" s="61">
        <f>SUMPRODUCT(--('2026'!$A$5:$A$500=$AE$1),--('2026'!$I$5:$I$500=$B19))+SUMPRODUCT(--('2026'!$A$5:$A$500=$AE$1),--('2026'!$J$5:$J$500=$B19))</f>
        <v>0</v>
      </c>
      <c r="AG19" s="51">
        <f>SUMPRODUCT(--('2026'!$A$5:$A$500=$AG$1),--('2026'!$C$5:$C$500=$B19))+SUMPRODUCT(--('2026'!$A$5:$A$500=$AG$1),--('2026'!$F$5:$F$500=$B19))+SUMPRODUCT(--('2026'!$A$5:$A$500=$AG$1),--('2026'!$D$5:$D$500=$B19))+SUMPRODUCT(--('2026'!$A$5:$A$500=$AG$1),--('2026'!$G$5:$G$500=$B19))</f>
        <v>0</v>
      </c>
      <c r="AH19" s="51">
        <f>SUMPRODUCT(--('2026'!$A$5:$A$500=$AG$1),--('2026'!$I$5:$I$500=$B19))+SUMPRODUCT(--('2026'!$A$5:$A$500=$AG$1),--('2026'!$J$5:$J$500=$B19))</f>
        <v>0</v>
      </c>
      <c r="AI19" s="51">
        <f>SUMPRODUCT(--('2026'!$A$5:$A$500=$AI$1),--('2026'!$C$5:$C$500=$B19))+SUMPRODUCT(--('2026'!$A$5:$A$500=$AI$1),--('2026'!$F$5:$F$500=$B19))+SUMPRODUCT(--('2026'!$A$5:$A$500=$AI$1),--('2026'!$D$5:$D$500=$B19))+SUMPRODUCT(--('2026'!$A$5:$A$500=$AI$1),--('2026'!$G$5:$G$500=$B19))</f>
        <v>0</v>
      </c>
      <c r="AJ19" s="51">
        <f>SUMPRODUCT(--('2026'!$A$5:$A$500=$AI$1),--('2026'!$I$5:$I$500=$B19))+SUMPRODUCT(--('2026'!$A$5:$A$500=$AI$1),--('2026'!$J$5:$J$500=$B19))</f>
        <v>0</v>
      </c>
      <c r="AK19" s="51">
        <f>SUMPRODUCT(--('2026'!$A$5:$A$500=$AK$1),--('2026'!$C$5:$C$500=$B19))+SUMPRODUCT(--('2026'!$A$5:$A$500=$AK$1),--('2026'!$F$5:$F$500=$B19))+SUMPRODUCT(--('2026'!$A$5:$A$500=$AK$1),--('2026'!$D$5:$D$500=$B19))+SUMPRODUCT(--('2026'!$A$5:$A$500=$AK$1),--('2026'!$G$5:$G$500=$B19))</f>
        <v>0</v>
      </c>
      <c r="AL19" s="51">
        <f>SUMPRODUCT(--('2026'!$A$5:$A$500=$AK$1),--('2026'!$I$5:$I$500=$B19))+SUMPRODUCT(--('2026'!$A$5:$A$500=$AK$1),--('2026'!$J$5:$J$500=$B19))</f>
        <v>0</v>
      </c>
      <c r="AM19" s="51">
        <f>SUMPRODUCT(--('2026'!$A$5:$A$500=$AM$1),--('2026'!$C$5:$C$500=$B19))+SUMPRODUCT(--('2026'!$A$5:$A$500=$AM$1),--('2026'!$F$5:$F$500=$B19))+SUMPRODUCT(--('2026'!$A$5:$A$500=$AM$1),--('2026'!$D$5:$D$500=$B19))+SUMPRODUCT(--('2026'!$A$5:$A$500=$AM$1),--('2026'!$G$5:$G$500=$B19))</f>
        <v>0</v>
      </c>
      <c r="AN19" s="51">
        <f>SUMPRODUCT(--('2026'!$A$5:$A$500=$AM$1),--('2026'!$I$5:$I$500=$B19))+SUMPRODUCT(--('2026'!$A$5:$A$500=$AM$1),--('2026'!$J$5:$J$500=$B19))</f>
        <v>0</v>
      </c>
      <c r="AO19" s="51">
        <f>SUMPRODUCT(--('2026'!$A$5:$A$500=$AO$1),--('2026'!$C$5:$C$500=$B19))+SUMPRODUCT(--('2026'!$A$5:$A$500=$AO$1),--('2026'!$F$5:$F$500=$B19))+SUMPRODUCT(--('2026'!$A$5:$A$500=$AO$1),--('2026'!$D$5:$D$500=$B19))+SUMPRODUCT(--('2026'!$A$5:$A$500=$AO$1),--('2026'!$G$5:$G$500=$B19))</f>
        <v>0</v>
      </c>
      <c r="AP19" s="51">
        <f>SUMPRODUCT(--('2026'!$A$5:$A$500=$AO$1),--('2026'!$I$5:$I$500=$B19))+SUMPRODUCT(--('2026'!$A$5:$A$500=$AO$1),--('2026'!$J$5:$J$500=$B19))</f>
        <v>0</v>
      </c>
      <c r="AQ19" s="51">
        <f>SUMPRODUCT(--('2026'!$A$5:$A$500=$AQ$1),--('2026'!$C$5:$C$500=$B19))+SUMPRODUCT(--('2026'!$A$5:$A$500=$AQ$1),--('2026'!$F$5:$F$500=$B19))+SUMPRODUCT(--('2026'!$A$5:$A$500=$AQ$1),--('2026'!$D$5:$D$500=$B19))+SUMPRODUCT(--('2026'!$A$5:$A$500=$AQ$1),--('2026'!$G$5:$G$500=$B19))</f>
        <v>0</v>
      </c>
      <c r="AR19" s="51">
        <f>SUMPRODUCT(--('2026'!$A$5:$A$500=$AQ$1),--('2026'!$I$5:$I$500=$B19))+SUMPRODUCT(--('2026'!$A$5:$A$500=$AQ$1),--('2026'!$J$5:$J$500=$B19))</f>
        <v>0</v>
      </c>
      <c r="AS19" s="51">
        <f>SUMPRODUCT(--('2026'!$A$5:$A$500=$AS$1),--('2026'!$C$5:$C$500=$B19))+SUMPRODUCT(--('2026'!$A$5:$A$500=$AS$1),--('2026'!$F$5:$F$500=$B19))+SUMPRODUCT(--('2026'!$A$5:$A$500=$AS$1),--('2026'!$D$5:$D$500=$B19))+SUMPRODUCT(--('2026'!$A$5:$A$500=$AS$1),--('2026'!$G$5:$G$500=$B19))</f>
        <v>0</v>
      </c>
      <c r="AT19" s="51">
        <f>SUMPRODUCT(--('2026'!$A$5:$A$500=$AS$1),--('2026'!$I$5:$I$500=$B19))+SUMPRODUCT(--('2026'!$A$5:$A$500=$AS$1),--('2026'!$J$5:$J$500=$B19))</f>
        <v>0</v>
      </c>
      <c r="AU19" s="51">
        <f>SUMPRODUCT(--('2026'!$A$5:$A$500=$AU$1),--('2026'!$C$5:$C$500=$B19))+SUMPRODUCT(--('2026'!$A$5:$A$500=$AU$1),--('2026'!$F$5:$F$500=$B19))+SUMPRODUCT(--('2026'!$A$5:$A$500=$AU$1),--('2026'!$D$5:$D$500=$B19))+SUMPRODUCT(--('2026'!$A$5:$A$500=$AU$1),--('2026'!$G$5:$G$500=$B19))</f>
        <v>0</v>
      </c>
      <c r="AV19" s="51">
        <f>SUMPRODUCT(--('2026'!$A$5:$A$500=$AU$1),--('2026'!$I$5:$I$500=$B19))+SUMPRODUCT(--('2026'!$A$5:$A$500=$AU$1),--('2026'!$J$5:$J$500=$B19))</f>
        <v>0</v>
      </c>
      <c r="AW19" s="51">
        <f>SUMPRODUCT(--('2026'!$A$5:$A$500=$AW$1),--('2026'!$C$5:$C$500=$B19))+SUMPRODUCT(--('2026'!$A$5:$A$500=$AW$1),--('2026'!$F$5:$F$500=$B19))+SUMPRODUCT(--('2026'!$A$5:$A$500=$AW$1),--('2026'!$D$5:$D$500=$B19))+SUMPRODUCT(--('2026'!$A$5:$A$500=$AW$1),--('2026'!$G$5:$G$500=$B19))</f>
        <v>0</v>
      </c>
      <c r="AX19" s="51">
        <f>SUMPRODUCT(--('2026'!$A$5:$A$500=$AW$1),--('2026'!$I$5:$I$500=$B19))+SUMPRODUCT(--('2026'!$A$5:$A$500=$AW$1),--('2026'!$J$5:$J$500=$B19))</f>
        <v>0</v>
      </c>
      <c r="BA19" s="54" t="s">
        <v>97</v>
      </c>
      <c r="BB19" s="47">
        <f t="shared" si="0"/>
        <v>0</v>
      </c>
      <c r="BC19" s="52">
        <f t="shared" si="1"/>
        <v>0</v>
      </c>
    </row>
    <row r="20" spans="1:55" ht="15" x14ac:dyDescent="0.25">
      <c r="A20">
        <v>18</v>
      </c>
      <c r="B20" s="54" t="s">
        <v>3</v>
      </c>
      <c r="C20" s="50">
        <f>SUMPRODUCT(--('2026'!$A$5:$A$500=$C$1),--('2026'!$C$5:$C$500=$B20))+SUMPRODUCT(--('2026'!$A$5:$A$500=$C$1),--('2026'!$F$5:$F$500=$B20))+SUMPRODUCT(--('2026'!$A$5:$A$500=$C$1),--('2026'!$D$5:$D$500=$B20))+SUMPRODUCT(--('2026'!$A$5:$A$500=$C$1),--('2026'!$G$5:$G$500=$B20))</f>
        <v>0</v>
      </c>
      <c r="D20" s="50">
        <f>SUMPRODUCT(--('2026'!$A$5:$A$500=$C$1),--('2026'!$I$5:$I$500=$B20))+SUMPRODUCT(--('2026'!$A$5:$A$500=$C$1),--('2026'!$J$5:$J$500=$B20))</f>
        <v>0</v>
      </c>
      <c r="E20" s="50">
        <f>SUMPRODUCT(--('2026'!$A$5:$A$500=$E$1),--('2026'!$C$5:$C$500=$B20))+SUMPRODUCT(--('2026'!$A$5:$A$500=$E$1),--('2026'!$F$5:$F$500=$B20))+SUMPRODUCT(--('2026'!$A$5:$A$500=$E$1),--('2026'!$D$5:$D$500=$B20))+SUMPRODUCT(--('2026'!$A$5:$A$500=$E$1),--('2026'!$G$5:$G$500=$B20))</f>
        <v>0</v>
      </c>
      <c r="F20" s="50">
        <f>SUMPRODUCT(--('2026'!$A$5:$A$500=$E$1),--('2026'!$I$5:$I$500=$B20))+SUMPRODUCT(--('2026'!$A$5:$A$500=$E$1),--('2026'!$J$5:$J$500=$B20))</f>
        <v>0</v>
      </c>
      <c r="G20" s="50">
        <f>SUMPRODUCT(--('2026'!$A$5:$A$500=$G$1),--('2026'!$C$5:$C$500=$B20))+SUMPRODUCT(--('2026'!$A$5:$A$500=$G$1),--('2026'!$F$5:$F$500=$B20))+SUMPRODUCT(--('2026'!$A$5:$A$500=$G$1),--('2026'!$D$5:$D$500=$B20))+SUMPRODUCT(--('2026'!$A$5:$A$500=$G$1),--('2026'!$G$5:$G$500=$B20))</f>
        <v>0</v>
      </c>
      <c r="H20" s="50">
        <f>SUMPRODUCT(--('2026'!$A$5:$A$500=$G$1),--('2026'!$I$5:$I$500=$B20))+SUMPRODUCT(--('2026'!$A$5:$A$500=$G$1),--('2026'!$J$5:$J$500=$B20))</f>
        <v>0</v>
      </c>
      <c r="I20" s="50">
        <f>SUMPRODUCT(--('2026'!$A$5:$A$500=$I$1),--('2026'!$C$5:$C$500=$B20))+SUMPRODUCT(--('2026'!$A$5:$A$500=$I$1),--('2026'!$F$5:$F$500=$B20))+SUMPRODUCT(--('2026'!$A$5:$A$500=$I$1),--('2026'!$D$5:$D$500=$B20))+SUMPRODUCT(--('2026'!$A$5:$A$500=$I$1),--('2026'!$G$5:$G$500=$B20))</f>
        <v>0</v>
      </c>
      <c r="J20" s="50">
        <f>SUMPRODUCT(--('2026'!$A$5:$A$500=$I$1),--('2026'!$I$5:$I$500=$B20))+SUMPRODUCT(--('2026'!$A$5:$A$500=$I$1),--('2026'!$J$5:$J$500=$B20))</f>
        <v>0</v>
      </c>
      <c r="K20" s="50">
        <f>SUMPRODUCT(--('2026'!$A$5:$A$500=$K$1),--('2026'!$C$5:$C$500=$B20))+SUMPRODUCT(--('2026'!$A$5:$A$500=$K$1),--('2026'!$F$5:$F$500=$B20))+SUMPRODUCT(--('2026'!$A$5:$A$500=$K$1),--('2026'!$D$5:$D$500=$B20))+SUMPRODUCT(--('2026'!$A$5:$A$500=$K$1),--('2026'!$G$5:$G$500=$B20))</f>
        <v>0</v>
      </c>
      <c r="L20" s="50">
        <f>SUMPRODUCT(--('2026'!$A$5:$A$500=$K$1),--('2026'!$I$5:$I$500=$B20))+SUMPRODUCT(--('2026'!$A$5:$A$500=$K$1),--('2026'!$J$5:$J$500=$B20))</f>
        <v>0</v>
      </c>
      <c r="M20" s="50">
        <f>SUMPRODUCT(--('2026'!$A$5:$A$500=$M$1),--('2026'!$C$5:$C$500=$B20))+SUMPRODUCT(--('2026'!$A$5:$A$500=$M$1),--('2026'!$F$5:$F$500=$B20))+SUMPRODUCT(--('2026'!$A$5:$A$500=$M$1),--('2026'!$D$5:$D$500=$B20))+SUMPRODUCT(--('2026'!$A$5:$A$500=$M$1),--('2026'!$G$5:$G$500=$B20))</f>
        <v>0</v>
      </c>
      <c r="N20" s="50">
        <f>SUMPRODUCT(--('2026'!$A$5:$A$500=$M$1),--('2026'!$I$5:$I$500=$B20))+SUMPRODUCT(--('2026'!$A$5:$A$500=$M$1),--('2026'!$J$5:$J$500=$B20))</f>
        <v>0</v>
      </c>
      <c r="O20" s="50">
        <f>SUMPRODUCT(--('2026'!$A$5:$A$500=$O$1),--('2026'!$C$5:$C$500=$B20))+SUMPRODUCT(--('2026'!$A$5:$A$500=$O$1),--('2026'!$F$5:$F$500=$B20))+SUMPRODUCT(--('2026'!$A$5:$A$500=$O$1),--('2026'!$D$5:$D$500=$B20))+SUMPRODUCT(--('2026'!$A$5:$A$500=$O$1),--('2026'!$G$5:$G$500=$B20))</f>
        <v>0</v>
      </c>
      <c r="P20" s="50">
        <f>SUMPRODUCT(--('2026'!$A$5:$A$500=$O$1),--('2026'!$I$5:$I$500=$B20))+SUMPRODUCT(--('2026'!$A$5:$A$500=$O$1),--('2026'!$J$5:$J$500=$B20))</f>
        <v>0</v>
      </c>
      <c r="Q20" s="50">
        <f>SUMPRODUCT(--('2026'!$A$5:$A$500=$Q$1),--('2026'!$C$5:$C$500=$B20))+SUMPRODUCT(--('2026'!$A$5:$A$500=$Q$1),--('2026'!$F$5:$F$500=$B20))+SUMPRODUCT(--('2026'!$A$5:$A$500=$Q$1),--('2026'!$D$5:$D$500=$B20))+SUMPRODUCT(--('2026'!$A$5:$A$500=$Q$1),--('2026'!$G$5:$G$500=$B20))</f>
        <v>0</v>
      </c>
      <c r="R20" s="50">
        <f>SUMPRODUCT(--('2026'!$A$5:$A$500=$Q$1),--('2026'!$I$5:$I$500=$B20))+SUMPRODUCT(--('2026'!$A$5:$A$500=$Q$1),--('2026'!$J$5:$J$500=$B20))</f>
        <v>0</v>
      </c>
      <c r="S20" s="50">
        <f>SUMPRODUCT(--('2026'!$A$5:$A$500=$S$1),--('2026'!$C$5:$C$500=$B20))+SUMPRODUCT(--('2026'!$A$5:$A$500=$S$1),--('2026'!$F$5:$F$500=$B20))+SUMPRODUCT(--('2026'!$A$5:$A$500=$S$1),--('2026'!$D$5:$D$500=$B20))+SUMPRODUCT(--('2026'!$A$5:$A$500=$S$1),--('2026'!$G$5:$G$500=$B20))</f>
        <v>0</v>
      </c>
      <c r="T20" s="50">
        <f>SUMPRODUCT(--('2026'!$A$5:$A$500=$S$1),--('2026'!$I$5:$I$500=$B20))+SUMPRODUCT(--('2026'!$A$5:$A$500=$S$1),--('2026'!$J$5:$J$500=$B20))</f>
        <v>0</v>
      </c>
      <c r="U20" s="50">
        <f>SUMPRODUCT(--('2026'!$A$5:$A$500=$U$1),--('2026'!$C$5:$C$500=$B20))+SUMPRODUCT(--('2026'!$A$5:$A$500=$U$1),--('2026'!$F$5:$F$500=$B20))+SUMPRODUCT(--('2026'!$A$5:$A$500=$U$1),--('2026'!$D$5:$D$500=$B20))+SUMPRODUCT(--('2026'!$A$5:$A$500=$U$1),--('2026'!$G$5:$G$500=$B20))</f>
        <v>0</v>
      </c>
      <c r="V20" s="50">
        <f>SUMPRODUCT(--('2026'!$A$5:$A$500=$U$1),--('2026'!$I$5:$I$500=$B20))+SUMPRODUCT(--('2026'!$A$5:$A$500=$U$1),--('2026'!$J$5:$J$500=$B20))</f>
        <v>0</v>
      </c>
      <c r="W20" s="60">
        <f>SUMPRODUCT(--('2026'!$A$5:$A$500=$W$1),--('2026'!$C$5:$C$500=$B20))+SUMPRODUCT(--('2026'!$A$5:$A$500=$W$1),--('2026'!$F$5:$F$500=$B20))+SUMPRODUCT(--('2026'!$A$5:$A$500=$W$1),--('2026'!$D$5:$D$500=$B20))+SUMPRODUCT(--('2026'!$A$5:$A$500=$W$1),--('2026'!$G$5:$G$500=$B20))</f>
        <v>0</v>
      </c>
      <c r="X20" s="60">
        <f>SUMPRODUCT(--('2026'!$A$5:$A$500=$W$1),--('2026'!$I$5:$I$500=$B20))+SUMPRODUCT(--('2026'!$A$5:$A$500=$W$1),--('2026'!$J$5:$J$500=$B20))</f>
        <v>0</v>
      </c>
      <c r="Y20" s="51">
        <f>SUMPRODUCT(--('2026'!$A$5:$A$500=$Y$1),--('2026'!$C$5:$C$500=$B20))+SUMPRODUCT(--('2026'!$A$5:$A$500=$Y$1),--('2026'!$F$5:$F$500=$B20))+SUMPRODUCT(--('2026'!$A$5:$A$500=$Y$1),--('2026'!$D$5:$D$500=$B20))+SUMPRODUCT(--('2026'!$A$5:$A$500=$Y$1),--('2026'!$G$5:$G$500=$B20))</f>
        <v>0</v>
      </c>
      <c r="Z20" s="51">
        <f>SUMPRODUCT(--('2026'!$A$5:$A$500=$Y$1),--('2026'!$I$5:$I$500=$B20))+SUMPRODUCT(--('2026'!$A$5:$A$500=$Y$1),--('2026'!$J$5:$J$500=$B20))</f>
        <v>0</v>
      </c>
      <c r="AA20" s="51">
        <f>SUMPRODUCT(--('2026'!$A$5:$A$500=$AA$1),--('2026'!$C$5:$C$500=$B20))+SUMPRODUCT(--('2026'!$A$5:$A$500=$AA$1),--('2026'!$F$5:$F$500=$B20))+SUMPRODUCT(--('2026'!$A$5:$A$500=$AA$1),--('2026'!$D$5:$D$500=$B20))+SUMPRODUCT(--('2026'!$A$5:$A$500=$AA$1),--('2026'!$G$5:$G$500=$B20))</f>
        <v>0</v>
      </c>
      <c r="AB20" s="51">
        <f>SUMPRODUCT(--('2026'!$A$5:$A$500=$AA$1),--('2026'!$I$5:$I$500=$B20))+SUMPRODUCT(--('2026'!$A$5:$A$500=$AA$1),--('2026'!$J$5:$J$500=$B20))</f>
        <v>0</v>
      </c>
      <c r="AC20" s="51">
        <f>SUMPRODUCT(--('2026'!$A$5:$A$500=$AC$1),--('2026'!$C$5:$C$500=$B20))+SUMPRODUCT(--('2026'!$A$5:$A$500=$AC$1),--('2026'!$F$5:$F$500=$B20))+SUMPRODUCT(--('2026'!$A$5:$A$500=$AC$1),--('2026'!$D$5:$D$500=$B20))+SUMPRODUCT(--('2026'!$A$5:$A$500=$AC$1),--('2026'!$G$5:$G$500=$B20))</f>
        <v>0</v>
      </c>
      <c r="AD20" s="51">
        <f>SUMPRODUCT(--('2026'!$A$5:$A$500=$AC$1),--('2026'!$I$5:$I$500=$B20))+SUMPRODUCT(--('2026'!$A$5:$A$500=$AC$1),--('2026'!$J$5:$J$500=$B20))</f>
        <v>0</v>
      </c>
      <c r="AE20" s="61">
        <f>SUMPRODUCT(--('2026'!$A$5:$A$500=$AE$1),--('2026'!$C$5:$C$500=$B20))+SUMPRODUCT(--('2026'!$A$5:$A$500=$AE$1),--('2026'!$F$5:$F$500=$B20))+SUMPRODUCT(--('2026'!$A$5:$A$500=$AE$1),--('2026'!$D$5:$D$500=$B20))+SUMPRODUCT(--('2026'!$A$5:$A$500=$AE$1),--('2026'!$G$5:$G$500=$B20))</f>
        <v>0</v>
      </c>
      <c r="AF20" s="61">
        <f>SUMPRODUCT(--('2026'!$A$5:$A$500=$AE$1),--('2026'!$I$5:$I$500=$B20))+SUMPRODUCT(--('2026'!$A$5:$A$500=$AE$1),--('2026'!$J$5:$J$500=$B20))</f>
        <v>0</v>
      </c>
      <c r="AG20" s="51">
        <f>SUMPRODUCT(--('2026'!$A$5:$A$500=$AG$1),--('2026'!$C$5:$C$500=$B20))+SUMPRODUCT(--('2026'!$A$5:$A$500=$AG$1),--('2026'!$F$5:$F$500=$B20))+SUMPRODUCT(--('2026'!$A$5:$A$500=$AG$1),--('2026'!$D$5:$D$500=$B20))+SUMPRODUCT(--('2026'!$A$5:$A$500=$AG$1),--('2026'!$G$5:$G$500=$B20))</f>
        <v>0</v>
      </c>
      <c r="AH20" s="51">
        <f>SUMPRODUCT(--('2026'!$A$5:$A$500=$AG$1),--('2026'!$I$5:$I$500=$B20))+SUMPRODUCT(--('2026'!$A$5:$A$500=$AG$1),--('2026'!$J$5:$J$500=$B20))</f>
        <v>0</v>
      </c>
      <c r="AI20" s="51">
        <f>SUMPRODUCT(--('2026'!$A$5:$A$500=$AI$1),--('2026'!$C$5:$C$500=$B20))+SUMPRODUCT(--('2026'!$A$5:$A$500=$AI$1),--('2026'!$F$5:$F$500=$B20))+SUMPRODUCT(--('2026'!$A$5:$A$500=$AI$1),--('2026'!$D$5:$D$500=$B20))+SUMPRODUCT(--('2026'!$A$5:$A$500=$AI$1),--('2026'!$G$5:$G$500=$B20))</f>
        <v>0</v>
      </c>
      <c r="AJ20" s="51">
        <f>SUMPRODUCT(--('2026'!$A$5:$A$500=$AI$1),--('2026'!$I$5:$I$500=$B20))+SUMPRODUCT(--('2026'!$A$5:$A$500=$AI$1),--('2026'!$J$5:$J$500=$B20))</f>
        <v>0</v>
      </c>
      <c r="AK20" s="51">
        <f>SUMPRODUCT(--('2026'!$A$5:$A$500=$AK$1),--('2026'!$C$5:$C$500=$B20))+SUMPRODUCT(--('2026'!$A$5:$A$500=$AK$1),--('2026'!$F$5:$F$500=$B20))+SUMPRODUCT(--('2026'!$A$5:$A$500=$AK$1),--('2026'!$D$5:$D$500=$B20))+SUMPRODUCT(--('2026'!$A$5:$A$500=$AK$1),--('2026'!$G$5:$G$500=$B20))</f>
        <v>0</v>
      </c>
      <c r="AL20" s="51">
        <f>SUMPRODUCT(--('2026'!$A$5:$A$500=$AK$1),--('2026'!$I$5:$I$500=$B20))+SUMPRODUCT(--('2026'!$A$5:$A$500=$AK$1),--('2026'!$J$5:$J$500=$B20))</f>
        <v>0</v>
      </c>
      <c r="AM20" s="51">
        <f>SUMPRODUCT(--('2026'!$A$5:$A$500=$AM$1),--('2026'!$C$5:$C$500=$B20))+SUMPRODUCT(--('2026'!$A$5:$A$500=$AM$1),--('2026'!$F$5:$F$500=$B20))+SUMPRODUCT(--('2026'!$A$5:$A$500=$AM$1),--('2026'!$D$5:$D$500=$B20))+SUMPRODUCT(--('2026'!$A$5:$A$500=$AM$1),--('2026'!$G$5:$G$500=$B20))</f>
        <v>0</v>
      </c>
      <c r="AN20" s="51">
        <f>SUMPRODUCT(--('2026'!$A$5:$A$500=$AM$1),--('2026'!$I$5:$I$500=$B20))+SUMPRODUCT(--('2026'!$A$5:$A$500=$AM$1),--('2026'!$J$5:$J$500=$B20))</f>
        <v>0</v>
      </c>
      <c r="AO20" s="51">
        <f>SUMPRODUCT(--('2026'!$A$5:$A$500=$AO$1),--('2026'!$C$5:$C$500=$B20))+SUMPRODUCT(--('2026'!$A$5:$A$500=$AO$1),--('2026'!$F$5:$F$500=$B20))+SUMPRODUCT(--('2026'!$A$5:$A$500=$AO$1),--('2026'!$D$5:$D$500=$B20))+SUMPRODUCT(--('2026'!$A$5:$A$500=$AO$1),--('2026'!$G$5:$G$500=$B20))</f>
        <v>0</v>
      </c>
      <c r="AP20" s="51">
        <f>SUMPRODUCT(--('2026'!$A$5:$A$500=$AO$1),--('2026'!$I$5:$I$500=$B20))+SUMPRODUCT(--('2026'!$A$5:$A$500=$AO$1),--('2026'!$J$5:$J$500=$B20))</f>
        <v>0</v>
      </c>
      <c r="AQ20" s="51">
        <f>SUMPRODUCT(--('2026'!$A$5:$A$500=$AQ$1),--('2026'!$C$5:$C$500=$B20))+SUMPRODUCT(--('2026'!$A$5:$A$500=$AQ$1),--('2026'!$F$5:$F$500=$B20))+SUMPRODUCT(--('2026'!$A$5:$A$500=$AQ$1),--('2026'!$D$5:$D$500=$B20))+SUMPRODUCT(--('2026'!$A$5:$A$500=$AQ$1),--('2026'!$G$5:$G$500=$B20))</f>
        <v>0</v>
      </c>
      <c r="AR20" s="51">
        <f>SUMPRODUCT(--('2026'!$A$5:$A$500=$AQ$1),--('2026'!$I$5:$I$500=$B20))+SUMPRODUCT(--('2026'!$A$5:$A$500=$AQ$1),--('2026'!$J$5:$J$500=$B20))</f>
        <v>0</v>
      </c>
      <c r="AS20" s="51">
        <f>SUMPRODUCT(--('2026'!$A$5:$A$500=$AS$1),--('2026'!$C$5:$C$500=$B20))+SUMPRODUCT(--('2026'!$A$5:$A$500=$AS$1),--('2026'!$F$5:$F$500=$B20))+SUMPRODUCT(--('2026'!$A$5:$A$500=$AS$1),--('2026'!$D$5:$D$500=$B20))+SUMPRODUCT(--('2026'!$A$5:$A$500=$AS$1),--('2026'!$G$5:$G$500=$B20))</f>
        <v>0</v>
      </c>
      <c r="AT20" s="51">
        <f>SUMPRODUCT(--('2026'!$A$5:$A$500=$AS$1),--('2026'!$I$5:$I$500=$B20))+SUMPRODUCT(--('2026'!$A$5:$A$500=$AS$1),--('2026'!$J$5:$J$500=$B20))</f>
        <v>0</v>
      </c>
      <c r="AU20" s="51">
        <f>SUMPRODUCT(--('2026'!$A$5:$A$500=$AU$1),--('2026'!$C$5:$C$500=$B20))+SUMPRODUCT(--('2026'!$A$5:$A$500=$AU$1),--('2026'!$F$5:$F$500=$B20))+SUMPRODUCT(--('2026'!$A$5:$A$500=$AU$1),--('2026'!$D$5:$D$500=$B20))+SUMPRODUCT(--('2026'!$A$5:$A$500=$AU$1),--('2026'!$G$5:$G$500=$B20))</f>
        <v>0</v>
      </c>
      <c r="AV20" s="51">
        <f>SUMPRODUCT(--('2026'!$A$5:$A$500=$AU$1),--('2026'!$I$5:$I$500=$B20))+SUMPRODUCT(--('2026'!$A$5:$A$500=$AU$1),--('2026'!$J$5:$J$500=$B20))</f>
        <v>0</v>
      </c>
      <c r="AW20" s="51">
        <f>SUMPRODUCT(--('2026'!$A$5:$A$500=$AW$1),--('2026'!$C$5:$C$500=$B20))+SUMPRODUCT(--('2026'!$A$5:$A$500=$AW$1),--('2026'!$F$5:$F$500=$B20))+SUMPRODUCT(--('2026'!$A$5:$A$500=$AW$1),--('2026'!$D$5:$D$500=$B20))+SUMPRODUCT(--('2026'!$A$5:$A$500=$AW$1),--('2026'!$G$5:$G$500=$B20))</f>
        <v>0</v>
      </c>
      <c r="AX20" s="51">
        <f>SUMPRODUCT(--('2026'!$A$5:$A$500=$AW$1),--('2026'!$I$5:$I$500=$B20))+SUMPRODUCT(--('2026'!$A$5:$A$500=$AW$1),--('2026'!$J$5:$J$500=$B20))</f>
        <v>0</v>
      </c>
      <c r="BA20" s="54" t="s">
        <v>3</v>
      </c>
      <c r="BB20" s="47">
        <f t="shared" ref="BB20:BB26" si="2">IF(ISODD(COUNTIF(C20:AX20,"&gt;0")),COUNTIF(C20:AX20,"&gt;0")+1,COUNTIF(C20:AX20,"&gt;0"))/2</f>
        <v>0</v>
      </c>
      <c r="BC20" s="52">
        <f t="shared" ref="BC20:BC26" si="3">BB20/15</f>
        <v>0</v>
      </c>
    </row>
    <row r="21" spans="1:55" ht="15" x14ac:dyDescent="0.25">
      <c r="A21">
        <v>19</v>
      </c>
      <c r="B21" s="54" t="s">
        <v>112</v>
      </c>
      <c r="C21" s="50">
        <f>SUMPRODUCT(--('2026'!$A$5:$A$500=$C$1),--('2026'!$C$5:$C$500=$B21))+SUMPRODUCT(--('2026'!$A$5:$A$500=$C$1),--('2026'!$F$5:$F$500=$B21))+SUMPRODUCT(--('2026'!$A$5:$A$500=$C$1),--('2026'!$D$5:$D$500=$B21))+SUMPRODUCT(--('2026'!$A$5:$A$500=$C$1),--('2026'!$G$5:$G$500=$B21))</f>
        <v>0</v>
      </c>
      <c r="D21" s="50">
        <f>SUMPRODUCT(--('2026'!$A$5:$A$500=$C$1),--('2026'!$I$5:$I$500=$B21))+SUMPRODUCT(--('2026'!$A$5:$A$500=$C$1),--('2026'!$J$5:$J$500=$B21))</f>
        <v>0</v>
      </c>
      <c r="E21" s="50">
        <f>SUMPRODUCT(--('2026'!$A$5:$A$500=$E$1),--('2026'!$C$5:$C$500=$B21))+SUMPRODUCT(--('2026'!$A$5:$A$500=$E$1),--('2026'!$F$5:$F$500=$B21))+SUMPRODUCT(--('2026'!$A$5:$A$500=$E$1),--('2026'!$D$5:$D$500=$B21))+SUMPRODUCT(--('2026'!$A$5:$A$500=$E$1),--('2026'!$G$5:$G$500=$B21))</f>
        <v>0</v>
      </c>
      <c r="F21" s="50">
        <f>SUMPRODUCT(--('2026'!$A$5:$A$500=$E$1),--('2026'!$I$5:$I$500=$B21))+SUMPRODUCT(--('2026'!$A$5:$A$500=$E$1),--('2026'!$J$5:$J$500=$B21))</f>
        <v>0</v>
      </c>
      <c r="G21" s="50">
        <f>SUMPRODUCT(--('2026'!$A$5:$A$500=$G$1),--('2026'!$C$5:$C$500=$B21))+SUMPRODUCT(--('2026'!$A$5:$A$500=$G$1),--('2026'!$F$5:$F$500=$B21))+SUMPRODUCT(--('2026'!$A$5:$A$500=$G$1),--('2026'!$D$5:$D$500=$B21))+SUMPRODUCT(--('2026'!$A$5:$A$500=$G$1),--('2026'!$G$5:$G$500=$B21))</f>
        <v>0</v>
      </c>
      <c r="H21" s="50">
        <f>SUMPRODUCT(--('2026'!$A$5:$A$500=$G$1),--('2026'!$I$5:$I$500=$B21))+SUMPRODUCT(--('2026'!$A$5:$A$500=$G$1),--('2026'!$J$5:$J$500=$B21))</f>
        <v>0</v>
      </c>
      <c r="I21" s="50">
        <f>SUMPRODUCT(--('2026'!$A$5:$A$500=$I$1),--('2026'!$C$5:$C$500=$B21))+SUMPRODUCT(--('2026'!$A$5:$A$500=$I$1),--('2026'!$F$5:$F$500=$B21))+SUMPRODUCT(--('2026'!$A$5:$A$500=$I$1),--('2026'!$D$5:$D$500=$B21))+SUMPRODUCT(--('2026'!$A$5:$A$500=$I$1),--('2026'!$G$5:$G$500=$B21))</f>
        <v>0</v>
      </c>
      <c r="J21" s="50">
        <f>SUMPRODUCT(--('2026'!$A$5:$A$500=$I$1),--('2026'!$I$5:$I$500=$B21))+SUMPRODUCT(--('2026'!$A$5:$A$500=$I$1),--('2026'!$J$5:$J$500=$B21))</f>
        <v>0</v>
      </c>
      <c r="K21" s="50">
        <f>SUMPRODUCT(--('2026'!$A$5:$A$500=$K$1),--('2026'!$C$5:$C$500=$B21))+SUMPRODUCT(--('2026'!$A$5:$A$500=$K$1),--('2026'!$F$5:$F$500=$B21))+SUMPRODUCT(--('2026'!$A$5:$A$500=$K$1),--('2026'!$D$5:$D$500=$B21))+SUMPRODUCT(--('2026'!$A$5:$A$500=$K$1),--('2026'!$G$5:$G$500=$B21))</f>
        <v>0</v>
      </c>
      <c r="L21" s="50">
        <f>SUMPRODUCT(--('2026'!$A$5:$A$500=$K$1),--('2026'!$I$5:$I$500=$B21))+SUMPRODUCT(--('2026'!$A$5:$A$500=$K$1),--('2026'!$J$5:$J$500=$B21))</f>
        <v>0</v>
      </c>
      <c r="M21" s="50">
        <f>SUMPRODUCT(--('2026'!$A$5:$A$500=$M$1),--('2026'!$C$5:$C$500=$B21))+SUMPRODUCT(--('2026'!$A$5:$A$500=$M$1),--('2026'!$F$5:$F$500=$B21))+SUMPRODUCT(--('2026'!$A$5:$A$500=$M$1),--('2026'!$D$5:$D$500=$B21))+SUMPRODUCT(--('2026'!$A$5:$A$500=$M$1),--('2026'!$G$5:$G$500=$B21))</f>
        <v>0</v>
      </c>
      <c r="N21" s="50">
        <f>SUMPRODUCT(--('2026'!$A$5:$A$500=$M$1),--('2026'!$I$5:$I$500=$B21))+SUMPRODUCT(--('2026'!$A$5:$A$500=$M$1),--('2026'!$J$5:$J$500=$B21))</f>
        <v>0</v>
      </c>
      <c r="O21" s="50">
        <f>SUMPRODUCT(--('2026'!$A$5:$A$500=$O$1),--('2026'!$C$5:$C$500=$B21))+SUMPRODUCT(--('2026'!$A$5:$A$500=$O$1),--('2026'!$F$5:$F$500=$B21))+SUMPRODUCT(--('2026'!$A$5:$A$500=$O$1),--('2026'!$D$5:$D$500=$B21))+SUMPRODUCT(--('2026'!$A$5:$A$500=$O$1),--('2026'!$G$5:$G$500=$B21))</f>
        <v>0</v>
      </c>
      <c r="P21" s="50">
        <f>SUMPRODUCT(--('2026'!$A$5:$A$500=$O$1),--('2026'!$I$5:$I$500=$B21))+SUMPRODUCT(--('2026'!$A$5:$A$500=$O$1),--('2026'!$J$5:$J$500=$B21))</f>
        <v>0</v>
      </c>
      <c r="Q21" s="50">
        <f>SUMPRODUCT(--('2026'!$A$5:$A$500=$Q$1),--('2026'!$C$5:$C$500=$B21))+SUMPRODUCT(--('2026'!$A$5:$A$500=$Q$1),--('2026'!$F$5:$F$500=$B21))+SUMPRODUCT(--('2026'!$A$5:$A$500=$Q$1),--('2026'!$D$5:$D$500=$B21))+SUMPRODUCT(--('2026'!$A$5:$A$500=$Q$1),--('2026'!$G$5:$G$500=$B21))</f>
        <v>0</v>
      </c>
      <c r="R21" s="50">
        <f>SUMPRODUCT(--('2026'!$A$5:$A$500=$Q$1),--('2026'!$I$5:$I$500=$B21))+SUMPRODUCT(--('2026'!$A$5:$A$500=$Q$1),--('2026'!$J$5:$J$500=$B21))</f>
        <v>0</v>
      </c>
      <c r="S21" s="50">
        <f>SUMPRODUCT(--('2026'!$A$5:$A$500=$S$1),--('2026'!$C$5:$C$500=$B21))+SUMPRODUCT(--('2026'!$A$5:$A$500=$S$1),--('2026'!$F$5:$F$500=$B21))+SUMPRODUCT(--('2026'!$A$5:$A$500=$S$1),--('2026'!$D$5:$D$500=$B21))+SUMPRODUCT(--('2026'!$A$5:$A$500=$S$1),--('2026'!$G$5:$G$500=$B21))</f>
        <v>0</v>
      </c>
      <c r="T21" s="50">
        <f>SUMPRODUCT(--('2026'!$A$5:$A$500=$S$1),--('2026'!$I$5:$I$500=$B21))+SUMPRODUCT(--('2026'!$A$5:$A$500=$S$1),--('2026'!$J$5:$J$500=$B21))</f>
        <v>0</v>
      </c>
      <c r="U21" s="50">
        <f>SUMPRODUCT(--('2026'!$A$5:$A$500=$U$1),--('2026'!$C$5:$C$500=$B21))+SUMPRODUCT(--('2026'!$A$5:$A$500=$U$1),--('2026'!$F$5:$F$500=$B21))+SUMPRODUCT(--('2026'!$A$5:$A$500=$U$1),--('2026'!$D$5:$D$500=$B21))+SUMPRODUCT(--('2026'!$A$5:$A$500=$U$1),--('2026'!$G$5:$G$500=$B21))</f>
        <v>0</v>
      </c>
      <c r="V21" s="50">
        <f>SUMPRODUCT(--('2026'!$A$5:$A$500=$U$1),--('2026'!$I$5:$I$500=$B21))+SUMPRODUCT(--('2026'!$A$5:$A$500=$U$1),--('2026'!$J$5:$J$500=$B21))</f>
        <v>0</v>
      </c>
      <c r="W21" s="60">
        <f>SUMPRODUCT(--('2026'!$A$5:$A$500=$W$1),--('2026'!$C$5:$C$500=$B21))+SUMPRODUCT(--('2026'!$A$5:$A$500=$W$1),--('2026'!$F$5:$F$500=$B21))+SUMPRODUCT(--('2026'!$A$5:$A$500=$W$1),--('2026'!$D$5:$D$500=$B21))+SUMPRODUCT(--('2026'!$A$5:$A$500=$W$1),--('2026'!$G$5:$G$500=$B21))</f>
        <v>0</v>
      </c>
      <c r="X21" s="60">
        <f>SUMPRODUCT(--('2026'!$A$5:$A$500=$W$1),--('2026'!$I$5:$I$500=$B21))+SUMPRODUCT(--('2026'!$A$5:$A$500=$W$1),--('2026'!$J$5:$J$500=$B21))</f>
        <v>0</v>
      </c>
      <c r="Y21" s="50">
        <f>SUMPRODUCT(--('2026'!$A$5:$A$500=$Y$1),--('2026'!$C$5:$C$500=$B21))+SUMPRODUCT(--('2026'!$A$5:$A$500=$Y$1),--('2026'!$F$5:$F$500=$B21))+SUMPRODUCT(--('2026'!$A$5:$A$500=$Y$1),--('2026'!$D$5:$D$500=$B21))+SUMPRODUCT(--('2026'!$A$5:$A$500=$Y$1),--('2026'!$G$5:$G$500=$B21))</f>
        <v>0</v>
      </c>
      <c r="Z21" s="50">
        <f>SUMPRODUCT(--('2026'!$A$5:$A$500=$Y$1),--('2026'!$I$5:$I$500=$B21))+SUMPRODUCT(--('2026'!$A$5:$A$500=$Y$1),--('2026'!$J$5:$J$500=$B21))</f>
        <v>0</v>
      </c>
      <c r="AA21" s="50">
        <f>SUMPRODUCT(--('2026'!$A$5:$A$500=$AA$1),--('2026'!$C$5:$C$500=$B21))+SUMPRODUCT(--('2026'!$A$5:$A$500=$AA$1),--('2026'!$F$5:$F$500=$B21))+SUMPRODUCT(--('2026'!$A$5:$A$500=$AA$1),--('2026'!$D$5:$D$500=$B21))+SUMPRODUCT(--('2026'!$A$5:$A$500=$AA$1),--('2026'!$G$5:$G$500=$B21))</f>
        <v>0</v>
      </c>
      <c r="AB21" s="50">
        <f>SUMPRODUCT(--('2026'!$A$5:$A$500=$AA$1),--('2026'!$I$5:$I$500=$B21))+SUMPRODUCT(--('2026'!$A$5:$A$500=$AA$1),--('2026'!$J$5:$J$500=$B21))</f>
        <v>0</v>
      </c>
      <c r="AC21" s="50">
        <f>SUMPRODUCT(--('2026'!$A$5:$A$500=$AC$1),--('2026'!$C$5:$C$500=$B21))+SUMPRODUCT(--('2026'!$A$5:$A$500=$AC$1),--('2026'!$F$5:$F$500=$B21))+SUMPRODUCT(--('2026'!$A$5:$A$500=$AC$1),--('2026'!$D$5:$D$500=$B21))+SUMPRODUCT(--('2026'!$A$5:$A$500=$AC$1),--('2026'!$G$5:$G$500=$B21))</f>
        <v>0</v>
      </c>
      <c r="AD21" s="50">
        <f>SUMPRODUCT(--('2026'!$A$5:$A$500=$AC$1),--('2026'!$I$5:$I$500=$B21))+SUMPRODUCT(--('2026'!$A$5:$A$500=$AC$1),--('2026'!$J$5:$J$500=$B21))</f>
        <v>0</v>
      </c>
      <c r="AE21" s="60">
        <f>SUMPRODUCT(--('2026'!$A$5:$A$500=$AE$1),--('2026'!$C$5:$C$500=$B21))+SUMPRODUCT(--('2026'!$A$5:$A$500=$AE$1),--('2026'!$F$5:$F$500=$B21))+SUMPRODUCT(--('2026'!$A$5:$A$500=$AE$1),--('2026'!$D$5:$D$500=$B21))+SUMPRODUCT(--('2026'!$A$5:$A$500=$AE$1),--('2026'!$G$5:$G$500=$B21))</f>
        <v>0</v>
      </c>
      <c r="AF21" s="60">
        <f>SUMPRODUCT(--('2026'!$A$5:$A$500=$AE$1),--('2026'!$I$5:$I$500=$B21))+SUMPRODUCT(--('2026'!$A$5:$A$500=$AE$1),--('2026'!$J$5:$J$500=$B21))</f>
        <v>0</v>
      </c>
      <c r="AG21" s="50">
        <f>SUMPRODUCT(--('2026'!$A$5:$A$500=$AG$1),--('2026'!$C$5:$C$500=$B21))+SUMPRODUCT(--('2026'!$A$5:$A$500=$AG$1),--('2026'!$F$5:$F$500=$B21))+SUMPRODUCT(--('2026'!$A$5:$A$500=$AG$1),--('2026'!$D$5:$D$500=$B21))+SUMPRODUCT(--('2026'!$A$5:$A$500=$AG$1),--('2026'!$G$5:$G$500=$B21))</f>
        <v>0</v>
      </c>
      <c r="AH21" s="50">
        <f>SUMPRODUCT(--('2026'!$A$5:$A$500=$AG$1),--('2026'!$I$5:$I$500=$B21))+SUMPRODUCT(--('2026'!$A$5:$A$500=$AG$1),--('2026'!$J$5:$J$500=$B21))</f>
        <v>0</v>
      </c>
      <c r="AI21" s="50">
        <f>SUMPRODUCT(--('2026'!$A$5:$A$500=$AI$1),--('2026'!$C$5:$C$500=$B21))+SUMPRODUCT(--('2026'!$A$5:$A$500=$AI$1),--('2026'!$F$5:$F$500=$B21))+SUMPRODUCT(--('2026'!$A$5:$A$500=$AI$1),--('2026'!$D$5:$D$500=$B21))+SUMPRODUCT(--('2026'!$A$5:$A$500=$AI$1),--('2026'!$G$5:$G$500=$B21))</f>
        <v>0</v>
      </c>
      <c r="AJ21" s="50">
        <f>SUMPRODUCT(--('2026'!$A$5:$A$500=$AI$1),--('2026'!$I$5:$I$500=$B21))+SUMPRODUCT(--('2026'!$A$5:$A$500=$AI$1),--('2026'!$J$5:$J$500=$B21))</f>
        <v>0</v>
      </c>
      <c r="AK21" s="50">
        <f>SUMPRODUCT(--('2026'!$A$5:$A$500=$AK$1),--('2026'!$C$5:$C$500=$B21))+SUMPRODUCT(--('2026'!$A$5:$A$500=$AK$1),--('2026'!$F$5:$F$500=$B21))+SUMPRODUCT(--('2026'!$A$5:$A$500=$AK$1),--('2026'!$D$5:$D$500=$B21))+SUMPRODUCT(--('2026'!$A$5:$A$500=$AK$1),--('2026'!$G$5:$G$500=$B21))</f>
        <v>0</v>
      </c>
      <c r="AL21" s="50">
        <f>SUMPRODUCT(--('2026'!$A$5:$A$500=$AK$1),--('2026'!$I$5:$I$500=$B21))+SUMPRODUCT(--('2026'!$A$5:$A$500=$AK$1),--('2026'!$J$5:$J$500=$B21))</f>
        <v>0</v>
      </c>
      <c r="AM21" s="50">
        <f>SUMPRODUCT(--('2026'!$A$5:$A$500=$AM$1),--('2026'!$C$5:$C$500=$B21))+SUMPRODUCT(--('2026'!$A$5:$A$500=$AM$1),--('2026'!$F$5:$F$500=$B21))+SUMPRODUCT(--('2026'!$A$5:$A$500=$AM$1),--('2026'!$D$5:$D$500=$B21))+SUMPRODUCT(--('2026'!$A$5:$A$500=$AM$1),--('2026'!$G$5:$G$500=$B21))</f>
        <v>0</v>
      </c>
      <c r="AN21" s="50">
        <f>SUMPRODUCT(--('2026'!$A$5:$A$500=$AM$1),--('2026'!$I$5:$I$500=$B21))+SUMPRODUCT(--('2026'!$A$5:$A$500=$AM$1),--('2026'!$J$5:$J$500=$B21))</f>
        <v>0</v>
      </c>
      <c r="AO21" s="50">
        <f>SUMPRODUCT(--('2026'!$A$5:$A$500=$AO$1),--('2026'!$C$5:$C$500=$B21))+SUMPRODUCT(--('2026'!$A$5:$A$500=$AO$1),--('2026'!$F$5:$F$500=$B21))+SUMPRODUCT(--('2026'!$A$5:$A$500=$AO$1),--('2026'!$D$5:$D$500=$B21))+SUMPRODUCT(--('2026'!$A$5:$A$500=$AO$1),--('2026'!$G$5:$G$500=$B21))</f>
        <v>0</v>
      </c>
      <c r="AP21" s="50">
        <f>SUMPRODUCT(--('2026'!$A$5:$A$500=$AO$1),--('2026'!$I$5:$I$500=$B21))+SUMPRODUCT(--('2026'!$A$5:$A$500=$AO$1),--('2026'!$J$5:$J$500=$B21))</f>
        <v>0</v>
      </c>
      <c r="AQ21" s="50">
        <f>SUMPRODUCT(--('2026'!$A$5:$A$500=$AQ$1),--('2026'!$C$5:$C$500=$B21))+SUMPRODUCT(--('2026'!$A$5:$A$500=$AQ$1),--('2026'!$F$5:$F$500=$B21))+SUMPRODUCT(--('2026'!$A$5:$A$500=$AQ$1),--('2026'!$D$5:$D$500=$B21))+SUMPRODUCT(--('2026'!$A$5:$A$500=$AQ$1),--('2026'!$G$5:$G$500=$B21))</f>
        <v>0</v>
      </c>
      <c r="AR21" s="50">
        <f>SUMPRODUCT(--('2026'!$A$5:$A$500=$AQ$1),--('2026'!$I$5:$I$500=$B21))+SUMPRODUCT(--('2026'!$A$5:$A$500=$AQ$1),--('2026'!$J$5:$J$500=$B21))</f>
        <v>0</v>
      </c>
      <c r="AS21" s="50">
        <f>SUMPRODUCT(--('2026'!$A$5:$A$500=$AS$1),--('2026'!$C$5:$C$500=$B21))+SUMPRODUCT(--('2026'!$A$5:$A$500=$AS$1),--('2026'!$F$5:$F$500=$B21))+SUMPRODUCT(--('2026'!$A$5:$A$500=$AS$1),--('2026'!$D$5:$D$500=$B21))+SUMPRODUCT(--('2026'!$A$5:$A$500=$AS$1),--('2026'!$G$5:$G$500=$B21))</f>
        <v>0</v>
      </c>
      <c r="AT21" s="50">
        <f>SUMPRODUCT(--('2026'!$A$5:$A$500=$AS$1),--('2026'!$I$5:$I$500=$B21))+SUMPRODUCT(--('2026'!$A$5:$A$500=$AS$1),--('2026'!$J$5:$J$500=$B21))</f>
        <v>0</v>
      </c>
      <c r="AU21" s="50">
        <f>SUMPRODUCT(--('2026'!$A$5:$A$500=$AU$1),--('2026'!$C$5:$C$500=$B21))+SUMPRODUCT(--('2026'!$A$5:$A$500=$AU$1),--('2026'!$F$5:$F$500=$B21))+SUMPRODUCT(--('2026'!$A$5:$A$500=$AU$1),--('2026'!$D$5:$D$500=$B21))+SUMPRODUCT(--('2026'!$A$5:$A$500=$AU$1),--('2026'!$G$5:$G$500=$B21))</f>
        <v>0</v>
      </c>
      <c r="AV21" s="50">
        <f>SUMPRODUCT(--('2026'!$A$5:$A$500=$AU$1),--('2026'!$I$5:$I$500=$B21))+SUMPRODUCT(--('2026'!$A$5:$A$500=$AU$1),--('2026'!$J$5:$J$500=$B21))</f>
        <v>0</v>
      </c>
      <c r="AW21" s="50">
        <f>SUMPRODUCT(--('2026'!$A$5:$A$500=$AW$1),--('2026'!$C$5:$C$500=$B21))+SUMPRODUCT(--('2026'!$A$5:$A$500=$AW$1),--('2026'!$F$5:$F$500=$B21))+SUMPRODUCT(--('2026'!$A$5:$A$500=$AW$1),--('2026'!$D$5:$D$500=$B21))+SUMPRODUCT(--('2026'!$A$5:$A$500=$AW$1),--('2026'!$G$5:$G$500=$B21))</f>
        <v>0</v>
      </c>
      <c r="AX21" s="50">
        <f>SUMPRODUCT(--('2026'!$A$5:$A$500=$AW$1),--('2026'!$I$5:$I$500=$B21))+SUMPRODUCT(--('2026'!$A$5:$A$500=$AW$1),--('2026'!$J$5:$J$500=$B21))</f>
        <v>0</v>
      </c>
      <c r="BA21" s="54" t="s">
        <v>112</v>
      </c>
      <c r="BB21" s="47">
        <f t="shared" si="2"/>
        <v>0</v>
      </c>
      <c r="BC21" s="52">
        <f t="shared" si="3"/>
        <v>0</v>
      </c>
    </row>
    <row r="22" spans="1:55" ht="15" x14ac:dyDescent="0.25">
      <c r="A22">
        <v>20</v>
      </c>
      <c r="B22" s="54" t="s">
        <v>98</v>
      </c>
      <c r="C22" s="50">
        <f>SUMPRODUCT(--('2026'!$A$5:$A$500=$C$1),--('2026'!$C$5:$C$500=$B22))+SUMPRODUCT(--('2026'!$A$5:$A$500=$C$1),--('2026'!$F$5:$F$500=$B22))+SUMPRODUCT(--('2026'!$A$5:$A$500=$C$1),--('2026'!$D$5:$D$500=$B22))+SUMPRODUCT(--('2026'!$A$5:$A$500=$C$1),--('2026'!$G$5:$G$500=$B22))</f>
        <v>0</v>
      </c>
      <c r="D22" s="50">
        <f>SUMPRODUCT(--('2026'!$A$5:$A$500=$C$1),--('2026'!$I$5:$I$500=$B22))+SUMPRODUCT(--('2026'!$A$5:$A$500=$C$1),--('2026'!$J$5:$J$500=$B22))</f>
        <v>0</v>
      </c>
      <c r="E22" s="50">
        <f>SUMPRODUCT(--('2026'!$A$5:$A$500=$E$1),--('2026'!$C$5:$C$500=$B22))+SUMPRODUCT(--('2026'!$A$5:$A$500=$E$1),--('2026'!$F$5:$F$500=$B22))+SUMPRODUCT(--('2026'!$A$5:$A$500=$E$1),--('2026'!$D$5:$D$500=$B22))+SUMPRODUCT(--('2026'!$A$5:$A$500=$E$1),--('2026'!$G$5:$G$500=$B22))</f>
        <v>0</v>
      </c>
      <c r="F22" s="50">
        <f>SUMPRODUCT(--('2026'!$A$5:$A$500=$E$1),--('2026'!$I$5:$I$500=$B22))+SUMPRODUCT(--('2026'!$A$5:$A$500=$E$1),--('2026'!$J$5:$J$500=$B22))</f>
        <v>0</v>
      </c>
      <c r="G22" s="50">
        <f>SUMPRODUCT(--('2026'!$A$5:$A$500=$G$1),--('2026'!$C$5:$C$500=$B22))+SUMPRODUCT(--('2026'!$A$5:$A$500=$G$1),--('2026'!$F$5:$F$500=$B22))+SUMPRODUCT(--('2026'!$A$5:$A$500=$G$1),--('2026'!$D$5:$D$500=$B22))+SUMPRODUCT(--('2026'!$A$5:$A$500=$G$1),--('2026'!$G$5:$G$500=$B22))</f>
        <v>0</v>
      </c>
      <c r="H22" s="50">
        <f>SUMPRODUCT(--('2026'!$A$5:$A$500=$G$1),--('2026'!$I$5:$I$500=$B22))+SUMPRODUCT(--('2026'!$A$5:$A$500=$G$1),--('2026'!$J$5:$J$500=$B22))</f>
        <v>0</v>
      </c>
      <c r="I22" s="50">
        <f>SUMPRODUCT(--('2026'!$A$5:$A$500=$I$1),--('2026'!$C$5:$C$500=$B22))+SUMPRODUCT(--('2026'!$A$5:$A$500=$I$1),--('2026'!$F$5:$F$500=$B22))+SUMPRODUCT(--('2026'!$A$5:$A$500=$I$1),--('2026'!$D$5:$D$500=$B22))+SUMPRODUCT(--('2026'!$A$5:$A$500=$I$1),--('2026'!$G$5:$G$500=$B22))</f>
        <v>0</v>
      </c>
      <c r="J22" s="50">
        <f>SUMPRODUCT(--('2026'!$A$5:$A$500=$I$1),--('2026'!$I$5:$I$500=$B22))+SUMPRODUCT(--('2026'!$A$5:$A$500=$I$1),--('2026'!$J$5:$J$500=$B22))</f>
        <v>0</v>
      </c>
      <c r="K22" s="50">
        <f>SUMPRODUCT(--('2026'!$A$5:$A$500=$K$1),--('2026'!$C$5:$C$500=$B22))+SUMPRODUCT(--('2026'!$A$5:$A$500=$K$1),--('2026'!$F$5:$F$500=$B22))+SUMPRODUCT(--('2026'!$A$5:$A$500=$K$1),--('2026'!$D$5:$D$500=$B22))+SUMPRODUCT(--('2026'!$A$5:$A$500=$K$1),--('2026'!$G$5:$G$500=$B22))</f>
        <v>0</v>
      </c>
      <c r="L22" s="50">
        <f>SUMPRODUCT(--('2026'!$A$5:$A$500=$K$1),--('2026'!$I$5:$I$500=$B22))+SUMPRODUCT(--('2026'!$A$5:$A$500=$K$1),--('2026'!$J$5:$J$500=$B22))</f>
        <v>0</v>
      </c>
      <c r="M22" s="50">
        <f>SUMPRODUCT(--('2026'!$A$5:$A$500=$M$1),--('2026'!$C$5:$C$500=$B22))+SUMPRODUCT(--('2026'!$A$5:$A$500=$M$1),--('2026'!$F$5:$F$500=$B22))+SUMPRODUCT(--('2026'!$A$5:$A$500=$M$1),--('2026'!$D$5:$D$500=$B22))+SUMPRODUCT(--('2026'!$A$5:$A$500=$M$1),--('2026'!$G$5:$G$500=$B22))</f>
        <v>0</v>
      </c>
      <c r="N22" s="50">
        <f>SUMPRODUCT(--('2026'!$A$5:$A$500=$M$1),--('2026'!$I$5:$I$500=$B22))+SUMPRODUCT(--('2026'!$A$5:$A$500=$M$1),--('2026'!$J$5:$J$500=$B22))</f>
        <v>0</v>
      </c>
      <c r="O22" s="50">
        <f>SUMPRODUCT(--('2026'!$A$5:$A$500=$O$1),--('2026'!$C$5:$C$500=$B22))+SUMPRODUCT(--('2026'!$A$5:$A$500=$O$1),--('2026'!$F$5:$F$500=$B22))+SUMPRODUCT(--('2026'!$A$5:$A$500=$O$1),--('2026'!$D$5:$D$500=$B22))+SUMPRODUCT(--('2026'!$A$5:$A$500=$O$1),--('2026'!$G$5:$G$500=$B22))</f>
        <v>0</v>
      </c>
      <c r="P22" s="50">
        <f>SUMPRODUCT(--('2026'!$A$5:$A$500=$O$1),--('2026'!$I$5:$I$500=$B22))+SUMPRODUCT(--('2026'!$A$5:$A$500=$O$1),--('2026'!$J$5:$J$500=$B22))</f>
        <v>0</v>
      </c>
      <c r="Q22" s="50">
        <f>SUMPRODUCT(--('2026'!$A$5:$A$500=$Q$1),--('2026'!$C$5:$C$500=$B22))+SUMPRODUCT(--('2026'!$A$5:$A$500=$Q$1),--('2026'!$F$5:$F$500=$B22))+SUMPRODUCT(--('2026'!$A$5:$A$500=$Q$1),--('2026'!$D$5:$D$500=$B22))+SUMPRODUCT(--('2026'!$A$5:$A$500=$Q$1),--('2026'!$G$5:$G$500=$B22))</f>
        <v>0</v>
      </c>
      <c r="R22" s="50">
        <f>SUMPRODUCT(--('2026'!$A$5:$A$500=$Q$1),--('2026'!$I$5:$I$500=$B22))+SUMPRODUCT(--('2026'!$A$5:$A$500=$Q$1),--('2026'!$J$5:$J$500=$B22))</f>
        <v>0</v>
      </c>
      <c r="S22" s="50">
        <f>SUMPRODUCT(--('2026'!$A$5:$A$500=$S$1),--('2026'!$C$5:$C$500=$B22))+SUMPRODUCT(--('2026'!$A$5:$A$500=$S$1),--('2026'!$F$5:$F$500=$B22))+SUMPRODUCT(--('2026'!$A$5:$A$500=$S$1),--('2026'!$D$5:$D$500=$B22))+SUMPRODUCT(--('2026'!$A$5:$A$500=$S$1),--('2026'!$G$5:$G$500=$B22))</f>
        <v>0</v>
      </c>
      <c r="T22" s="50">
        <f>SUMPRODUCT(--('2026'!$A$5:$A$500=$S$1),--('2026'!$I$5:$I$500=$B22))+SUMPRODUCT(--('2026'!$A$5:$A$500=$S$1),--('2026'!$J$5:$J$500=$B22))</f>
        <v>0</v>
      </c>
      <c r="U22" s="50">
        <f>SUMPRODUCT(--('2026'!$A$5:$A$500=$U$1),--('2026'!$C$5:$C$500=$B22))+SUMPRODUCT(--('2026'!$A$5:$A$500=$U$1),--('2026'!$F$5:$F$500=$B22))+SUMPRODUCT(--('2026'!$A$5:$A$500=$U$1),--('2026'!$D$5:$D$500=$B22))+SUMPRODUCT(--('2026'!$A$5:$A$500=$U$1),--('2026'!$G$5:$G$500=$B22))</f>
        <v>0</v>
      </c>
      <c r="V22" s="50">
        <f>SUMPRODUCT(--('2026'!$A$5:$A$500=$U$1),--('2026'!$I$5:$I$500=$B22))+SUMPRODUCT(--('2026'!$A$5:$A$500=$U$1),--('2026'!$J$5:$J$500=$B22))</f>
        <v>0</v>
      </c>
      <c r="W22" s="60">
        <f>SUMPRODUCT(--('2026'!$A$5:$A$500=$W$1),--('2026'!$C$5:$C$500=$B22))+SUMPRODUCT(--('2026'!$A$5:$A$500=$W$1),--('2026'!$F$5:$F$500=$B22))+SUMPRODUCT(--('2026'!$A$5:$A$500=$W$1),--('2026'!$D$5:$D$500=$B22))+SUMPRODUCT(--('2026'!$A$5:$A$500=$W$1),--('2026'!$G$5:$G$500=$B22))</f>
        <v>0</v>
      </c>
      <c r="X22" s="60">
        <f>SUMPRODUCT(--('2026'!$A$5:$A$500=$W$1),--('2026'!$I$5:$I$500=$B22))+SUMPRODUCT(--('2026'!$A$5:$A$500=$W$1),--('2026'!$J$5:$J$500=$B22))</f>
        <v>0</v>
      </c>
      <c r="Y22" s="50">
        <f>SUMPRODUCT(--('2026'!$A$5:$A$500=$Y$1),--('2026'!$C$5:$C$500=$B22))+SUMPRODUCT(--('2026'!$A$5:$A$500=$Y$1),--('2026'!$F$5:$F$500=$B22))+SUMPRODUCT(--('2026'!$A$5:$A$500=$Y$1),--('2026'!$D$5:$D$500=$B22))+SUMPRODUCT(--('2026'!$A$5:$A$500=$Y$1),--('2026'!$G$5:$G$500=$B22))</f>
        <v>0</v>
      </c>
      <c r="Z22" s="50">
        <f>SUMPRODUCT(--('2026'!$A$5:$A$500=$Y$1),--('2026'!$I$5:$I$500=$B22))+SUMPRODUCT(--('2026'!$A$5:$A$500=$Y$1),--('2026'!$J$5:$J$500=$B22))</f>
        <v>0</v>
      </c>
      <c r="AA22" s="50">
        <f>SUMPRODUCT(--('2026'!$A$5:$A$500=$AA$1),--('2026'!$C$5:$C$500=$B22))+SUMPRODUCT(--('2026'!$A$5:$A$500=$AA$1),--('2026'!$F$5:$F$500=$B22))+SUMPRODUCT(--('2026'!$A$5:$A$500=$AA$1),--('2026'!$D$5:$D$500=$B22))+SUMPRODUCT(--('2026'!$A$5:$A$500=$AA$1),--('2026'!$G$5:$G$500=$B22))</f>
        <v>0</v>
      </c>
      <c r="AB22" s="50">
        <f>SUMPRODUCT(--('2026'!$A$5:$A$500=$AA$1),--('2026'!$I$5:$I$500=$B22))+SUMPRODUCT(--('2026'!$A$5:$A$500=$AA$1),--('2026'!$J$5:$J$500=$B22))</f>
        <v>0</v>
      </c>
      <c r="AC22" s="50">
        <f>SUMPRODUCT(--('2026'!$A$5:$A$500=$AC$1),--('2026'!$C$5:$C$500=$B22))+SUMPRODUCT(--('2026'!$A$5:$A$500=$AC$1),--('2026'!$F$5:$F$500=$B22))+SUMPRODUCT(--('2026'!$A$5:$A$500=$AC$1),--('2026'!$D$5:$D$500=$B22))+SUMPRODUCT(--('2026'!$A$5:$A$500=$AC$1),--('2026'!$G$5:$G$500=$B22))</f>
        <v>0</v>
      </c>
      <c r="AD22" s="50">
        <f>SUMPRODUCT(--('2026'!$A$5:$A$500=$AC$1),--('2026'!$I$5:$I$500=$B22))+SUMPRODUCT(--('2026'!$A$5:$A$500=$AC$1),--('2026'!$J$5:$J$500=$B22))</f>
        <v>0</v>
      </c>
      <c r="AE22" s="60">
        <f>SUMPRODUCT(--('2026'!$A$5:$A$500=$AE$1),--('2026'!$C$5:$C$500=$B22))+SUMPRODUCT(--('2026'!$A$5:$A$500=$AE$1),--('2026'!$F$5:$F$500=$B22))+SUMPRODUCT(--('2026'!$A$5:$A$500=$AE$1),--('2026'!$D$5:$D$500=$B22))+SUMPRODUCT(--('2026'!$A$5:$A$500=$AE$1),--('2026'!$G$5:$G$500=$B22))</f>
        <v>0</v>
      </c>
      <c r="AF22" s="60">
        <f>SUMPRODUCT(--('2026'!$A$5:$A$500=$AE$1),--('2026'!$I$5:$I$500=$B22))+SUMPRODUCT(--('2026'!$A$5:$A$500=$AE$1),--('2026'!$J$5:$J$500=$B22))</f>
        <v>0</v>
      </c>
      <c r="AG22" s="50">
        <f>SUMPRODUCT(--('2026'!$A$5:$A$500=$AG$1),--('2026'!$C$5:$C$500=$B22))+SUMPRODUCT(--('2026'!$A$5:$A$500=$AG$1),--('2026'!$F$5:$F$500=$B22))+SUMPRODUCT(--('2026'!$A$5:$A$500=$AG$1),--('2026'!$D$5:$D$500=$B22))+SUMPRODUCT(--('2026'!$A$5:$A$500=$AG$1),--('2026'!$G$5:$G$500=$B22))</f>
        <v>0</v>
      </c>
      <c r="AH22" s="50">
        <f>SUMPRODUCT(--('2026'!$A$5:$A$500=$AG$1),--('2026'!$I$5:$I$500=$B22))+SUMPRODUCT(--('2026'!$A$5:$A$500=$AG$1),--('2026'!$J$5:$J$500=$B22))</f>
        <v>0</v>
      </c>
      <c r="AI22" s="50">
        <f>SUMPRODUCT(--('2026'!$A$5:$A$500=$AI$1),--('2026'!$C$5:$C$500=$B22))+SUMPRODUCT(--('2026'!$A$5:$A$500=$AI$1),--('2026'!$F$5:$F$500=$B22))+SUMPRODUCT(--('2026'!$A$5:$A$500=$AI$1),--('2026'!$D$5:$D$500=$B22))+SUMPRODUCT(--('2026'!$A$5:$A$500=$AI$1),--('2026'!$G$5:$G$500=$B22))</f>
        <v>0</v>
      </c>
      <c r="AJ22" s="50">
        <f>SUMPRODUCT(--('2026'!$A$5:$A$500=$AI$1),--('2026'!$I$5:$I$500=$B22))+SUMPRODUCT(--('2026'!$A$5:$A$500=$AI$1),--('2026'!$J$5:$J$500=$B22))</f>
        <v>0</v>
      </c>
      <c r="AK22" s="50">
        <f>SUMPRODUCT(--('2026'!$A$5:$A$500=$AK$1),--('2026'!$C$5:$C$500=$B22))+SUMPRODUCT(--('2026'!$A$5:$A$500=$AK$1),--('2026'!$F$5:$F$500=$B22))+SUMPRODUCT(--('2026'!$A$5:$A$500=$AK$1),--('2026'!$D$5:$D$500=$B22))+SUMPRODUCT(--('2026'!$A$5:$A$500=$AK$1),--('2026'!$G$5:$G$500=$B22))</f>
        <v>0</v>
      </c>
      <c r="AL22" s="50">
        <f>SUMPRODUCT(--('2026'!$A$5:$A$500=$AK$1),--('2026'!$I$5:$I$500=$B22))+SUMPRODUCT(--('2026'!$A$5:$A$500=$AK$1),--('2026'!$J$5:$J$500=$B22))</f>
        <v>0</v>
      </c>
      <c r="AM22" s="50">
        <f>SUMPRODUCT(--('2026'!$A$5:$A$500=$AM$1),--('2026'!$C$5:$C$500=$B22))+SUMPRODUCT(--('2026'!$A$5:$A$500=$AM$1),--('2026'!$F$5:$F$500=$B22))+SUMPRODUCT(--('2026'!$A$5:$A$500=$AM$1),--('2026'!$D$5:$D$500=$B22))+SUMPRODUCT(--('2026'!$A$5:$A$500=$AM$1),--('2026'!$G$5:$G$500=$B22))</f>
        <v>0</v>
      </c>
      <c r="AN22" s="50">
        <f>SUMPRODUCT(--('2026'!$A$5:$A$500=$AM$1),--('2026'!$I$5:$I$500=$B22))+SUMPRODUCT(--('2026'!$A$5:$A$500=$AM$1),--('2026'!$J$5:$J$500=$B22))</f>
        <v>0</v>
      </c>
      <c r="AO22" s="50">
        <f>SUMPRODUCT(--('2026'!$A$5:$A$500=$AO$1),--('2026'!$C$5:$C$500=$B22))+SUMPRODUCT(--('2026'!$A$5:$A$500=$AO$1),--('2026'!$F$5:$F$500=$B22))+SUMPRODUCT(--('2026'!$A$5:$A$500=$AO$1),--('2026'!$D$5:$D$500=$B22))+SUMPRODUCT(--('2026'!$A$5:$A$500=$AO$1),--('2026'!$G$5:$G$500=$B22))</f>
        <v>0</v>
      </c>
      <c r="AP22" s="50">
        <f>SUMPRODUCT(--('2026'!$A$5:$A$500=$AO$1),--('2026'!$I$5:$I$500=$B22))+SUMPRODUCT(--('2026'!$A$5:$A$500=$AO$1),--('2026'!$J$5:$J$500=$B22))</f>
        <v>0</v>
      </c>
      <c r="AQ22" s="50">
        <f>SUMPRODUCT(--('2026'!$A$5:$A$500=$AQ$1),--('2026'!$C$5:$C$500=$B22))+SUMPRODUCT(--('2026'!$A$5:$A$500=$AQ$1),--('2026'!$F$5:$F$500=$B22))+SUMPRODUCT(--('2026'!$A$5:$A$500=$AQ$1),--('2026'!$D$5:$D$500=$B22))+SUMPRODUCT(--('2026'!$A$5:$A$500=$AQ$1),--('2026'!$G$5:$G$500=$B22))</f>
        <v>0</v>
      </c>
      <c r="AR22" s="50">
        <f>SUMPRODUCT(--('2026'!$A$5:$A$500=$AQ$1),--('2026'!$I$5:$I$500=$B22))+SUMPRODUCT(--('2026'!$A$5:$A$500=$AQ$1),--('2026'!$J$5:$J$500=$B22))</f>
        <v>0</v>
      </c>
      <c r="AS22" s="50">
        <f>SUMPRODUCT(--('2026'!$A$5:$A$500=$AS$1),--('2026'!$C$5:$C$500=$B22))+SUMPRODUCT(--('2026'!$A$5:$A$500=$AS$1),--('2026'!$F$5:$F$500=$B22))+SUMPRODUCT(--('2026'!$A$5:$A$500=$AS$1),--('2026'!$D$5:$D$500=$B22))+SUMPRODUCT(--('2026'!$A$5:$A$500=$AS$1),--('2026'!$G$5:$G$500=$B22))</f>
        <v>0</v>
      </c>
      <c r="AT22" s="50">
        <f>SUMPRODUCT(--('2026'!$A$5:$A$500=$AS$1),--('2026'!$I$5:$I$500=$B22))+SUMPRODUCT(--('2026'!$A$5:$A$500=$AS$1),--('2026'!$J$5:$J$500=$B22))</f>
        <v>0</v>
      </c>
      <c r="AU22" s="50">
        <f>SUMPRODUCT(--('2026'!$A$5:$A$500=$AU$1),--('2026'!$C$5:$C$500=$B22))+SUMPRODUCT(--('2026'!$A$5:$A$500=$AU$1),--('2026'!$F$5:$F$500=$B22))+SUMPRODUCT(--('2026'!$A$5:$A$500=$AU$1),--('2026'!$D$5:$D$500=$B22))+SUMPRODUCT(--('2026'!$A$5:$A$500=$AU$1),--('2026'!$G$5:$G$500=$B22))</f>
        <v>0</v>
      </c>
      <c r="AV22" s="50">
        <f>SUMPRODUCT(--('2026'!$A$5:$A$500=$AU$1),--('2026'!$I$5:$I$500=$B22))+SUMPRODUCT(--('2026'!$A$5:$A$500=$AU$1),--('2026'!$J$5:$J$500=$B22))</f>
        <v>0</v>
      </c>
      <c r="AW22" s="50">
        <f>SUMPRODUCT(--('2026'!$A$5:$A$500=$AW$1),--('2026'!$C$5:$C$500=$B22))+SUMPRODUCT(--('2026'!$A$5:$A$500=$AW$1),--('2026'!$F$5:$F$500=$B22))+SUMPRODUCT(--('2026'!$A$5:$A$500=$AW$1),--('2026'!$D$5:$D$500=$B22))+SUMPRODUCT(--('2026'!$A$5:$A$500=$AW$1),--('2026'!$G$5:$G$500=$B22))</f>
        <v>0</v>
      </c>
      <c r="AX22" s="50">
        <f>SUMPRODUCT(--('2026'!$A$5:$A$500=$AW$1),--('2026'!$I$5:$I$500=$B22))+SUMPRODUCT(--('2026'!$A$5:$A$500=$AW$1),--('2026'!$J$5:$J$500=$B22))</f>
        <v>0</v>
      </c>
      <c r="BA22" s="54" t="s">
        <v>98</v>
      </c>
      <c r="BB22" s="47">
        <f t="shared" si="2"/>
        <v>0</v>
      </c>
      <c r="BC22" s="52">
        <f t="shared" si="3"/>
        <v>0</v>
      </c>
    </row>
    <row r="23" spans="1:55" ht="15" x14ac:dyDescent="0.25">
      <c r="A23">
        <v>21</v>
      </c>
      <c r="B23" s="54" t="s">
        <v>42</v>
      </c>
      <c r="C23" s="50">
        <f>SUMPRODUCT(--('2026'!$A$5:$A$500=$C$1),--('2026'!$C$5:$C$500=$B23))+SUMPRODUCT(--('2026'!$A$5:$A$500=$C$1),--('2026'!$F$5:$F$500=$B23))+SUMPRODUCT(--('2026'!$A$5:$A$500=$C$1),--('2026'!$D$5:$D$500=$B23))+SUMPRODUCT(--('2026'!$A$5:$A$500=$C$1),--('2026'!$G$5:$G$500=$B23))</f>
        <v>0</v>
      </c>
      <c r="D23" s="50">
        <f>SUMPRODUCT(--('2026'!$A$5:$A$500=$C$1),--('2026'!$I$5:$I$500=$B23))+SUMPRODUCT(--('2026'!$A$5:$A$500=$C$1),--('2026'!$J$5:$J$500=$B23))</f>
        <v>0</v>
      </c>
      <c r="E23" s="50">
        <f>SUMPRODUCT(--('2026'!$A$5:$A$500=$E$1),--('2026'!$C$5:$C$500=$B23))+SUMPRODUCT(--('2026'!$A$5:$A$500=$E$1),--('2026'!$F$5:$F$500=$B23))+SUMPRODUCT(--('2026'!$A$5:$A$500=$E$1),--('2026'!$D$5:$D$500=$B23))+SUMPRODUCT(--('2026'!$A$5:$A$500=$E$1),--('2026'!$G$5:$G$500=$B23))</f>
        <v>0</v>
      </c>
      <c r="F23" s="50">
        <f>SUMPRODUCT(--('2026'!$A$5:$A$500=$E$1),--('2026'!$I$5:$I$500=$B23))+SUMPRODUCT(--('2026'!$A$5:$A$500=$E$1),--('2026'!$J$5:$J$500=$B23))</f>
        <v>0</v>
      </c>
      <c r="G23" s="50">
        <f>SUMPRODUCT(--('2026'!$A$5:$A$500=$G$1),--('2026'!$C$5:$C$500=$B23))+SUMPRODUCT(--('2026'!$A$5:$A$500=$G$1),--('2026'!$F$5:$F$500=$B23))+SUMPRODUCT(--('2026'!$A$5:$A$500=$G$1),--('2026'!$D$5:$D$500=$B23))+SUMPRODUCT(--('2026'!$A$5:$A$500=$G$1),--('2026'!$G$5:$G$500=$B23))</f>
        <v>0</v>
      </c>
      <c r="H23" s="50">
        <f>SUMPRODUCT(--('2026'!$A$5:$A$500=$G$1),--('2026'!$I$5:$I$500=$B23))+SUMPRODUCT(--('2026'!$A$5:$A$500=$G$1),--('2026'!$J$5:$J$500=$B23))</f>
        <v>0</v>
      </c>
      <c r="I23" s="50">
        <f>SUMPRODUCT(--('2026'!$A$5:$A$500=$I$1),--('2026'!$C$5:$C$500=$B23))+SUMPRODUCT(--('2026'!$A$5:$A$500=$I$1),--('2026'!$F$5:$F$500=$B23))+SUMPRODUCT(--('2026'!$A$5:$A$500=$I$1),--('2026'!$D$5:$D$500=$B23))+SUMPRODUCT(--('2026'!$A$5:$A$500=$I$1),--('2026'!$G$5:$G$500=$B23))</f>
        <v>0</v>
      </c>
      <c r="J23" s="50">
        <f>SUMPRODUCT(--('2026'!$A$5:$A$500=$I$1),--('2026'!$I$5:$I$500=$B23))+SUMPRODUCT(--('2026'!$A$5:$A$500=$I$1),--('2026'!$J$5:$J$500=$B23))</f>
        <v>0</v>
      </c>
      <c r="K23" s="50">
        <f>SUMPRODUCT(--('2026'!$A$5:$A$500=$K$1),--('2026'!$C$5:$C$500=$B23))+SUMPRODUCT(--('2026'!$A$5:$A$500=$K$1),--('2026'!$F$5:$F$500=$B23))+SUMPRODUCT(--('2026'!$A$5:$A$500=$K$1),--('2026'!$D$5:$D$500=$B23))+SUMPRODUCT(--('2026'!$A$5:$A$500=$K$1),--('2026'!$G$5:$G$500=$B23))</f>
        <v>0</v>
      </c>
      <c r="L23" s="50">
        <f>SUMPRODUCT(--('2026'!$A$5:$A$500=$K$1),--('2026'!$I$5:$I$500=$B23))+SUMPRODUCT(--('2026'!$A$5:$A$500=$K$1),--('2026'!$J$5:$J$500=$B23))</f>
        <v>0</v>
      </c>
      <c r="M23" s="50">
        <f>SUMPRODUCT(--('2026'!$A$5:$A$500=$M$1),--('2026'!$C$5:$C$500=$B23))+SUMPRODUCT(--('2026'!$A$5:$A$500=$M$1),--('2026'!$F$5:$F$500=$B23))+SUMPRODUCT(--('2026'!$A$5:$A$500=$M$1),--('2026'!$D$5:$D$500=$B23))+SUMPRODUCT(--('2026'!$A$5:$A$500=$M$1),--('2026'!$G$5:$G$500=$B23))</f>
        <v>0</v>
      </c>
      <c r="N23" s="50">
        <f>SUMPRODUCT(--('2026'!$A$5:$A$500=$M$1),--('2026'!$I$5:$I$500=$B23))+SUMPRODUCT(--('2026'!$A$5:$A$500=$M$1),--('2026'!$J$5:$J$500=$B23))</f>
        <v>0</v>
      </c>
      <c r="O23" s="50">
        <f>SUMPRODUCT(--('2026'!$A$5:$A$500=$O$1),--('2026'!$C$5:$C$500=$B23))+SUMPRODUCT(--('2026'!$A$5:$A$500=$O$1),--('2026'!$F$5:$F$500=$B23))+SUMPRODUCT(--('2026'!$A$5:$A$500=$O$1),--('2026'!$D$5:$D$500=$B23))+SUMPRODUCT(--('2026'!$A$5:$A$500=$O$1),--('2026'!$G$5:$G$500=$B23))</f>
        <v>0</v>
      </c>
      <c r="P23" s="50">
        <f>SUMPRODUCT(--('2026'!$A$5:$A$500=$O$1),--('2026'!$I$5:$I$500=$B23))+SUMPRODUCT(--('2026'!$A$5:$A$500=$O$1),--('2026'!$J$5:$J$500=$B23))</f>
        <v>0</v>
      </c>
      <c r="Q23" s="50">
        <f>SUMPRODUCT(--('2026'!$A$5:$A$500=$Q$1),--('2026'!$C$5:$C$500=$B23))+SUMPRODUCT(--('2026'!$A$5:$A$500=$Q$1),--('2026'!$F$5:$F$500=$B23))+SUMPRODUCT(--('2026'!$A$5:$A$500=$Q$1),--('2026'!$D$5:$D$500=$B23))+SUMPRODUCT(--('2026'!$A$5:$A$500=$Q$1),--('2026'!$G$5:$G$500=$B23))</f>
        <v>0</v>
      </c>
      <c r="R23" s="50">
        <f>SUMPRODUCT(--('2026'!$A$5:$A$500=$Q$1),--('2026'!$I$5:$I$500=$B23))+SUMPRODUCT(--('2026'!$A$5:$A$500=$Q$1),--('2026'!$J$5:$J$500=$B23))</f>
        <v>0</v>
      </c>
      <c r="S23" s="50">
        <f>SUMPRODUCT(--('2026'!$A$5:$A$500=$S$1),--('2026'!$C$5:$C$500=$B23))+SUMPRODUCT(--('2026'!$A$5:$A$500=$S$1),--('2026'!$F$5:$F$500=$B23))+SUMPRODUCT(--('2026'!$A$5:$A$500=$S$1),--('2026'!$D$5:$D$500=$B23))+SUMPRODUCT(--('2026'!$A$5:$A$500=$S$1),--('2026'!$G$5:$G$500=$B23))</f>
        <v>0</v>
      </c>
      <c r="T23" s="50">
        <f>SUMPRODUCT(--('2026'!$A$5:$A$500=$S$1),--('2026'!$I$5:$I$500=$B23))+SUMPRODUCT(--('2026'!$A$5:$A$500=$S$1),--('2026'!$J$5:$J$500=$B23))</f>
        <v>0</v>
      </c>
      <c r="U23" s="50">
        <f>SUMPRODUCT(--('2026'!$A$5:$A$500=$U$1),--('2026'!$C$5:$C$500=$B23))+SUMPRODUCT(--('2026'!$A$5:$A$500=$U$1),--('2026'!$F$5:$F$500=$B23))+SUMPRODUCT(--('2026'!$A$5:$A$500=$U$1),--('2026'!$D$5:$D$500=$B23))+SUMPRODUCT(--('2026'!$A$5:$A$500=$U$1),--('2026'!$G$5:$G$500=$B23))</f>
        <v>0</v>
      </c>
      <c r="V23" s="50">
        <f>SUMPRODUCT(--('2026'!$A$5:$A$500=$U$1),--('2026'!$I$5:$I$500=$B23))+SUMPRODUCT(--('2026'!$A$5:$A$500=$U$1),--('2026'!$J$5:$J$500=$B23))</f>
        <v>0</v>
      </c>
      <c r="W23" s="60">
        <f>SUMPRODUCT(--('2026'!$A$5:$A$500=$W$1),--('2026'!$C$5:$C$500=$B23))+SUMPRODUCT(--('2026'!$A$5:$A$500=$W$1),--('2026'!$F$5:$F$500=$B23))+SUMPRODUCT(--('2026'!$A$5:$A$500=$W$1),--('2026'!$D$5:$D$500=$B23))+SUMPRODUCT(--('2026'!$A$5:$A$500=$W$1),--('2026'!$G$5:$G$500=$B23))</f>
        <v>0</v>
      </c>
      <c r="X23" s="60">
        <f>SUMPRODUCT(--('2026'!$A$5:$A$500=$W$1),--('2026'!$I$5:$I$500=$B23))+SUMPRODUCT(--('2026'!$A$5:$A$500=$W$1),--('2026'!$J$5:$J$500=$B23))</f>
        <v>0</v>
      </c>
      <c r="Y23" s="51">
        <f>SUMPRODUCT(--('2026'!$A$5:$A$500=$Y$1),--('2026'!$C$5:$C$500=$B23))+SUMPRODUCT(--('2026'!$A$5:$A$500=$Y$1),--('2026'!$F$5:$F$500=$B23))+SUMPRODUCT(--('2026'!$A$5:$A$500=$Y$1),--('2026'!$D$5:$D$500=$B23))+SUMPRODUCT(--('2026'!$A$5:$A$500=$Y$1),--('2026'!$G$5:$G$500=$B23))</f>
        <v>0</v>
      </c>
      <c r="Z23" s="51">
        <f>SUMPRODUCT(--('2026'!$A$5:$A$500=$Y$1),--('2026'!$I$5:$I$500=$B23))+SUMPRODUCT(--('2026'!$A$5:$A$500=$Y$1),--('2026'!$J$5:$J$500=$B23))</f>
        <v>0</v>
      </c>
      <c r="AA23" s="51">
        <f>SUMPRODUCT(--('2026'!$A$5:$A$500=$AA$1),--('2026'!$C$5:$C$500=$B23))+SUMPRODUCT(--('2026'!$A$5:$A$500=$AA$1),--('2026'!$F$5:$F$500=$B23))+SUMPRODUCT(--('2026'!$A$5:$A$500=$AA$1),--('2026'!$D$5:$D$500=$B23))+SUMPRODUCT(--('2026'!$A$5:$A$500=$AA$1),--('2026'!$G$5:$G$500=$B23))</f>
        <v>0</v>
      </c>
      <c r="AB23" s="51">
        <f>SUMPRODUCT(--('2026'!$A$5:$A$500=$AA$1),--('2026'!$I$5:$I$500=$B23))+SUMPRODUCT(--('2026'!$A$5:$A$500=$AA$1),--('2026'!$J$5:$J$500=$B23))</f>
        <v>0</v>
      </c>
      <c r="AC23" s="51">
        <f>SUMPRODUCT(--('2026'!$A$5:$A$500=$AC$1),--('2026'!$C$5:$C$500=$B23))+SUMPRODUCT(--('2026'!$A$5:$A$500=$AC$1),--('2026'!$F$5:$F$500=$B23))+SUMPRODUCT(--('2026'!$A$5:$A$500=$AC$1),--('2026'!$D$5:$D$500=$B23))+SUMPRODUCT(--('2026'!$A$5:$A$500=$AC$1),--('2026'!$G$5:$G$500=$B23))</f>
        <v>0</v>
      </c>
      <c r="AD23" s="51">
        <f>SUMPRODUCT(--('2026'!$A$5:$A$500=$AC$1),--('2026'!$I$5:$I$500=$B23))+SUMPRODUCT(--('2026'!$A$5:$A$500=$AC$1),--('2026'!$J$5:$J$500=$B23))</f>
        <v>0</v>
      </c>
      <c r="AE23" s="61">
        <f>SUMPRODUCT(--('2026'!$A$5:$A$500=$AE$1),--('2026'!$C$5:$C$500=$B23))+SUMPRODUCT(--('2026'!$A$5:$A$500=$AE$1),--('2026'!$F$5:$F$500=$B23))+SUMPRODUCT(--('2026'!$A$5:$A$500=$AE$1),--('2026'!$D$5:$D$500=$B23))+SUMPRODUCT(--('2026'!$A$5:$A$500=$AE$1),--('2026'!$G$5:$G$500=$B23))</f>
        <v>0</v>
      </c>
      <c r="AF23" s="61">
        <f>SUMPRODUCT(--('2026'!$A$5:$A$500=$AE$1),--('2026'!$I$5:$I$500=$B23))+SUMPRODUCT(--('2026'!$A$5:$A$500=$AE$1),--('2026'!$J$5:$J$500=$B23))</f>
        <v>0</v>
      </c>
      <c r="AG23" s="51">
        <f>SUMPRODUCT(--('2026'!$A$5:$A$500=$AG$1),--('2026'!$C$5:$C$500=$B23))+SUMPRODUCT(--('2026'!$A$5:$A$500=$AG$1),--('2026'!$F$5:$F$500=$B23))+SUMPRODUCT(--('2026'!$A$5:$A$500=$AG$1),--('2026'!$D$5:$D$500=$B23))+SUMPRODUCT(--('2026'!$A$5:$A$500=$AG$1),--('2026'!$G$5:$G$500=$B23))</f>
        <v>0</v>
      </c>
      <c r="AH23" s="51">
        <f>SUMPRODUCT(--('2026'!$A$5:$A$500=$AG$1),--('2026'!$I$5:$I$500=$B23))+SUMPRODUCT(--('2026'!$A$5:$A$500=$AG$1),--('2026'!$J$5:$J$500=$B23))</f>
        <v>0</v>
      </c>
      <c r="AI23" s="51">
        <f>SUMPRODUCT(--('2026'!$A$5:$A$500=$AI$1),--('2026'!$C$5:$C$500=$B23))+SUMPRODUCT(--('2026'!$A$5:$A$500=$AI$1),--('2026'!$F$5:$F$500=$B23))+SUMPRODUCT(--('2026'!$A$5:$A$500=$AI$1),--('2026'!$D$5:$D$500=$B23))+SUMPRODUCT(--('2026'!$A$5:$A$500=$AI$1),--('2026'!$G$5:$G$500=$B23))</f>
        <v>0</v>
      </c>
      <c r="AJ23" s="51">
        <f>SUMPRODUCT(--('2026'!$A$5:$A$500=$AI$1),--('2026'!$I$5:$I$500=$B23))+SUMPRODUCT(--('2026'!$A$5:$A$500=$AI$1),--('2026'!$J$5:$J$500=$B23))</f>
        <v>0</v>
      </c>
      <c r="AK23" s="51">
        <f>SUMPRODUCT(--('2026'!$A$5:$A$500=$AK$1),--('2026'!$C$5:$C$500=$B23))+SUMPRODUCT(--('2026'!$A$5:$A$500=$AK$1),--('2026'!$F$5:$F$500=$B23))+SUMPRODUCT(--('2026'!$A$5:$A$500=$AK$1),--('2026'!$D$5:$D$500=$B23))+SUMPRODUCT(--('2026'!$A$5:$A$500=$AK$1),--('2026'!$G$5:$G$500=$B23))</f>
        <v>0</v>
      </c>
      <c r="AL23" s="51">
        <f>SUMPRODUCT(--('2026'!$A$5:$A$500=$AK$1),--('2026'!$I$5:$I$500=$B23))+SUMPRODUCT(--('2026'!$A$5:$A$500=$AK$1),--('2026'!$J$5:$J$500=$B23))</f>
        <v>0</v>
      </c>
      <c r="AM23" s="51">
        <f>SUMPRODUCT(--('2026'!$A$5:$A$500=$AM$1),--('2026'!$C$5:$C$500=$B23))+SUMPRODUCT(--('2026'!$A$5:$A$500=$AM$1),--('2026'!$F$5:$F$500=$B23))+SUMPRODUCT(--('2026'!$A$5:$A$500=$AM$1),--('2026'!$D$5:$D$500=$B23))+SUMPRODUCT(--('2026'!$A$5:$A$500=$AM$1),--('2026'!$G$5:$G$500=$B23))</f>
        <v>0</v>
      </c>
      <c r="AN23" s="51">
        <f>SUMPRODUCT(--('2026'!$A$5:$A$500=$AM$1),--('2026'!$I$5:$I$500=$B23))+SUMPRODUCT(--('2026'!$A$5:$A$500=$AM$1),--('2026'!$J$5:$J$500=$B23))</f>
        <v>0</v>
      </c>
      <c r="AO23" s="51">
        <f>SUMPRODUCT(--('2026'!$A$5:$A$500=$AO$1),--('2026'!$C$5:$C$500=$B23))+SUMPRODUCT(--('2026'!$A$5:$A$500=$AO$1),--('2026'!$F$5:$F$500=$B23))+SUMPRODUCT(--('2026'!$A$5:$A$500=$AO$1),--('2026'!$D$5:$D$500=$B23))+SUMPRODUCT(--('2026'!$A$5:$A$500=$AO$1),--('2026'!$G$5:$G$500=$B23))</f>
        <v>0</v>
      </c>
      <c r="AP23" s="51">
        <f>SUMPRODUCT(--('2026'!$A$5:$A$500=$AO$1),--('2026'!$I$5:$I$500=$B23))+SUMPRODUCT(--('2026'!$A$5:$A$500=$AO$1),--('2026'!$J$5:$J$500=$B23))</f>
        <v>0</v>
      </c>
      <c r="AQ23" s="51">
        <f>SUMPRODUCT(--('2026'!$A$5:$A$500=$AQ$1),--('2026'!$C$5:$C$500=$B23))+SUMPRODUCT(--('2026'!$A$5:$A$500=$AQ$1),--('2026'!$F$5:$F$500=$B23))+SUMPRODUCT(--('2026'!$A$5:$A$500=$AQ$1),--('2026'!$D$5:$D$500=$B23))+SUMPRODUCT(--('2026'!$A$5:$A$500=$AQ$1),--('2026'!$G$5:$G$500=$B23))</f>
        <v>0</v>
      </c>
      <c r="AR23" s="51">
        <f>SUMPRODUCT(--('2026'!$A$5:$A$500=$AQ$1),--('2026'!$I$5:$I$500=$B23))+SUMPRODUCT(--('2026'!$A$5:$A$500=$AQ$1),--('2026'!$J$5:$J$500=$B23))</f>
        <v>0</v>
      </c>
      <c r="AS23" s="51">
        <f>SUMPRODUCT(--('2026'!$A$5:$A$500=$AS$1),--('2026'!$C$5:$C$500=$B23))+SUMPRODUCT(--('2026'!$A$5:$A$500=$AS$1),--('2026'!$F$5:$F$500=$B23))+SUMPRODUCT(--('2026'!$A$5:$A$500=$AS$1),--('2026'!$D$5:$D$500=$B23))+SUMPRODUCT(--('2026'!$A$5:$A$500=$AS$1),--('2026'!$G$5:$G$500=$B23))</f>
        <v>0</v>
      </c>
      <c r="AT23" s="51">
        <f>SUMPRODUCT(--('2026'!$A$5:$A$500=$AS$1),--('2026'!$I$5:$I$500=$B23))+SUMPRODUCT(--('2026'!$A$5:$A$500=$AS$1),--('2026'!$J$5:$J$500=$B23))</f>
        <v>0</v>
      </c>
      <c r="AU23" s="51">
        <f>SUMPRODUCT(--('2026'!$A$5:$A$500=$AU$1),--('2026'!$C$5:$C$500=$B23))+SUMPRODUCT(--('2026'!$A$5:$A$500=$AU$1),--('2026'!$F$5:$F$500=$B23))+SUMPRODUCT(--('2026'!$A$5:$A$500=$AU$1),--('2026'!$D$5:$D$500=$B23))+SUMPRODUCT(--('2026'!$A$5:$A$500=$AU$1),--('2026'!$G$5:$G$500=$B23))</f>
        <v>0</v>
      </c>
      <c r="AV23" s="51">
        <f>SUMPRODUCT(--('2026'!$A$5:$A$500=$AU$1),--('2026'!$I$5:$I$500=$B23))+SUMPRODUCT(--('2026'!$A$5:$A$500=$AU$1),--('2026'!$J$5:$J$500=$B23))</f>
        <v>0</v>
      </c>
      <c r="AW23" s="51">
        <f>SUMPRODUCT(--('2026'!$A$5:$A$500=$AW$1),--('2026'!$C$5:$C$500=$B23))+SUMPRODUCT(--('2026'!$A$5:$A$500=$AW$1),--('2026'!$F$5:$F$500=$B23))+SUMPRODUCT(--('2026'!$A$5:$A$500=$AW$1),--('2026'!$D$5:$D$500=$B23))+SUMPRODUCT(--('2026'!$A$5:$A$500=$AW$1),--('2026'!$G$5:$G$500=$B23))</f>
        <v>0</v>
      </c>
      <c r="AX23" s="51">
        <f>SUMPRODUCT(--('2026'!$A$5:$A$500=$AW$1),--('2026'!$I$5:$I$500=$B23))+SUMPRODUCT(--('2026'!$A$5:$A$500=$AW$1),--('2026'!$J$5:$J$500=$B23))</f>
        <v>0</v>
      </c>
      <c r="BA23" s="54" t="s">
        <v>42</v>
      </c>
      <c r="BB23" s="47">
        <f t="shared" si="2"/>
        <v>0</v>
      </c>
      <c r="BC23" s="52">
        <f t="shared" si="3"/>
        <v>0</v>
      </c>
    </row>
    <row r="24" spans="1:55" ht="15" x14ac:dyDescent="0.25">
      <c r="A24">
        <v>22</v>
      </c>
      <c r="B24" s="54" t="s">
        <v>6</v>
      </c>
      <c r="C24" s="50">
        <f>SUMPRODUCT(--('2026'!$A$5:$A$500=$C$1),--('2026'!$C$5:$C$500=$B24))+SUMPRODUCT(--('2026'!$A$5:$A$500=$C$1),--('2026'!$F$5:$F$500=$B24))+SUMPRODUCT(--('2026'!$A$5:$A$500=$C$1),--('2026'!$D$5:$D$500=$B24))+SUMPRODUCT(--('2026'!$A$5:$A$500=$C$1),--('2026'!$G$5:$G$500=$B24))</f>
        <v>0</v>
      </c>
      <c r="D24" s="50">
        <f>SUMPRODUCT(--('2026'!$A$5:$A$500=$C$1),--('2026'!$I$5:$I$500=$B24))+SUMPRODUCT(--('2026'!$A$5:$A$500=$C$1),--('2026'!$J$5:$J$500=$B24))</f>
        <v>0</v>
      </c>
      <c r="E24" s="50">
        <f>SUMPRODUCT(--('2026'!$A$5:$A$500=$E$1),--('2026'!$C$5:$C$500=$B24))+SUMPRODUCT(--('2026'!$A$5:$A$500=$E$1),--('2026'!$F$5:$F$500=$B24))+SUMPRODUCT(--('2026'!$A$5:$A$500=$E$1),--('2026'!$D$5:$D$500=$B24))+SUMPRODUCT(--('2026'!$A$5:$A$500=$E$1),--('2026'!$G$5:$G$500=$B24))</f>
        <v>0</v>
      </c>
      <c r="F24" s="50">
        <f>SUMPRODUCT(--('2026'!$A$5:$A$500=$E$1),--('2026'!$I$5:$I$500=$B24))+SUMPRODUCT(--('2026'!$A$5:$A$500=$E$1),--('2026'!$J$5:$J$500=$B24))</f>
        <v>0</v>
      </c>
      <c r="G24" s="50">
        <f>SUMPRODUCT(--('2026'!$A$5:$A$500=$G$1),--('2026'!$C$5:$C$500=$B24))+SUMPRODUCT(--('2026'!$A$5:$A$500=$G$1),--('2026'!$F$5:$F$500=$B24))+SUMPRODUCT(--('2026'!$A$5:$A$500=$G$1),--('2026'!$D$5:$D$500=$B24))+SUMPRODUCT(--('2026'!$A$5:$A$500=$G$1),--('2026'!$G$5:$G$500=$B24))</f>
        <v>0</v>
      </c>
      <c r="H24" s="50">
        <f>SUMPRODUCT(--('2026'!$A$5:$A$500=$G$1),--('2026'!$I$5:$I$500=$B24))+SUMPRODUCT(--('2026'!$A$5:$A$500=$G$1),--('2026'!$J$5:$J$500=$B24))</f>
        <v>0</v>
      </c>
      <c r="I24" s="50">
        <f>SUMPRODUCT(--('2026'!$A$5:$A$500=$I$1),--('2026'!$C$5:$C$500=$B24))+SUMPRODUCT(--('2026'!$A$5:$A$500=$I$1),--('2026'!$F$5:$F$500=$B24))+SUMPRODUCT(--('2026'!$A$5:$A$500=$I$1),--('2026'!$D$5:$D$500=$B24))+SUMPRODUCT(--('2026'!$A$5:$A$500=$I$1),--('2026'!$G$5:$G$500=$B24))</f>
        <v>0</v>
      </c>
      <c r="J24" s="50">
        <f>SUMPRODUCT(--('2026'!$A$5:$A$500=$I$1),--('2026'!$I$5:$I$500=$B24))+SUMPRODUCT(--('2026'!$A$5:$A$500=$I$1),--('2026'!$J$5:$J$500=$B24))</f>
        <v>0</v>
      </c>
      <c r="K24" s="50">
        <f>SUMPRODUCT(--('2026'!$A$5:$A$500=$K$1),--('2026'!$C$5:$C$500=$B24))+SUMPRODUCT(--('2026'!$A$5:$A$500=$K$1),--('2026'!$F$5:$F$500=$B24))+SUMPRODUCT(--('2026'!$A$5:$A$500=$K$1),--('2026'!$D$5:$D$500=$B24))+SUMPRODUCT(--('2026'!$A$5:$A$500=$K$1),--('2026'!$G$5:$G$500=$B24))</f>
        <v>0</v>
      </c>
      <c r="L24" s="50">
        <f>SUMPRODUCT(--('2026'!$A$5:$A$500=$K$1),--('2026'!$I$5:$I$500=$B24))+SUMPRODUCT(--('2026'!$A$5:$A$500=$K$1),--('2026'!$J$5:$J$500=$B24))</f>
        <v>0</v>
      </c>
      <c r="M24" s="50">
        <f>SUMPRODUCT(--('2026'!$A$5:$A$500=$M$1),--('2026'!$C$5:$C$500=$B24))+SUMPRODUCT(--('2026'!$A$5:$A$500=$M$1),--('2026'!$F$5:$F$500=$B24))+SUMPRODUCT(--('2026'!$A$5:$A$500=$M$1),--('2026'!$D$5:$D$500=$B24))+SUMPRODUCT(--('2026'!$A$5:$A$500=$M$1),--('2026'!$G$5:$G$500=$B24))</f>
        <v>0</v>
      </c>
      <c r="N24" s="50">
        <f>SUMPRODUCT(--('2026'!$A$5:$A$500=$M$1),--('2026'!$I$5:$I$500=$B24))+SUMPRODUCT(--('2026'!$A$5:$A$500=$M$1),--('2026'!$J$5:$J$500=$B24))</f>
        <v>0</v>
      </c>
      <c r="O24" s="50">
        <f>SUMPRODUCT(--('2026'!$A$5:$A$500=$O$1),--('2026'!$C$5:$C$500=$B24))+SUMPRODUCT(--('2026'!$A$5:$A$500=$O$1),--('2026'!$F$5:$F$500=$B24))+SUMPRODUCT(--('2026'!$A$5:$A$500=$O$1),--('2026'!$D$5:$D$500=$B24))+SUMPRODUCT(--('2026'!$A$5:$A$500=$O$1),--('2026'!$G$5:$G$500=$B24))</f>
        <v>0</v>
      </c>
      <c r="P24" s="50">
        <f>SUMPRODUCT(--('2026'!$A$5:$A$500=$O$1),--('2026'!$I$5:$I$500=$B24))+SUMPRODUCT(--('2026'!$A$5:$A$500=$O$1),--('2026'!$J$5:$J$500=$B24))</f>
        <v>0</v>
      </c>
      <c r="Q24" s="50">
        <f>SUMPRODUCT(--('2026'!$A$5:$A$500=$Q$1),--('2026'!$C$5:$C$500=$B24))+SUMPRODUCT(--('2026'!$A$5:$A$500=$Q$1),--('2026'!$F$5:$F$500=$B24))+SUMPRODUCT(--('2026'!$A$5:$A$500=$Q$1),--('2026'!$D$5:$D$500=$B24))+SUMPRODUCT(--('2026'!$A$5:$A$500=$Q$1),--('2026'!$G$5:$G$500=$B24))</f>
        <v>0</v>
      </c>
      <c r="R24" s="50">
        <f>SUMPRODUCT(--('2026'!$A$5:$A$500=$Q$1),--('2026'!$I$5:$I$500=$B24))+SUMPRODUCT(--('2026'!$A$5:$A$500=$Q$1),--('2026'!$J$5:$J$500=$B24))</f>
        <v>0</v>
      </c>
      <c r="S24" s="50">
        <f>SUMPRODUCT(--('2026'!$A$5:$A$500=$S$1),--('2026'!$C$5:$C$500=$B24))+SUMPRODUCT(--('2026'!$A$5:$A$500=$S$1),--('2026'!$F$5:$F$500=$B24))+SUMPRODUCT(--('2026'!$A$5:$A$500=$S$1),--('2026'!$D$5:$D$500=$B24))+SUMPRODUCT(--('2026'!$A$5:$A$500=$S$1),--('2026'!$G$5:$G$500=$B24))</f>
        <v>0</v>
      </c>
      <c r="T24" s="50">
        <f>SUMPRODUCT(--('2026'!$A$5:$A$500=$S$1),--('2026'!$I$5:$I$500=$B24))+SUMPRODUCT(--('2026'!$A$5:$A$500=$S$1),--('2026'!$J$5:$J$500=$B24))</f>
        <v>0</v>
      </c>
      <c r="U24" s="50">
        <f>SUMPRODUCT(--('2026'!$A$5:$A$500=$U$1),--('2026'!$C$5:$C$500=$B24))+SUMPRODUCT(--('2026'!$A$5:$A$500=$U$1),--('2026'!$F$5:$F$500=$B24))+SUMPRODUCT(--('2026'!$A$5:$A$500=$U$1),--('2026'!$D$5:$D$500=$B24))+SUMPRODUCT(--('2026'!$A$5:$A$500=$U$1),--('2026'!$G$5:$G$500=$B24))</f>
        <v>0</v>
      </c>
      <c r="V24" s="50">
        <f>SUMPRODUCT(--('2026'!$A$5:$A$500=$U$1),--('2026'!$I$5:$I$500=$B24))+SUMPRODUCT(--('2026'!$A$5:$A$500=$U$1),--('2026'!$J$5:$J$500=$B24))</f>
        <v>0</v>
      </c>
      <c r="W24" s="60">
        <f>SUMPRODUCT(--('2026'!$A$5:$A$500=$W$1),--('2026'!$C$5:$C$500=$B24))+SUMPRODUCT(--('2026'!$A$5:$A$500=$W$1),--('2026'!$F$5:$F$500=$B24))+SUMPRODUCT(--('2026'!$A$5:$A$500=$W$1),--('2026'!$D$5:$D$500=$B24))+SUMPRODUCT(--('2026'!$A$5:$A$500=$W$1),--('2026'!$G$5:$G$500=$B24))</f>
        <v>0</v>
      </c>
      <c r="X24" s="60">
        <f>SUMPRODUCT(--('2026'!$A$5:$A$500=$W$1),--('2026'!$I$5:$I$500=$B24))+SUMPRODUCT(--('2026'!$A$5:$A$500=$W$1),--('2026'!$J$5:$J$500=$B24))</f>
        <v>0</v>
      </c>
      <c r="Y24" s="51">
        <f>SUMPRODUCT(--('2026'!$A$5:$A$500=$Y$1),--('2026'!$C$5:$C$500=$B24))+SUMPRODUCT(--('2026'!$A$5:$A$500=$Y$1),--('2026'!$F$5:$F$500=$B24))+SUMPRODUCT(--('2026'!$A$5:$A$500=$Y$1),--('2026'!$D$5:$D$500=$B24))+SUMPRODUCT(--('2026'!$A$5:$A$500=$Y$1),--('2026'!$G$5:$G$500=$B24))</f>
        <v>0</v>
      </c>
      <c r="Z24" s="51">
        <f>SUMPRODUCT(--('2026'!$A$5:$A$500=$Y$1),--('2026'!$I$5:$I$500=$B24))+SUMPRODUCT(--('2026'!$A$5:$A$500=$Y$1),--('2026'!$J$5:$J$500=$B24))</f>
        <v>0</v>
      </c>
      <c r="AA24" s="51">
        <f>SUMPRODUCT(--('2026'!$A$5:$A$500=$AA$1),--('2026'!$C$5:$C$500=$B24))+SUMPRODUCT(--('2026'!$A$5:$A$500=$AA$1),--('2026'!$F$5:$F$500=$B24))+SUMPRODUCT(--('2026'!$A$5:$A$500=$AA$1),--('2026'!$D$5:$D$500=$B24))+SUMPRODUCT(--('2026'!$A$5:$A$500=$AA$1),--('2026'!$G$5:$G$500=$B24))</f>
        <v>0</v>
      </c>
      <c r="AB24" s="51">
        <f>SUMPRODUCT(--('2026'!$A$5:$A$500=$AA$1),--('2026'!$I$5:$I$500=$B24))+SUMPRODUCT(--('2026'!$A$5:$A$500=$AA$1),--('2026'!$J$5:$J$500=$B24))</f>
        <v>0</v>
      </c>
      <c r="AC24" s="51">
        <f>SUMPRODUCT(--('2026'!$A$5:$A$500=$AC$1),--('2026'!$C$5:$C$500=$B24))+SUMPRODUCT(--('2026'!$A$5:$A$500=$AC$1),--('2026'!$F$5:$F$500=$B24))+SUMPRODUCT(--('2026'!$A$5:$A$500=$AC$1),--('2026'!$D$5:$D$500=$B24))+SUMPRODUCT(--('2026'!$A$5:$A$500=$AC$1),--('2026'!$G$5:$G$500=$B24))</f>
        <v>0</v>
      </c>
      <c r="AD24" s="51">
        <f>SUMPRODUCT(--('2026'!$A$5:$A$500=$AC$1),--('2026'!$I$5:$I$500=$B24))+SUMPRODUCT(--('2026'!$A$5:$A$500=$AC$1),--('2026'!$J$5:$J$500=$B24))</f>
        <v>0</v>
      </c>
      <c r="AE24" s="51">
        <f>SUMPRODUCT(--('2026'!$A$5:$A$500=$AE$1),--('2026'!$C$5:$C$500=$B24))+SUMPRODUCT(--('2026'!$A$5:$A$500=$AE$1),--('2026'!$F$5:$F$500=$B24))+SUMPRODUCT(--('2026'!$A$5:$A$500=$AE$1),--('2026'!$D$5:$D$500=$B24))+SUMPRODUCT(--('2026'!$A$5:$A$500=$AE$1),--('2026'!$G$5:$G$500=$B24))</f>
        <v>0</v>
      </c>
      <c r="AF24" s="51">
        <f>SUMPRODUCT(--('2026'!$A$5:$A$500=$AE$1),--('2026'!$I$5:$I$500=$B24))+SUMPRODUCT(--('2026'!$A$5:$A$500=$AE$1),--('2026'!$J$5:$J$500=$B24))</f>
        <v>0</v>
      </c>
      <c r="AG24" s="51">
        <f>SUMPRODUCT(--('2026'!$A$5:$A$500=$AG$1),--('2026'!$C$5:$C$500=$B24))+SUMPRODUCT(--('2026'!$A$5:$A$500=$AG$1),--('2026'!$F$5:$F$500=$B24))+SUMPRODUCT(--('2026'!$A$5:$A$500=$AG$1),--('2026'!$D$5:$D$500=$B24))+SUMPRODUCT(--('2026'!$A$5:$A$500=$AG$1),--('2026'!$G$5:$G$500=$B24))</f>
        <v>0</v>
      </c>
      <c r="AH24" s="51">
        <f>SUMPRODUCT(--('2026'!$A$5:$A$500=$AG$1),--('2026'!$I$5:$I$500=$B24))+SUMPRODUCT(--('2026'!$A$5:$A$500=$AG$1),--('2026'!$J$5:$J$500=$B24))</f>
        <v>0</v>
      </c>
      <c r="AI24" s="51">
        <f>SUMPRODUCT(--('2026'!$A$5:$A$500=$AI$1),--('2026'!$C$5:$C$500=$B24))+SUMPRODUCT(--('2026'!$A$5:$A$500=$AI$1),--('2026'!$F$5:$F$500=$B24))+SUMPRODUCT(--('2026'!$A$5:$A$500=$AI$1),--('2026'!$D$5:$D$500=$B24))+SUMPRODUCT(--('2026'!$A$5:$A$500=$AI$1),--('2026'!$G$5:$G$500=$B24))</f>
        <v>0</v>
      </c>
      <c r="AJ24" s="51">
        <f>SUMPRODUCT(--('2026'!$A$5:$A$500=$AI$1),--('2026'!$I$5:$I$500=$B24))+SUMPRODUCT(--('2026'!$A$5:$A$500=$AI$1),--('2026'!$J$5:$J$500=$B24))</f>
        <v>0</v>
      </c>
      <c r="AK24" s="51">
        <f>SUMPRODUCT(--('2026'!$A$5:$A$500=$AK$1),--('2026'!$C$5:$C$500=$B24))+SUMPRODUCT(--('2026'!$A$5:$A$500=$AK$1),--('2026'!$F$5:$F$500=$B24))+SUMPRODUCT(--('2026'!$A$5:$A$500=$AK$1),--('2026'!$D$5:$D$500=$B24))+SUMPRODUCT(--('2026'!$A$5:$A$500=$AK$1),--('2026'!$G$5:$G$500=$B24))</f>
        <v>0</v>
      </c>
      <c r="AL24" s="51">
        <f>SUMPRODUCT(--('2026'!$A$5:$A$500=$AK$1),--('2026'!$I$5:$I$500=$B24))+SUMPRODUCT(--('2026'!$A$5:$A$500=$AK$1),--('2026'!$J$5:$J$500=$B24))</f>
        <v>0</v>
      </c>
      <c r="AM24" s="51">
        <f>SUMPRODUCT(--('2026'!$A$5:$A$500=$AM$1),--('2026'!$C$5:$C$500=$B24))+SUMPRODUCT(--('2026'!$A$5:$A$500=$AM$1),--('2026'!$F$5:$F$500=$B24))+SUMPRODUCT(--('2026'!$A$5:$A$500=$AM$1),--('2026'!$D$5:$D$500=$B24))+SUMPRODUCT(--('2026'!$A$5:$A$500=$AM$1),--('2026'!$G$5:$G$500=$B24))</f>
        <v>0</v>
      </c>
      <c r="AN24" s="51">
        <f>SUMPRODUCT(--('2026'!$A$5:$A$500=$AM$1),--('2026'!$I$5:$I$500=$B24))+SUMPRODUCT(--('2026'!$A$5:$A$500=$AM$1),--('2026'!$J$5:$J$500=$B24))</f>
        <v>0</v>
      </c>
      <c r="AO24" s="51">
        <f>SUMPRODUCT(--('2026'!$A$5:$A$500=$AO$1),--('2026'!$C$5:$C$500=$B24))+SUMPRODUCT(--('2026'!$A$5:$A$500=$AO$1),--('2026'!$F$5:$F$500=$B24))+SUMPRODUCT(--('2026'!$A$5:$A$500=$AO$1),--('2026'!$D$5:$D$500=$B24))+SUMPRODUCT(--('2026'!$A$5:$A$500=$AO$1),--('2026'!$G$5:$G$500=$B24))</f>
        <v>0</v>
      </c>
      <c r="AP24" s="51">
        <f>SUMPRODUCT(--('2026'!$A$5:$A$500=$AO$1),--('2026'!$I$5:$I$500=$B24))+SUMPRODUCT(--('2026'!$A$5:$A$500=$AO$1),--('2026'!$J$5:$J$500=$B24))</f>
        <v>0</v>
      </c>
      <c r="AQ24" s="51">
        <f>SUMPRODUCT(--('2026'!$A$5:$A$500=$AQ$1),--('2026'!$C$5:$C$500=$B24))+SUMPRODUCT(--('2026'!$A$5:$A$500=$AQ$1),--('2026'!$F$5:$F$500=$B24))+SUMPRODUCT(--('2026'!$A$5:$A$500=$AQ$1),--('2026'!$D$5:$D$500=$B24))+SUMPRODUCT(--('2026'!$A$5:$A$500=$AQ$1),--('2026'!$G$5:$G$500=$B24))</f>
        <v>0</v>
      </c>
      <c r="AR24" s="51">
        <f>SUMPRODUCT(--('2026'!$A$5:$A$500=$AQ$1),--('2026'!$I$5:$I$500=$B24))+SUMPRODUCT(--('2026'!$A$5:$A$500=$AQ$1),--('2026'!$J$5:$J$500=$B24))</f>
        <v>0</v>
      </c>
      <c r="AS24" s="51">
        <f>SUMPRODUCT(--('2026'!$A$5:$A$500=$AS$1),--('2026'!$C$5:$C$500=$B24))+SUMPRODUCT(--('2026'!$A$5:$A$500=$AS$1),--('2026'!$F$5:$F$500=$B24))+SUMPRODUCT(--('2026'!$A$5:$A$500=$AS$1),--('2026'!$D$5:$D$500=$B24))+SUMPRODUCT(--('2026'!$A$5:$A$500=$AS$1),--('2026'!$G$5:$G$500=$B24))</f>
        <v>0</v>
      </c>
      <c r="AT24" s="51">
        <f>SUMPRODUCT(--('2026'!$A$5:$A$500=$AS$1),--('2026'!$I$5:$I$500=$B24))+SUMPRODUCT(--('2026'!$A$5:$A$500=$AS$1),--('2026'!$J$5:$J$500=$B24))</f>
        <v>0</v>
      </c>
      <c r="AU24" s="51">
        <f>SUMPRODUCT(--('2026'!$A$5:$A$500=$AU$1),--('2026'!$C$5:$C$500=$B24))+SUMPRODUCT(--('2026'!$A$5:$A$500=$AU$1),--('2026'!$F$5:$F$500=$B24))+SUMPRODUCT(--('2026'!$A$5:$A$500=$AU$1),--('2026'!$D$5:$D$500=$B24))+SUMPRODUCT(--('2026'!$A$5:$A$500=$AU$1),--('2026'!$G$5:$G$500=$B24))</f>
        <v>0</v>
      </c>
      <c r="AV24" s="51">
        <f>SUMPRODUCT(--('2026'!$A$5:$A$500=$AU$1),--('2026'!$I$5:$I$500=$B24))+SUMPRODUCT(--('2026'!$A$5:$A$500=$AU$1),--('2026'!$J$5:$J$500=$B24))</f>
        <v>0</v>
      </c>
      <c r="AW24" s="51">
        <f>SUMPRODUCT(--('2026'!$A$5:$A$500=$AW$1),--('2026'!$C$5:$C$500=$B24))+SUMPRODUCT(--('2026'!$A$5:$A$500=$AW$1),--('2026'!$F$5:$F$500=$B24))+SUMPRODUCT(--('2026'!$A$5:$A$500=$AW$1),--('2026'!$D$5:$D$500=$B24))+SUMPRODUCT(--('2026'!$A$5:$A$500=$AW$1),--('2026'!$G$5:$G$500=$B24))</f>
        <v>0</v>
      </c>
      <c r="AX24" s="51">
        <f>SUMPRODUCT(--('2026'!$A$5:$A$500=$AW$1),--('2026'!$I$5:$I$500=$B24))+SUMPRODUCT(--('2026'!$A$5:$A$500=$AW$1),--('2026'!$J$5:$J$500=$B24))</f>
        <v>0</v>
      </c>
      <c r="BA24" s="54" t="s">
        <v>6</v>
      </c>
      <c r="BB24" s="47">
        <f t="shared" si="2"/>
        <v>0</v>
      </c>
      <c r="BC24" s="52">
        <f t="shared" si="3"/>
        <v>0</v>
      </c>
    </row>
    <row r="25" spans="1:55" ht="15" x14ac:dyDescent="0.25">
      <c r="A25">
        <v>23</v>
      </c>
      <c r="B25" s="54" t="s">
        <v>72</v>
      </c>
      <c r="C25" s="50">
        <f>SUMPRODUCT(--('2026'!$A$5:$A$500=$C$1),--('2026'!$C$5:$C$500=$B25))+SUMPRODUCT(--('2026'!$A$5:$A$500=$C$1),--('2026'!$F$5:$F$500=$B25))+SUMPRODUCT(--('2026'!$A$5:$A$500=$C$1),--('2026'!$D$5:$D$500=$B25))+SUMPRODUCT(--('2026'!$A$5:$A$500=$C$1),--('2026'!$G$5:$G$500=$B25))</f>
        <v>0</v>
      </c>
      <c r="D25" s="50">
        <f>SUMPRODUCT(--('2026'!$A$5:$A$500=$C$1),--('2026'!$I$5:$I$500=$B25))+SUMPRODUCT(--('2026'!$A$5:$A$500=$C$1),--('2026'!$J$5:$J$500=$B25))</f>
        <v>0</v>
      </c>
      <c r="E25" s="50">
        <f>SUMPRODUCT(--('2026'!$A$5:$A$500=$E$1),--('2026'!$C$5:$C$500=$B25))+SUMPRODUCT(--('2026'!$A$5:$A$500=$E$1),--('2026'!$F$5:$F$500=$B25))+SUMPRODUCT(--('2026'!$A$5:$A$500=$E$1),--('2026'!$D$5:$D$500=$B25))+SUMPRODUCT(--('2026'!$A$5:$A$500=$E$1),--('2026'!$G$5:$G$500=$B25))</f>
        <v>0</v>
      </c>
      <c r="F25" s="50">
        <f>SUMPRODUCT(--('2026'!$A$5:$A$500=$E$1),--('2026'!$I$5:$I$500=$B25))+SUMPRODUCT(--('2026'!$A$5:$A$500=$E$1),--('2026'!$J$5:$J$500=$B25))</f>
        <v>0</v>
      </c>
      <c r="G25" s="50">
        <f>SUMPRODUCT(--('2026'!$A$5:$A$500=$G$1),--('2026'!$C$5:$C$500=$B25))+SUMPRODUCT(--('2026'!$A$5:$A$500=$G$1),--('2026'!$F$5:$F$500=$B25))+SUMPRODUCT(--('2026'!$A$5:$A$500=$G$1),--('2026'!$D$5:$D$500=$B25))+SUMPRODUCT(--('2026'!$A$5:$A$500=$G$1),--('2026'!$G$5:$G$500=$B25))</f>
        <v>0</v>
      </c>
      <c r="H25" s="50">
        <f>SUMPRODUCT(--('2026'!$A$5:$A$500=$G$1),--('2026'!$I$5:$I$500=$B25))+SUMPRODUCT(--('2026'!$A$5:$A$500=$G$1),--('2026'!$J$5:$J$500=$B25))</f>
        <v>0</v>
      </c>
      <c r="I25" s="50">
        <f>SUMPRODUCT(--('2026'!$A$5:$A$500=$I$1),--('2026'!$C$5:$C$500=$B25))+SUMPRODUCT(--('2026'!$A$5:$A$500=$I$1),--('2026'!$F$5:$F$500=$B25))+SUMPRODUCT(--('2026'!$A$5:$A$500=$I$1),--('2026'!$D$5:$D$500=$B25))+SUMPRODUCT(--('2026'!$A$5:$A$500=$I$1),--('2026'!$G$5:$G$500=$B25))</f>
        <v>0</v>
      </c>
      <c r="J25" s="50">
        <f>SUMPRODUCT(--('2026'!$A$5:$A$500=$I$1),--('2026'!$I$5:$I$500=$B25))+SUMPRODUCT(--('2026'!$A$5:$A$500=$I$1),--('2026'!$J$5:$J$500=$B25))</f>
        <v>0</v>
      </c>
      <c r="K25" s="50">
        <f>SUMPRODUCT(--('2026'!$A$5:$A$500=$K$1),--('2026'!$C$5:$C$500=$B25))+SUMPRODUCT(--('2026'!$A$5:$A$500=$K$1),--('2026'!$F$5:$F$500=$B25))+SUMPRODUCT(--('2026'!$A$5:$A$500=$K$1),--('2026'!$D$5:$D$500=$B25))+SUMPRODUCT(--('2026'!$A$5:$A$500=$K$1),--('2026'!$G$5:$G$500=$B25))</f>
        <v>0</v>
      </c>
      <c r="L25" s="50">
        <f>SUMPRODUCT(--('2026'!$A$5:$A$500=$K$1),--('2026'!$I$5:$I$500=$B25))+SUMPRODUCT(--('2026'!$A$5:$A$500=$K$1),--('2026'!$J$5:$J$500=$B25))</f>
        <v>0</v>
      </c>
      <c r="M25" s="50">
        <f>SUMPRODUCT(--('2026'!$A$5:$A$500=$M$1),--('2026'!$C$5:$C$500=$B25))+SUMPRODUCT(--('2026'!$A$5:$A$500=$M$1),--('2026'!$F$5:$F$500=$B25))+SUMPRODUCT(--('2026'!$A$5:$A$500=$M$1),--('2026'!$D$5:$D$500=$B25))+SUMPRODUCT(--('2026'!$A$5:$A$500=$M$1),--('2026'!$G$5:$G$500=$B25))</f>
        <v>0</v>
      </c>
      <c r="N25" s="50">
        <f>SUMPRODUCT(--('2026'!$A$5:$A$500=$M$1),--('2026'!$I$5:$I$500=$B25))+SUMPRODUCT(--('2026'!$A$5:$A$500=$M$1),--('2026'!$J$5:$J$500=$B25))</f>
        <v>0</v>
      </c>
      <c r="O25" s="50">
        <f>SUMPRODUCT(--('2026'!$A$5:$A$500=$O$1),--('2026'!$C$5:$C$500=$B25))+SUMPRODUCT(--('2026'!$A$5:$A$500=$O$1),--('2026'!$F$5:$F$500=$B25))+SUMPRODUCT(--('2026'!$A$5:$A$500=$O$1),--('2026'!$D$5:$D$500=$B25))+SUMPRODUCT(--('2026'!$A$5:$A$500=$O$1),--('2026'!$G$5:$G$500=$B25))</f>
        <v>0</v>
      </c>
      <c r="P25" s="50">
        <f>SUMPRODUCT(--('2026'!$A$5:$A$500=$O$1),--('2026'!$I$5:$I$500=$B25))+SUMPRODUCT(--('2026'!$A$5:$A$500=$O$1),--('2026'!$J$5:$J$500=$B25))</f>
        <v>0</v>
      </c>
      <c r="Q25" s="50">
        <f>SUMPRODUCT(--('2026'!$A$5:$A$500=$Q$1),--('2026'!$C$5:$C$500=$B25))+SUMPRODUCT(--('2026'!$A$5:$A$500=$Q$1),--('2026'!$F$5:$F$500=$B25))+SUMPRODUCT(--('2026'!$A$5:$A$500=$Q$1),--('2026'!$D$5:$D$500=$B25))+SUMPRODUCT(--('2026'!$A$5:$A$500=$Q$1),--('2026'!$G$5:$G$500=$B25))</f>
        <v>0</v>
      </c>
      <c r="R25" s="50">
        <f>SUMPRODUCT(--('2026'!$A$5:$A$500=$Q$1),--('2026'!$I$5:$I$500=$B25))+SUMPRODUCT(--('2026'!$A$5:$A$500=$Q$1),--('2026'!$J$5:$J$500=$B25))</f>
        <v>0</v>
      </c>
      <c r="S25" s="50">
        <f>SUMPRODUCT(--('2026'!$A$5:$A$500=$S$1),--('2026'!$C$5:$C$500=$B25))+SUMPRODUCT(--('2026'!$A$5:$A$500=$S$1),--('2026'!$F$5:$F$500=$B25))+SUMPRODUCT(--('2026'!$A$5:$A$500=$S$1),--('2026'!$D$5:$D$500=$B25))+SUMPRODUCT(--('2026'!$A$5:$A$500=$S$1),--('2026'!$G$5:$G$500=$B25))</f>
        <v>0</v>
      </c>
      <c r="T25" s="50">
        <f>SUMPRODUCT(--('2026'!$A$5:$A$500=$S$1),--('2026'!$I$5:$I$500=$B25))+SUMPRODUCT(--('2026'!$A$5:$A$500=$S$1),--('2026'!$J$5:$J$500=$B25))</f>
        <v>0</v>
      </c>
      <c r="U25" s="50">
        <f>SUMPRODUCT(--('2026'!$A$5:$A$500=$U$1),--('2026'!$C$5:$C$500=$B25))+SUMPRODUCT(--('2026'!$A$5:$A$500=$U$1),--('2026'!$F$5:$F$500=$B25))+SUMPRODUCT(--('2026'!$A$5:$A$500=$U$1),--('2026'!$D$5:$D$500=$B25))+SUMPRODUCT(--('2026'!$A$5:$A$500=$U$1),--('2026'!$G$5:$G$500=$B25))</f>
        <v>0</v>
      </c>
      <c r="V25" s="50">
        <f>SUMPRODUCT(--('2026'!$A$5:$A$500=$U$1),--('2026'!$I$5:$I$500=$B25))+SUMPRODUCT(--('2026'!$A$5:$A$500=$U$1),--('2026'!$J$5:$J$500=$B25))</f>
        <v>0</v>
      </c>
      <c r="W25" s="60">
        <f>SUMPRODUCT(--('2026'!$A$5:$A$500=$W$1),--('2026'!$C$5:$C$500=$B25))+SUMPRODUCT(--('2026'!$A$5:$A$500=$W$1),--('2026'!$F$5:$F$500=$B25))+SUMPRODUCT(--('2026'!$A$5:$A$500=$W$1),--('2026'!$D$5:$D$500=$B25))+SUMPRODUCT(--('2026'!$A$5:$A$500=$W$1),--('2026'!$G$5:$G$500=$B25))</f>
        <v>0</v>
      </c>
      <c r="X25" s="60">
        <f>SUMPRODUCT(--('2026'!$A$5:$A$500=$W$1),--('2026'!$I$5:$I$500=$B25))+SUMPRODUCT(--('2026'!$A$5:$A$500=$W$1),--('2026'!$J$5:$J$500=$B25))</f>
        <v>0</v>
      </c>
      <c r="Y25" s="50">
        <f>SUMPRODUCT(--('2026'!$A$5:$A$500=$Y$1),--('2026'!$C$5:$C$500=$B25))+SUMPRODUCT(--('2026'!$A$5:$A$500=$Y$1),--('2026'!$F$5:$F$500=$B25))+SUMPRODUCT(--('2026'!$A$5:$A$500=$Y$1),--('2026'!$D$5:$D$500=$B25))+SUMPRODUCT(--('2026'!$A$5:$A$500=$Y$1),--('2026'!$G$5:$G$500=$B25))</f>
        <v>0</v>
      </c>
      <c r="Z25" s="50">
        <f>SUMPRODUCT(--('2026'!$A$5:$A$500=$Y$1),--('2026'!$I$5:$I$500=$B25))+SUMPRODUCT(--('2026'!$A$5:$A$500=$Y$1),--('2026'!$J$5:$J$500=$B25))</f>
        <v>0</v>
      </c>
      <c r="AA25" s="50">
        <f>SUMPRODUCT(--('2026'!$A$5:$A$500=$AA$1),--('2026'!$C$5:$C$500=$B25))+SUMPRODUCT(--('2026'!$A$5:$A$500=$AA$1),--('2026'!$F$5:$F$500=$B25))+SUMPRODUCT(--('2026'!$A$5:$A$500=$AA$1),--('2026'!$D$5:$D$500=$B25))+SUMPRODUCT(--('2026'!$A$5:$A$500=$AA$1),--('2026'!$G$5:$G$500=$B25))</f>
        <v>0</v>
      </c>
      <c r="AB25" s="50">
        <f>SUMPRODUCT(--('2026'!$A$5:$A$500=$AA$1),--('2026'!$I$5:$I$500=$B25))+SUMPRODUCT(--('2026'!$A$5:$A$500=$AA$1),--('2026'!$J$5:$J$500=$B25))</f>
        <v>0</v>
      </c>
      <c r="AC25" s="50">
        <f>SUMPRODUCT(--('2026'!$A$5:$A$500=$AC$1),--('2026'!$C$5:$C$500=$B25))+SUMPRODUCT(--('2026'!$A$5:$A$500=$AC$1),--('2026'!$F$5:$F$500=$B25))+SUMPRODUCT(--('2026'!$A$5:$A$500=$AC$1),--('2026'!$D$5:$D$500=$B25))+SUMPRODUCT(--('2026'!$A$5:$A$500=$AC$1),--('2026'!$G$5:$G$500=$B25))</f>
        <v>0</v>
      </c>
      <c r="AD25" s="50">
        <f>SUMPRODUCT(--('2026'!$A$5:$A$500=$AC$1),--('2026'!$I$5:$I$500=$B25))+SUMPRODUCT(--('2026'!$A$5:$A$500=$AC$1),--('2026'!$J$5:$J$500=$B25))</f>
        <v>0</v>
      </c>
      <c r="AE25" s="60">
        <f>SUMPRODUCT(--('2026'!$A$5:$A$500=$AE$1),--('2026'!$C$5:$C$500=$B25))+SUMPRODUCT(--('2026'!$A$5:$A$500=$AE$1),--('2026'!$F$5:$F$500=$B25))+SUMPRODUCT(--('2026'!$A$5:$A$500=$AE$1),--('2026'!$D$5:$D$500=$B25))+SUMPRODUCT(--('2026'!$A$5:$A$500=$AE$1),--('2026'!$G$5:$G$500=$B25))</f>
        <v>0</v>
      </c>
      <c r="AF25" s="60">
        <f>SUMPRODUCT(--('2026'!$A$5:$A$500=$AE$1),--('2026'!$I$5:$I$500=$B25))+SUMPRODUCT(--('2026'!$A$5:$A$500=$AE$1),--('2026'!$J$5:$J$500=$B25))</f>
        <v>0</v>
      </c>
      <c r="AG25" s="50">
        <f>SUMPRODUCT(--('2026'!$A$5:$A$500=$AG$1),--('2026'!$C$5:$C$500=$B25))+SUMPRODUCT(--('2026'!$A$5:$A$500=$AG$1),--('2026'!$F$5:$F$500=$B25))+SUMPRODUCT(--('2026'!$A$5:$A$500=$AG$1),--('2026'!$D$5:$D$500=$B25))+SUMPRODUCT(--('2026'!$A$5:$A$500=$AG$1),--('2026'!$G$5:$G$500=$B25))</f>
        <v>0</v>
      </c>
      <c r="AH25" s="50">
        <f>SUMPRODUCT(--('2026'!$A$5:$A$500=$AG$1),--('2026'!$I$5:$I$500=$B25))+SUMPRODUCT(--('2026'!$A$5:$A$500=$AG$1),--('2026'!$J$5:$J$500=$B25))</f>
        <v>0</v>
      </c>
      <c r="AI25" s="50">
        <f>SUMPRODUCT(--('2026'!$A$5:$A$500=$AI$1),--('2026'!$C$5:$C$500=$B25))+SUMPRODUCT(--('2026'!$A$5:$A$500=$AI$1),--('2026'!$F$5:$F$500=$B25))+SUMPRODUCT(--('2026'!$A$5:$A$500=$AI$1),--('2026'!$D$5:$D$500=$B25))+SUMPRODUCT(--('2026'!$A$5:$A$500=$AI$1),--('2026'!$G$5:$G$500=$B25))</f>
        <v>0</v>
      </c>
      <c r="AJ25" s="50">
        <f>SUMPRODUCT(--('2026'!$A$5:$A$500=$AI$1),--('2026'!$I$5:$I$500=$B25))+SUMPRODUCT(--('2026'!$A$5:$A$500=$AI$1),--('2026'!$J$5:$J$500=$B25))</f>
        <v>0</v>
      </c>
      <c r="AK25" s="50">
        <f>SUMPRODUCT(--('2026'!$A$5:$A$500=$AK$1),--('2026'!$C$5:$C$500=$B25))+SUMPRODUCT(--('2026'!$A$5:$A$500=$AK$1),--('2026'!$F$5:$F$500=$B25))+SUMPRODUCT(--('2026'!$A$5:$A$500=$AK$1),--('2026'!$D$5:$D$500=$B25))+SUMPRODUCT(--('2026'!$A$5:$A$500=$AK$1),--('2026'!$G$5:$G$500=$B25))</f>
        <v>0</v>
      </c>
      <c r="AL25" s="50">
        <f>SUMPRODUCT(--('2026'!$A$5:$A$500=$AK$1),--('2026'!$I$5:$I$500=$B25))+SUMPRODUCT(--('2026'!$A$5:$A$500=$AK$1),--('2026'!$J$5:$J$500=$B25))</f>
        <v>0</v>
      </c>
      <c r="AM25" s="50">
        <f>SUMPRODUCT(--('2026'!$A$5:$A$500=$AM$1),--('2026'!$C$5:$C$500=$B25))+SUMPRODUCT(--('2026'!$A$5:$A$500=$AM$1),--('2026'!$F$5:$F$500=$B25))+SUMPRODUCT(--('2026'!$A$5:$A$500=$AM$1),--('2026'!$D$5:$D$500=$B25))+SUMPRODUCT(--('2026'!$A$5:$A$500=$AM$1),--('2026'!$G$5:$G$500=$B25))</f>
        <v>0</v>
      </c>
      <c r="AN25" s="50">
        <f>SUMPRODUCT(--('2026'!$A$5:$A$500=$AM$1),--('2026'!$I$5:$I$500=$B25))+SUMPRODUCT(--('2026'!$A$5:$A$500=$AM$1),--('2026'!$J$5:$J$500=$B25))</f>
        <v>0</v>
      </c>
      <c r="AO25" s="50">
        <f>SUMPRODUCT(--('2026'!$A$5:$A$500=$AO$1),--('2026'!$C$5:$C$500=$B25))+SUMPRODUCT(--('2026'!$A$5:$A$500=$AO$1),--('2026'!$F$5:$F$500=$B25))+SUMPRODUCT(--('2026'!$A$5:$A$500=$AO$1),--('2026'!$D$5:$D$500=$B25))+SUMPRODUCT(--('2026'!$A$5:$A$500=$AO$1),--('2026'!$G$5:$G$500=$B25))</f>
        <v>0</v>
      </c>
      <c r="AP25" s="50">
        <f>SUMPRODUCT(--('2026'!$A$5:$A$500=$AO$1),--('2026'!$I$5:$I$500=$B25))+SUMPRODUCT(--('2026'!$A$5:$A$500=$AO$1),--('2026'!$J$5:$J$500=$B25))</f>
        <v>0</v>
      </c>
      <c r="AQ25" s="50">
        <f>SUMPRODUCT(--('2026'!$A$5:$A$500=$AQ$1),--('2026'!$C$5:$C$500=$B25))+SUMPRODUCT(--('2026'!$A$5:$A$500=$AQ$1),--('2026'!$F$5:$F$500=$B25))+SUMPRODUCT(--('2026'!$A$5:$A$500=$AQ$1),--('2026'!$D$5:$D$500=$B25))+SUMPRODUCT(--('2026'!$A$5:$A$500=$AQ$1),--('2026'!$G$5:$G$500=$B25))</f>
        <v>0</v>
      </c>
      <c r="AR25" s="50">
        <f>SUMPRODUCT(--('2026'!$A$5:$A$500=$AQ$1),--('2026'!$I$5:$I$500=$B25))+SUMPRODUCT(--('2026'!$A$5:$A$500=$AQ$1),--('2026'!$J$5:$J$500=$B25))</f>
        <v>0</v>
      </c>
      <c r="AS25" s="50">
        <f>SUMPRODUCT(--('2026'!$A$5:$A$500=$AS$1),--('2026'!$C$5:$C$500=$B25))+SUMPRODUCT(--('2026'!$A$5:$A$500=$AS$1),--('2026'!$F$5:$F$500=$B25))+SUMPRODUCT(--('2026'!$A$5:$A$500=$AS$1),--('2026'!$D$5:$D$500=$B25))+SUMPRODUCT(--('2026'!$A$5:$A$500=$AS$1),--('2026'!$G$5:$G$500=$B25))</f>
        <v>0</v>
      </c>
      <c r="AT25" s="50">
        <f>SUMPRODUCT(--('2026'!$A$5:$A$500=$AS$1),--('2026'!$I$5:$I$500=$B25))+SUMPRODUCT(--('2026'!$A$5:$A$500=$AS$1),--('2026'!$J$5:$J$500=$B25))</f>
        <v>0</v>
      </c>
      <c r="AU25" s="50">
        <f>SUMPRODUCT(--('2026'!$A$5:$A$500=$AU$1),--('2026'!$C$5:$C$500=$B25))+SUMPRODUCT(--('2026'!$A$5:$A$500=$AU$1),--('2026'!$F$5:$F$500=$B25))+SUMPRODUCT(--('2026'!$A$5:$A$500=$AU$1),--('2026'!$D$5:$D$500=$B25))+SUMPRODUCT(--('2026'!$A$5:$A$500=$AU$1),--('2026'!$G$5:$G$500=$B25))</f>
        <v>0</v>
      </c>
      <c r="AV25" s="50">
        <f>SUMPRODUCT(--('2026'!$A$5:$A$500=$AU$1),--('2026'!$I$5:$I$500=$B25))+SUMPRODUCT(--('2026'!$A$5:$A$500=$AU$1),--('2026'!$J$5:$J$500=$B25))</f>
        <v>0</v>
      </c>
      <c r="AW25" s="50">
        <f>SUMPRODUCT(--('2026'!$A$5:$A$500=$AW$1),--('2026'!$C$5:$C$500=$B25))+SUMPRODUCT(--('2026'!$A$5:$A$500=$AW$1),--('2026'!$F$5:$F$500=$B25))+SUMPRODUCT(--('2026'!$A$5:$A$500=$AW$1),--('2026'!$D$5:$D$500=$B25))+SUMPRODUCT(--('2026'!$A$5:$A$500=$AW$1),--('2026'!$G$5:$G$500=$B25))</f>
        <v>0</v>
      </c>
      <c r="AX25" s="50">
        <f>SUMPRODUCT(--('2026'!$A$5:$A$500=$AW$1),--('2026'!$I$5:$I$500=$B25))+SUMPRODUCT(--('2026'!$A$5:$A$500=$AW$1),--('2026'!$J$5:$J$500=$B25))</f>
        <v>0</v>
      </c>
      <c r="BA25" s="54" t="s">
        <v>72</v>
      </c>
      <c r="BB25" s="47">
        <f t="shared" si="2"/>
        <v>0</v>
      </c>
      <c r="BC25" s="52">
        <f t="shared" si="3"/>
        <v>0</v>
      </c>
    </row>
    <row r="26" spans="1:55" ht="15" x14ac:dyDescent="0.25">
      <c r="A26">
        <v>24</v>
      </c>
      <c r="B26" s="54" t="s">
        <v>73</v>
      </c>
      <c r="C26" s="50">
        <f>SUMPRODUCT(--('2026'!$A$5:$A$500=$C$1),--('2026'!$C$5:$C$500=$B26))+SUMPRODUCT(--('2026'!$A$5:$A$500=$C$1),--('2026'!$F$5:$F$500=$B26))+SUMPRODUCT(--('2026'!$A$5:$A$500=$C$1),--('2026'!$D$5:$D$500=$B26))+SUMPRODUCT(--('2026'!$A$5:$A$500=$C$1),--('2026'!$G$5:$G$500=$B26))</f>
        <v>0</v>
      </c>
      <c r="D26" s="50">
        <f>SUMPRODUCT(--('2026'!$A$5:$A$500=$C$1),--('2026'!$I$5:$I$500=$B26))+SUMPRODUCT(--('2026'!$A$5:$A$500=$C$1),--('2026'!$J$5:$J$500=$B26))</f>
        <v>0</v>
      </c>
      <c r="E26" s="50">
        <f>SUMPRODUCT(--('2026'!$A$5:$A$500=$E$1),--('2026'!$C$5:$C$500=$B26))+SUMPRODUCT(--('2026'!$A$5:$A$500=$E$1),--('2026'!$F$5:$F$500=$B26))+SUMPRODUCT(--('2026'!$A$5:$A$500=$E$1),--('2026'!$D$5:$D$500=$B26))+SUMPRODUCT(--('2026'!$A$5:$A$500=$E$1),--('2026'!$G$5:$G$500=$B26))</f>
        <v>0</v>
      </c>
      <c r="F26" s="50">
        <f>SUMPRODUCT(--('2026'!$A$5:$A$500=$E$1),--('2026'!$I$5:$I$500=$B26))+SUMPRODUCT(--('2026'!$A$5:$A$500=$E$1),--('2026'!$J$5:$J$500=$B26))</f>
        <v>0</v>
      </c>
      <c r="G26" s="50">
        <f>SUMPRODUCT(--('2026'!$A$5:$A$500=$G$1),--('2026'!$C$5:$C$500=$B26))+SUMPRODUCT(--('2026'!$A$5:$A$500=$G$1),--('2026'!$F$5:$F$500=$B26))+SUMPRODUCT(--('2026'!$A$5:$A$500=$G$1),--('2026'!$D$5:$D$500=$B26))+SUMPRODUCT(--('2026'!$A$5:$A$500=$G$1),--('2026'!$G$5:$G$500=$B26))</f>
        <v>0</v>
      </c>
      <c r="H26" s="50">
        <f>SUMPRODUCT(--('2026'!$A$5:$A$500=$G$1),--('2026'!$I$5:$I$500=$B26))+SUMPRODUCT(--('2026'!$A$5:$A$500=$G$1),--('2026'!$J$5:$J$500=$B26))</f>
        <v>0</v>
      </c>
      <c r="I26" s="50">
        <f>SUMPRODUCT(--('2026'!$A$5:$A$500=$I$1),--('2026'!$C$5:$C$500=$B26))+SUMPRODUCT(--('2026'!$A$5:$A$500=$I$1),--('2026'!$F$5:$F$500=$B26))+SUMPRODUCT(--('2026'!$A$5:$A$500=$I$1),--('2026'!$D$5:$D$500=$B26))+SUMPRODUCT(--('2026'!$A$5:$A$500=$I$1),--('2026'!$G$5:$G$500=$B26))</f>
        <v>0</v>
      </c>
      <c r="J26" s="50">
        <f>SUMPRODUCT(--('2026'!$A$5:$A$500=$I$1),--('2026'!$I$5:$I$500=$B26))+SUMPRODUCT(--('2026'!$A$5:$A$500=$I$1),--('2026'!$J$5:$J$500=$B26))</f>
        <v>0</v>
      </c>
      <c r="K26" s="50">
        <f>SUMPRODUCT(--('2026'!$A$5:$A$500=$K$1),--('2026'!$C$5:$C$500=$B26))+SUMPRODUCT(--('2026'!$A$5:$A$500=$K$1),--('2026'!$F$5:$F$500=$B26))+SUMPRODUCT(--('2026'!$A$5:$A$500=$K$1),--('2026'!$D$5:$D$500=$B26))+SUMPRODUCT(--('2026'!$A$5:$A$500=$K$1),--('2026'!$G$5:$G$500=$B26))</f>
        <v>0</v>
      </c>
      <c r="L26" s="50">
        <f>SUMPRODUCT(--('2026'!$A$5:$A$500=$K$1),--('2026'!$I$5:$I$500=$B26))+SUMPRODUCT(--('2026'!$A$5:$A$500=$K$1),--('2026'!$J$5:$J$500=$B26))</f>
        <v>0</v>
      </c>
      <c r="M26" s="50">
        <f>SUMPRODUCT(--('2026'!$A$5:$A$500=$M$1),--('2026'!$C$5:$C$500=$B26))+SUMPRODUCT(--('2026'!$A$5:$A$500=$M$1),--('2026'!$F$5:$F$500=$B26))+SUMPRODUCT(--('2026'!$A$5:$A$500=$M$1),--('2026'!$D$5:$D$500=$B26))+SUMPRODUCT(--('2026'!$A$5:$A$500=$M$1),--('2026'!$G$5:$G$500=$B26))</f>
        <v>0</v>
      </c>
      <c r="N26" s="50">
        <f>SUMPRODUCT(--('2026'!$A$5:$A$500=$M$1),--('2026'!$I$5:$I$500=$B26))+SUMPRODUCT(--('2026'!$A$5:$A$500=$M$1),--('2026'!$J$5:$J$500=$B26))</f>
        <v>0</v>
      </c>
      <c r="O26" s="50">
        <f>SUMPRODUCT(--('2026'!$A$5:$A$500=$O$1),--('2026'!$C$5:$C$500=$B26))+SUMPRODUCT(--('2026'!$A$5:$A$500=$O$1),--('2026'!$F$5:$F$500=$B26))+SUMPRODUCT(--('2026'!$A$5:$A$500=$O$1),--('2026'!$D$5:$D$500=$B26))+SUMPRODUCT(--('2026'!$A$5:$A$500=$O$1),--('2026'!$G$5:$G$500=$B26))</f>
        <v>0</v>
      </c>
      <c r="P26" s="50">
        <f>SUMPRODUCT(--('2026'!$A$5:$A$500=$O$1),--('2026'!$I$5:$I$500=$B26))+SUMPRODUCT(--('2026'!$A$5:$A$500=$O$1),--('2026'!$J$5:$J$500=$B26))</f>
        <v>0</v>
      </c>
      <c r="Q26" s="50">
        <f>SUMPRODUCT(--('2026'!$A$5:$A$500=$Q$1),--('2026'!$C$5:$C$500=$B26))+SUMPRODUCT(--('2026'!$A$5:$A$500=$Q$1),--('2026'!$F$5:$F$500=$B26))+SUMPRODUCT(--('2026'!$A$5:$A$500=$Q$1),--('2026'!$D$5:$D$500=$B26))+SUMPRODUCT(--('2026'!$A$5:$A$500=$Q$1),--('2026'!$G$5:$G$500=$B26))</f>
        <v>0</v>
      </c>
      <c r="R26" s="50">
        <f>SUMPRODUCT(--('2026'!$A$5:$A$500=$Q$1),--('2026'!$I$5:$I$500=$B26))+SUMPRODUCT(--('2026'!$A$5:$A$500=$Q$1),--('2026'!$J$5:$J$500=$B26))</f>
        <v>0</v>
      </c>
      <c r="S26" s="50">
        <f>SUMPRODUCT(--('2026'!$A$5:$A$500=$S$1),--('2026'!$C$5:$C$500=$B26))+SUMPRODUCT(--('2026'!$A$5:$A$500=$S$1),--('2026'!$F$5:$F$500=$B26))+SUMPRODUCT(--('2026'!$A$5:$A$500=$S$1),--('2026'!$D$5:$D$500=$B26))+SUMPRODUCT(--('2026'!$A$5:$A$500=$S$1),--('2026'!$G$5:$G$500=$B26))</f>
        <v>0</v>
      </c>
      <c r="T26" s="50">
        <f>SUMPRODUCT(--('2026'!$A$5:$A$500=$S$1),--('2026'!$I$5:$I$500=$B26))+SUMPRODUCT(--('2026'!$A$5:$A$500=$S$1),--('2026'!$J$5:$J$500=$B26))</f>
        <v>0</v>
      </c>
      <c r="U26" s="50">
        <f>SUMPRODUCT(--('2026'!$A$5:$A$500=$U$1),--('2026'!$C$5:$C$500=$B26))+SUMPRODUCT(--('2026'!$A$5:$A$500=$U$1),--('2026'!$F$5:$F$500=$B26))+SUMPRODUCT(--('2026'!$A$5:$A$500=$U$1),--('2026'!$D$5:$D$500=$B26))+SUMPRODUCT(--('2026'!$A$5:$A$500=$U$1),--('2026'!$G$5:$G$500=$B26))</f>
        <v>0</v>
      </c>
      <c r="V26" s="50">
        <f>SUMPRODUCT(--('2026'!$A$5:$A$500=$U$1),--('2026'!$I$5:$I$500=$B26))+SUMPRODUCT(--('2026'!$A$5:$A$500=$U$1),--('2026'!$J$5:$J$500=$B26))</f>
        <v>0</v>
      </c>
      <c r="W26" s="60">
        <f>SUMPRODUCT(--('2026'!$A$5:$A$500=$W$1),--('2026'!$C$5:$C$500=$B26))+SUMPRODUCT(--('2026'!$A$5:$A$500=$W$1),--('2026'!$F$5:$F$500=$B26))+SUMPRODUCT(--('2026'!$A$5:$A$500=$W$1),--('2026'!$D$5:$D$500=$B26))+SUMPRODUCT(--('2026'!$A$5:$A$500=$W$1),--('2026'!$G$5:$G$500=$B26))</f>
        <v>0</v>
      </c>
      <c r="X26" s="60">
        <f>SUMPRODUCT(--('2026'!$A$5:$A$500=$W$1),--('2026'!$I$5:$I$500=$B26))+SUMPRODUCT(--('2026'!$A$5:$A$500=$W$1),--('2026'!$J$5:$J$500=$B26))</f>
        <v>0</v>
      </c>
      <c r="Y26" s="50">
        <f>SUMPRODUCT(--('2026'!$A$5:$A$500=$Y$1),--('2026'!$C$5:$C$500=$B26))+SUMPRODUCT(--('2026'!$A$5:$A$500=$Y$1),--('2026'!$F$5:$F$500=$B26))+SUMPRODUCT(--('2026'!$A$5:$A$500=$Y$1),--('2026'!$D$5:$D$500=$B26))+SUMPRODUCT(--('2026'!$A$5:$A$500=$Y$1),--('2026'!$G$5:$G$500=$B26))</f>
        <v>0</v>
      </c>
      <c r="Z26" s="50">
        <f>SUMPRODUCT(--('2026'!$A$5:$A$500=$Y$1),--('2026'!$I$5:$I$500=$B26))+SUMPRODUCT(--('2026'!$A$5:$A$500=$Y$1),--('2026'!$J$5:$J$500=$B26))</f>
        <v>0</v>
      </c>
      <c r="AA26" s="50">
        <f>SUMPRODUCT(--('2026'!$A$5:$A$500=$AA$1),--('2026'!$C$5:$C$500=$B26))+SUMPRODUCT(--('2026'!$A$5:$A$500=$AA$1),--('2026'!$F$5:$F$500=$B26))+SUMPRODUCT(--('2026'!$A$5:$A$500=$AA$1),--('2026'!$D$5:$D$500=$B26))+SUMPRODUCT(--('2026'!$A$5:$A$500=$AA$1),--('2026'!$G$5:$G$500=$B26))</f>
        <v>0</v>
      </c>
      <c r="AB26" s="50">
        <f>SUMPRODUCT(--('2026'!$A$5:$A$500=$AA$1),--('2026'!$I$5:$I$500=$B26))+SUMPRODUCT(--('2026'!$A$5:$A$500=$AA$1),--('2026'!$J$5:$J$500=$B26))</f>
        <v>0</v>
      </c>
      <c r="AC26" s="50">
        <f>SUMPRODUCT(--('2026'!$A$5:$A$500=$AC$1),--('2026'!$C$5:$C$500=$B26))+SUMPRODUCT(--('2026'!$A$5:$A$500=$AC$1),--('2026'!$F$5:$F$500=$B26))+SUMPRODUCT(--('2026'!$A$5:$A$500=$AC$1),--('2026'!$D$5:$D$500=$B26))+SUMPRODUCT(--('2026'!$A$5:$A$500=$AC$1),--('2026'!$G$5:$G$500=$B26))</f>
        <v>0</v>
      </c>
      <c r="AD26" s="50">
        <f>SUMPRODUCT(--('2026'!$A$5:$A$500=$AC$1),--('2026'!$I$5:$I$500=$B26))+SUMPRODUCT(--('2026'!$A$5:$A$500=$AC$1),--('2026'!$J$5:$J$500=$B26))</f>
        <v>0</v>
      </c>
      <c r="AE26" s="60">
        <f>SUMPRODUCT(--('2026'!$A$5:$A$500=$AE$1),--('2026'!$C$5:$C$500=$B26))+SUMPRODUCT(--('2026'!$A$5:$A$500=$AE$1),--('2026'!$F$5:$F$500=$B26))+SUMPRODUCT(--('2026'!$A$5:$A$500=$AE$1),--('2026'!$D$5:$D$500=$B26))+SUMPRODUCT(--('2026'!$A$5:$A$500=$AE$1),--('2026'!$G$5:$G$500=$B26))</f>
        <v>0</v>
      </c>
      <c r="AF26" s="60">
        <f>SUMPRODUCT(--('2026'!$A$5:$A$500=$AE$1),--('2026'!$I$5:$I$500=$B26))+SUMPRODUCT(--('2026'!$A$5:$A$500=$AE$1),--('2026'!$J$5:$J$500=$B26))</f>
        <v>0</v>
      </c>
      <c r="AG26" s="50">
        <f>SUMPRODUCT(--('2026'!$A$5:$A$500=$AG$1),--('2026'!$C$5:$C$500=$B26))+SUMPRODUCT(--('2026'!$A$5:$A$500=$AG$1),--('2026'!$F$5:$F$500=$B26))+SUMPRODUCT(--('2026'!$A$5:$A$500=$AG$1),--('2026'!$D$5:$D$500=$B26))+SUMPRODUCT(--('2026'!$A$5:$A$500=$AG$1),--('2026'!$G$5:$G$500=$B26))</f>
        <v>0</v>
      </c>
      <c r="AH26" s="50">
        <f>SUMPRODUCT(--('2026'!$A$5:$A$500=$AG$1),--('2026'!$I$5:$I$500=$B26))+SUMPRODUCT(--('2026'!$A$5:$A$500=$AG$1),--('2026'!$J$5:$J$500=$B26))</f>
        <v>0</v>
      </c>
      <c r="AI26" s="50">
        <f>SUMPRODUCT(--('2026'!$A$5:$A$500=$AI$1),--('2026'!$C$5:$C$500=$B26))+SUMPRODUCT(--('2026'!$A$5:$A$500=$AI$1),--('2026'!$F$5:$F$500=$B26))+SUMPRODUCT(--('2026'!$A$5:$A$500=$AI$1),--('2026'!$D$5:$D$500=$B26))+SUMPRODUCT(--('2026'!$A$5:$A$500=$AI$1),--('2026'!$G$5:$G$500=$B26))</f>
        <v>0</v>
      </c>
      <c r="AJ26" s="50">
        <f>SUMPRODUCT(--('2026'!$A$5:$A$500=$AI$1),--('2026'!$I$5:$I$500=$B26))+SUMPRODUCT(--('2026'!$A$5:$A$500=$AI$1),--('2026'!$J$5:$J$500=$B26))</f>
        <v>0</v>
      </c>
      <c r="AK26" s="50">
        <f>SUMPRODUCT(--('2026'!$A$5:$A$500=$AK$1),--('2026'!$C$5:$C$500=$B26))+SUMPRODUCT(--('2026'!$A$5:$A$500=$AK$1),--('2026'!$F$5:$F$500=$B26))+SUMPRODUCT(--('2026'!$A$5:$A$500=$AK$1),--('2026'!$D$5:$D$500=$B26))+SUMPRODUCT(--('2026'!$A$5:$A$500=$AK$1),--('2026'!$G$5:$G$500=$B26))</f>
        <v>0</v>
      </c>
      <c r="AL26" s="50">
        <f>SUMPRODUCT(--('2026'!$A$5:$A$500=$AK$1),--('2026'!$I$5:$I$500=$B26))+SUMPRODUCT(--('2026'!$A$5:$A$500=$AK$1),--('2026'!$J$5:$J$500=$B26))</f>
        <v>0</v>
      </c>
      <c r="AM26" s="50">
        <f>SUMPRODUCT(--('2026'!$A$5:$A$500=$AM$1),--('2026'!$C$5:$C$500=$B26))+SUMPRODUCT(--('2026'!$A$5:$A$500=$AM$1),--('2026'!$F$5:$F$500=$B26))+SUMPRODUCT(--('2026'!$A$5:$A$500=$AM$1),--('2026'!$D$5:$D$500=$B26))+SUMPRODUCT(--('2026'!$A$5:$A$500=$AM$1),--('2026'!$G$5:$G$500=$B26))</f>
        <v>0</v>
      </c>
      <c r="AN26" s="50">
        <f>SUMPRODUCT(--('2026'!$A$5:$A$500=$AM$1),--('2026'!$I$5:$I$500=$B26))+SUMPRODUCT(--('2026'!$A$5:$A$500=$AM$1),--('2026'!$J$5:$J$500=$B26))</f>
        <v>0</v>
      </c>
      <c r="AO26" s="50">
        <f>SUMPRODUCT(--('2026'!$A$5:$A$500=$AO$1),--('2026'!$C$5:$C$500=$B26))+SUMPRODUCT(--('2026'!$A$5:$A$500=$AO$1),--('2026'!$F$5:$F$500=$B26))+SUMPRODUCT(--('2026'!$A$5:$A$500=$AO$1),--('2026'!$D$5:$D$500=$B26))+SUMPRODUCT(--('2026'!$A$5:$A$500=$AO$1),--('2026'!$G$5:$G$500=$B26))</f>
        <v>0</v>
      </c>
      <c r="AP26" s="50">
        <f>SUMPRODUCT(--('2026'!$A$5:$A$500=$AO$1),--('2026'!$I$5:$I$500=$B26))+SUMPRODUCT(--('2026'!$A$5:$A$500=$AO$1),--('2026'!$J$5:$J$500=$B26))</f>
        <v>0</v>
      </c>
      <c r="AQ26" s="50">
        <f>SUMPRODUCT(--('2026'!$A$5:$A$500=$AQ$1),--('2026'!$C$5:$C$500=$B26))+SUMPRODUCT(--('2026'!$A$5:$A$500=$AQ$1),--('2026'!$F$5:$F$500=$B26))+SUMPRODUCT(--('2026'!$A$5:$A$500=$AQ$1),--('2026'!$D$5:$D$500=$B26))+SUMPRODUCT(--('2026'!$A$5:$A$500=$AQ$1),--('2026'!$G$5:$G$500=$B26))</f>
        <v>0</v>
      </c>
      <c r="AR26" s="50">
        <f>SUMPRODUCT(--('2026'!$A$5:$A$500=$AQ$1),--('2026'!$I$5:$I$500=$B26))+SUMPRODUCT(--('2026'!$A$5:$A$500=$AQ$1),--('2026'!$J$5:$J$500=$B26))</f>
        <v>0</v>
      </c>
      <c r="AS26" s="50">
        <f>SUMPRODUCT(--('2026'!$A$5:$A$500=$AS$1),--('2026'!$C$5:$C$500=$B26))+SUMPRODUCT(--('2026'!$A$5:$A$500=$AS$1),--('2026'!$F$5:$F$500=$B26))+SUMPRODUCT(--('2026'!$A$5:$A$500=$AS$1),--('2026'!$D$5:$D$500=$B26))+SUMPRODUCT(--('2026'!$A$5:$A$500=$AS$1),--('2026'!$G$5:$G$500=$B26))</f>
        <v>0</v>
      </c>
      <c r="AT26" s="50">
        <f>SUMPRODUCT(--('2026'!$A$5:$A$500=$AS$1),--('2026'!$I$5:$I$500=$B26))+SUMPRODUCT(--('2026'!$A$5:$A$500=$AS$1),--('2026'!$J$5:$J$500=$B26))</f>
        <v>0</v>
      </c>
      <c r="AU26" s="50">
        <f>SUMPRODUCT(--('2026'!$A$5:$A$500=$AU$1),--('2026'!$C$5:$C$500=$B26))+SUMPRODUCT(--('2026'!$A$5:$A$500=$AU$1),--('2026'!$F$5:$F$500=$B26))+SUMPRODUCT(--('2026'!$A$5:$A$500=$AU$1),--('2026'!$D$5:$D$500=$B26))+SUMPRODUCT(--('2026'!$A$5:$A$500=$AU$1),--('2026'!$G$5:$G$500=$B26))</f>
        <v>0</v>
      </c>
      <c r="AV26" s="50">
        <f>SUMPRODUCT(--('2026'!$A$5:$A$500=$AU$1),--('2026'!$I$5:$I$500=$B26))+SUMPRODUCT(--('2026'!$A$5:$A$500=$AU$1),--('2026'!$J$5:$J$500=$B26))</f>
        <v>0</v>
      </c>
      <c r="AW26" s="50">
        <f>SUMPRODUCT(--('2026'!$A$5:$A$500=$AW$1),--('2026'!$C$5:$C$500=$B26))+SUMPRODUCT(--('2026'!$A$5:$A$500=$AW$1),--('2026'!$F$5:$F$500=$B26))+SUMPRODUCT(--('2026'!$A$5:$A$500=$AW$1),--('2026'!$D$5:$D$500=$B26))+SUMPRODUCT(--('2026'!$A$5:$A$500=$AW$1),--('2026'!$G$5:$G$500=$B26))</f>
        <v>0</v>
      </c>
      <c r="AX26" s="50">
        <f>SUMPRODUCT(--('2026'!$A$5:$A$500=$AW$1),--('2026'!$I$5:$I$500=$B26))+SUMPRODUCT(--('2026'!$A$5:$A$500=$AW$1),--('2026'!$J$5:$J$500=$B26))</f>
        <v>0</v>
      </c>
      <c r="BA26" s="54" t="s">
        <v>73</v>
      </c>
      <c r="BB26" s="47">
        <f t="shared" si="2"/>
        <v>0</v>
      </c>
      <c r="BC26" s="52">
        <f t="shared" si="3"/>
        <v>0</v>
      </c>
    </row>
    <row r="27" spans="1:55" ht="15" x14ac:dyDescent="0.25">
      <c r="A27">
        <v>25</v>
      </c>
      <c r="B27" s="54" t="s">
        <v>0</v>
      </c>
      <c r="C27" s="50">
        <f>SUMPRODUCT(--('2026'!$A$5:$A$500=$C$1),--('2026'!$C$5:$C$500=$B27))+SUMPRODUCT(--('2026'!$A$5:$A$500=$C$1),--('2026'!$F$5:$F$500=$B27))+SUMPRODUCT(--('2026'!$A$5:$A$500=$C$1),--('2026'!$D$5:$D$500=$B27))+SUMPRODUCT(--('2026'!$A$5:$A$500=$C$1),--('2026'!$G$5:$G$500=$B27))</f>
        <v>0</v>
      </c>
      <c r="D27" s="50">
        <f>SUMPRODUCT(--('2026'!$A$5:$A$500=$C$1),--('2026'!$I$5:$I$500=$B27))+SUMPRODUCT(--('2026'!$A$5:$A$500=$C$1),--('2026'!$J$5:$J$500=$B27))</f>
        <v>0</v>
      </c>
      <c r="E27" s="50">
        <f>SUMPRODUCT(--('2026'!$A$5:$A$500=$E$1),--('2026'!$C$5:$C$500=$B27))+SUMPRODUCT(--('2026'!$A$5:$A$500=$E$1),--('2026'!$F$5:$F$500=$B27))+SUMPRODUCT(--('2026'!$A$5:$A$500=$E$1),--('2026'!$D$5:$D$500=$B27))+SUMPRODUCT(--('2026'!$A$5:$A$500=$E$1),--('2026'!$G$5:$G$500=$B27))</f>
        <v>0</v>
      </c>
      <c r="F27" s="50">
        <f>SUMPRODUCT(--('2026'!$A$5:$A$500=$E$1),--('2026'!$I$5:$I$500=$B27))+SUMPRODUCT(--('2026'!$A$5:$A$500=$E$1),--('2026'!$J$5:$J$500=$B27))</f>
        <v>0</v>
      </c>
      <c r="G27" s="50">
        <f>SUMPRODUCT(--('2026'!$A$5:$A$500=$G$1),--('2026'!$C$5:$C$500=$B27))+SUMPRODUCT(--('2026'!$A$5:$A$500=$G$1),--('2026'!$F$5:$F$500=$B27))+SUMPRODUCT(--('2026'!$A$5:$A$500=$G$1),--('2026'!$D$5:$D$500=$B27))+SUMPRODUCT(--('2026'!$A$5:$A$500=$G$1),--('2026'!$G$5:$G$500=$B27))</f>
        <v>0</v>
      </c>
      <c r="H27" s="50">
        <f>SUMPRODUCT(--('2026'!$A$5:$A$500=$G$1),--('2026'!$I$5:$I$500=$B27))+SUMPRODUCT(--('2026'!$A$5:$A$500=$G$1),--('2026'!$J$5:$J$500=$B27))</f>
        <v>0</v>
      </c>
      <c r="I27" s="50">
        <f>SUMPRODUCT(--('2026'!$A$5:$A$500=$I$1),--('2026'!$C$5:$C$500=$B27))+SUMPRODUCT(--('2026'!$A$5:$A$500=$I$1),--('2026'!$F$5:$F$500=$B27))+SUMPRODUCT(--('2026'!$A$5:$A$500=$I$1),--('2026'!$D$5:$D$500=$B27))+SUMPRODUCT(--('2026'!$A$5:$A$500=$I$1),--('2026'!$G$5:$G$500=$B27))</f>
        <v>0</v>
      </c>
      <c r="J27" s="50">
        <f>SUMPRODUCT(--('2026'!$A$5:$A$500=$I$1),--('2026'!$I$5:$I$500=$B27))+SUMPRODUCT(--('2026'!$A$5:$A$500=$I$1),--('2026'!$J$5:$J$500=$B27))</f>
        <v>0</v>
      </c>
      <c r="K27" s="50">
        <f>SUMPRODUCT(--('2026'!$A$5:$A$500=$K$1),--('2026'!$C$5:$C$500=$B27))+SUMPRODUCT(--('2026'!$A$5:$A$500=$K$1),--('2026'!$F$5:$F$500=$B27))+SUMPRODUCT(--('2026'!$A$5:$A$500=$K$1),--('2026'!$D$5:$D$500=$B27))+SUMPRODUCT(--('2026'!$A$5:$A$500=$K$1),--('2026'!$G$5:$G$500=$B27))</f>
        <v>0</v>
      </c>
      <c r="L27" s="50">
        <f>SUMPRODUCT(--('2026'!$A$5:$A$500=$K$1),--('2026'!$I$5:$I$500=$B27))+SUMPRODUCT(--('2026'!$A$5:$A$500=$K$1),--('2026'!$J$5:$J$500=$B27))</f>
        <v>0</v>
      </c>
      <c r="M27" s="50">
        <f>SUMPRODUCT(--('2026'!$A$5:$A$500=$M$1),--('2026'!$C$5:$C$500=$B27))+SUMPRODUCT(--('2026'!$A$5:$A$500=$M$1),--('2026'!$F$5:$F$500=$B27))+SUMPRODUCT(--('2026'!$A$5:$A$500=$M$1),--('2026'!$D$5:$D$500=$B27))+SUMPRODUCT(--('2026'!$A$5:$A$500=$M$1),--('2026'!$G$5:$G$500=$B27))</f>
        <v>0</v>
      </c>
      <c r="N27" s="50">
        <f>SUMPRODUCT(--('2026'!$A$5:$A$500=$M$1),--('2026'!$I$5:$I$500=$B27))+SUMPRODUCT(--('2026'!$A$5:$A$500=$M$1),--('2026'!$J$5:$J$500=$B27))</f>
        <v>0</v>
      </c>
      <c r="O27" s="50">
        <f>SUMPRODUCT(--('2026'!$A$5:$A$500=$O$1),--('2026'!$C$5:$C$500=$B27))+SUMPRODUCT(--('2026'!$A$5:$A$500=$O$1),--('2026'!$F$5:$F$500=$B27))+SUMPRODUCT(--('2026'!$A$5:$A$500=$O$1),--('2026'!$D$5:$D$500=$B27))+SUMPRODUCT(--('2026'!$A$5:$A$500=$O$1),--('2026'!$G$5:$G$500=$B27))</f>
        <v>0</v>
      </c>
      <c r="P27" s="50">
        <f>SUMPRODUCT(--('2026'!$A$5:$A$500=$O$1),--('2026'!$I$5:$I$500=$B27))+SUMPRODUCT(--('2026'!$A$5:$A$500=$O$1),--('2026'!$J$5:$J$500=$B27))</f>
        <v>0</v>
      </c>
      <c r="Q27" s="50">
        <f>SUMPRODUCT(--('2026'!$A$5:$A$500=$Q$1),--('2026'!$C$5:$C$500=$B27))+SUMPRODUCT(--('2026'!$A$5:$A$500=$Q$1),--('2026'!$F$5:$F$500=$B27))+SUMPRODUCT(--('2026'!$A$5:$A$500=$Q$1),--('2026'!$D$5:$D$500=$B27))+SUMPRODUCT(--('2026'!$A$5:$A$500=$Q$1),--('2026'!$G$5:$G$500=$B27))</f>
        <v>0</v>
      </c>
      <c r="R27" s="50">
        <f>SUMPRODUCT(--('2026'!$A$5:$A$500=$Q$1),--('2026'!$I$5:$I$500=$B27))+SUMPRODUCT(--('2026'!$A$5:$A$500=$Q$1),--('2026'!$J$5:$J$500=$B27))</f>
        <v>0</v>
      </c>
      <c r="S27" s="50">
        <f>SUMPRODUCT(--('2026'!$A$5:$A$500=$S$1),--('2026'!$C$5:$C$500=$B27))+SUMPRODUCT(--('2026'!$A$5:$A$500=$S$1),--('2026'!$F$5:$F$500=$B27))+SUMPRODUCT(--('2026'!$A$5:$A$500=$S$1),--('2026'!$D$5:$D$500=$B27))+SUMPRODUCT(--('2026'!$A$5:$A$500=$S$1),--('2026'!$G$5:$G$500=$B27))</f>
        <v>0</v>
      </c>
      <c r="T27" s="50">
        <f>SUMPRODUCT(--('2026'!$A$5:$A$500=$S$1),--('2026'!$I$5:$I$500=$B27))+SUMPRODUCT(--('2026'!$A$5:$A$500=$S$1),--('2026'!$J$5:$J$500=$B27))</f>
        <v>0</v>
      </c>
      <c r="U27" s="50">
        <f>SUMPRODUCT(--('2026'!$A$5:$A$500=$U$1),--('2026'!$C$5:$C$500=$B27))+SUMPRODUCT(--('2026'!$A$5:$A$500=$U$1),--('2026'!$F$5:$F$500=$B27))+SUMPRODUCT(--('2026'!$A$5:$A$500=$U$1),--('2026'!$D$5:$D$500=$B27))+SUMPRODUCT(--('2026'!$A$5:$A$500=$U$1),--('2026'!$G$5:$G$500=$B27))</f>
        <v>0</v>
      </c>
      <c r="V27" s="50">
        <f>SUMPRODUCT(--('2026'!$A$5:$A$500=$U$1),--('2026'!$I$5:$I$500=$B27))+SUMPRODUCT(--('2026'!$A$5:$A$500=$U$1),--('2026'!$J$5:$J$500=$B27))</f>
        <v>0</v>
      </c>
      <c r="W27" s="60">
        <f>SUMPRODUCT(--('2026'!$A$5:$A$500=$W$1),--('2026'!$C$5:$C$500=$B27))+SUMPRODUCT(--('2026'!$A$5:$A$500=$W$1),--('2026'!$F$5:$F$500=$B27))+SUMPRODUCT(--('2026'!$A$5:$A$500=$W$1),--('2026'!$D$5:$D$500=$B27))+SUMPRODUCT(--('2026'!$A$5:$A$500=$W$1),--('2026'!$G$5:$G$500=$B27))</f>
        <v>0</v>
      </c>
      <c r="X27" s="60">
        <f>SUMPRODUCT(--('2026'!$A$5:$A$500=$W$1),--('2026'!$I$5:$I$500=$B27))+SUMPRODUCT(--('2026'!$A$5:$A$500=$W$1),--('2026'!$J$5:$J$500=$B27))</f>
        <v>0</v>
      </c>
      <c r="Y27" s="50">
        <f>SUMPRODUCT(--('2026'!$A$5:$A$500=$Y$1),--('2026'!$C$5:$C$500=$B27))+SUMPRODUCT(--('2026'!$A$5:$A$500=$Y$1),--('2026'!$F$5:$F$500=$B27))+SUMPRODUCT(--('2026'!$A$5:$A$500=$Y$1),--('2026'!$D$5:$D$500=$B27))+SUMPRODUCT(--('2026'!$A$5:$A$500=$Y$1),--('2026'!$G$5:$G$500=$B27))</f>
        <v>0</v>
      </c>
      <c r="Z27" s="50">
        <f>SUMPRODUCT(--('2026'!$A$5:$A$500=$Y$1),--('2026'!$I$5:$I$500=$B27))+SUMPRODUCT(--('2026'!$A$5:$A$500=$Y$1),--('2026'!$J$5:$J$500=$B27))</f>
        <v>0</v>
      </c>
      <c r="AA27" s="50">
        <f>SUMPRODUCT(--('2026'!$A$5:$A$500=$AA$1),--('2026'!$C$5:$C$500=$B27))+SUMPRODUCT(--('2026'!$A$5:$A$500=$AA$1),--('2026'!$F$5:$F$500=$B27))+SUMPRODUCT(--('2026'!$A$5:$A$500=$AA$1),--('2026'!$D$5:$D$500=$B27))+SUMPRODUCT(--('2026'!$A$5:$A$500=$AA$1),--('2026'!$G$5:$G$500=$B27))</f>
        <v>0</v>
      </c>
      <c r="AB27" s="50">
        <f>SUMPRODUCT(--('2026'!$A$5:$A$500=$AA$1),--('2026'!$I$5:$I$500=$B27))+SUMPRODUCT(--('2026'!$A$5:$A$500=$AA$1),--('2026'!$J$5:$J$500=$B27))</f>
        <v>0</v>
      </c>
      <c r="AC27" s="50">
        <f>SUMPRODUCT(--('2026'!$A$5:$A$500=$AC$1),--('2026'!$C$5:$C$500=$B27))+SUMPRODUCT(--('2026'!$A$5:$A$500=$AC$1),--('2026'!$F$5:$F$500=$B27))+SUMPRODUCT(--('2026'!$A$5:$A$500=$AC$1),--('2026'!$D$5:$D$500=$B27))+SUMPRODUCT(--('2026'!$A$5:$A$500=$AC$1),--('2026'!$G$5:$G$500=$B27))</f>
        <v>0</v>
      </c>
      <c r="AD27" s="50">
        <f>SUMPRODUCT(--('2026'!$A$5:$A$500=$AC$1),--('2026'!$I$5:$I$500=$B27))+SUMPRODUCT(--('2026'!$A$5:$A$500=$AC$1),--('2026'!$J$5:$J$500=$B27))</f>
        <v>0</v>
      </c>
      <c r="AE27" s="60">
        <f>SUMPRODUCT(--('2026'!$A$5:$A$500=$AE$1),--('2026'!$C$5:$C$500=$B27))+SUMPRODUCT(--('2026'!$A$5:$A$500=$AE$1),--('2026'!$F$5:$F$500=$B27))+SUMPRODUCT(--('2026'!$A$5:$A$500=$AE$1),--('2026'!$D$5:$D$500=$B27))+SUMPRODUCT(--('2026'!$A$5:$A$500=$AE$1),--('2026'!$G$5:$G$500=$B27))</f>
        <v>0</v>
      </c>
      <c r="AF27" s="60">
        <f>SUMPRODUCT(--('2026'!$A$5:$A$500=$AE$1),--('2026'!$I$5:$I$500=$B27))+SUMPRODUCT(--('2026'!$A$5:$A$500=$AE$1),--('2026'!$J$5:$J$500=$B27))</f>
        <v>0</v>
      </c>
      <c r="AG27" s="50">
        <f>SUMPRODUCT(--('2026'!$A$5:$A$500=$AG$1),--('2026'!$C$5:$C$500=$B27))+SUMPRODUCT(--('2026'!$A$5:$A$500=$AG$1),--('2026'!$F$5:$F$500=$B27))+SUMPRODUCT(--('2026'!$A$5:$A$500=$AG$1),--('2026'!$D$5:$D$500=$B27))+SUMPRODUCT(--('2026'!$A$5:$A$500=$AG$1),--('2026'!$G$5:$G$500=$B27))</f>
        <v>0</v>
      </c>
      <c r="AH27" s="50">
        <f>SUMPRODUCT(--('2026'!$A$5:$A$500=$AG$1),--('2026'!$I$5:$I$500=$B27))+SUMPRODUCT(--('2026'!$A$5:$A$500=$AG$1),--('2026'!$J$5:$J$500=$B27))</f>
        <v>0</v>
      </c>
      <c r="AI27" s="50">
        <f>SUMPRODUCT(--('2026'!$A$5:$A$500=$AI$1),--('2026'!$C$5:$C$500=$B27))+SUMPRODUCT(--('2026'!$A$5:$A$500=$AI$1),--('2026'!$F$5:$F$500=$B27))+SUMPRODUCT(--('2026'!$A$5:$A$500=$AI$1),--('2026'!$D$5:$D$500=$B27))+SUMPRODUCT(--('2026'!$A$5:$A$500=$AI$1),--('2026'!$G$5:$G$500=$B27))</f>
        <v>0</v>
      </c>
      <c r="AJ27" s="50">
        <f>SUMPRODUCT(--('2026'!$A$5:$A$500=$AI$1),--('2026'!$I$5:$I$500=$B27))+SUMPRODUCT(--('2026'!$A$5:$A$500=$AI$1),--('2026'!$J$5:$J$500=$B27))</f>
        <v>0</v>
      </c>
      <c r="AK27" s="50">
        <f>SUMPRODUCT(--('2026'!$A$5:$A$500=$AK$1),--('2026'!$C$5:$C$500=$B27))+SUMPRODUCT(--('2026'!$A$5:$A$500=$AK$1),--('2026'!$F$5:$F$500=$B27))+SUMPRODUCT(--('2026'!$A$5:$A$500=$AK$1),--('2026'!$D$5:$D$500=$B27))+SUMPRODUCT(--('2026'!$A$5:$A$500=$AK$1),--('2026'!$G$5:$G$500=$B27))</f>
        <v>0</v>
      </c>
      <c r="AL27" s="50">
        <f>SUMPRODUCT(--('2026'!$A$5:$A$500=$AK$1),--('2026'!$I$5:$I$500=$B27))+SUMPRODUCT(--('2026'!$A$5:$A$500=$AK$1),--('2026'!$J$5:$J$500=$B27))</f>
        <v>0</v>
      </c>
      <c r="AM27" s="50">
        <f>SUMPRODUCT(--('2026'!$A$5:$A$500=$AM$1),--('2026'!$C$5:$C$500=$B27))+SUMPRODUCT(--('2026'!$A$5:$A$500=$AM$1),--('2026'!$F$5:$F$500=$B27))+SUMPRODUCT(--('2026'!$A$5:$A$500=$AM$1),--('2026'!$D$5:$D$500=$B27))+SUMPRODUCT(--('2026'!$A$5:$A$500=$AM$1),--('2026'!$G$5:$G$500=$B27))</f>
        <v>0</v>
      </c>
      <c r="AN27" s="50">
        <f>SUMPRODUCT(--('2026'!$A$5:$A$500=$AM$1),--('2026'!$I$5:$I$500=$B27))+SUMPRODUCT(--('2026'!$A$5:$A$500=$AM$1),--('2026'!$J$5:$J$500=$B27))</f>
        <v>0</v>
      </c>
      <c r="AO27" s="50">
        <f>SUMPRODUCT(--('2026'!$A$5:$A$500=$AO$1),--('2026'!$C$5:$C$500=$B27))+SUMPRODUCT(--('2026'!$A$5:$A$500=$AO$1),--('2026'!$F$5:$F$500=$B27))+SUMPRODUCT(--('2026'!$A$5:$A$500=$AO$1),--('2026'!$D$5:$D$500=$B27))+SUMPRODUCT(--('2026'!$A$5:$A$500=$AO$1),--('2026'!$G$5:$G$500=$B27))</f>
        <v>0</v>
      </c>
      <c r="AP27" s="50">
        <f>SUMPRODUCT(--('2026'!$A$5:$A$500=$AO$1),--('2026'!$I$5:$I$500=$B27))+SUMPRODUCT(--('2026'!$A$5:$A$500=$AO$1),--('2026'!$J$5:$J$500=$B27))</f>
        <v>0</v>
      </c>
      <c r="AQ27" s="50">
        <f>SUMPRODUCT(--('2026'!$A$5:$A$500=$AQ$1),--('2026'!$C$5:$C$500=$B27))+SUMPRODUCT(--('2026'!$A$5:$A$500=$AQ$1),--('2026'!$F$5:$F$500=$B27))+SUMPRODUCT(--('2026'!$A$5:$A$500=$AQ$1),--('2026'!$D$5:$D$500=$B27))+SUMPRODUCT(--('2026'!$A$5:$A$500=$AQ$1),--('2026'!$G$5:$G$500=$B27))</f>
        <v>0</v>
      </c>
      <c r="AR27" s="50">
        <f>SUMPRODUCT(--('2026'!$A$5:$A$500=$AQ$1),--('2026'!$I$5:$I$500=$B27))+SUMPRODUCT(--('2026'!$A$5:$A$500=$AQ$1),--('2026'!$J$5:$J$500=$B27))</f>
        <v>0</v>
      </c>
      <c r="AS27" s="50">
        <f>SUMPRODUCT(--('2026'!$A$5:$A$500=$AS$1),--('2026'!$C$5:$C$500=$B27))+SUMPRODUCT(--('2026'!$A$5:$A$500=$AS$1),--('2026'!$F$5:$F$500=$B27))+SUMPRODUCT(--('2026'!$A$5:$A$500=$AS$1),--('2026'!$D$5:$D$500=$B27))+SUMPRODUCT(--('2026'!$A$5:$A$500=$AS$1),--('2026'!$G$5:$G$500=$B27))</f>
        <v>0</v>
      </c>
      <c r="AT27" s="50">
        <f>SUMPRODUCT(--('2026'!$A$5:$A$500=$AS$1),--('2026'!$I$5:$I$500=$B27))+SUMPRODUCT(--('2026'!$A$5:$A$500=$AS$1),--('2026'!$J$5:$J$500=$B27))</f>
        <v>0</v>
      </c>
      <c r="AU27" s="50">
        <f>SUMPRODUCT(--('2026'!$A$5:$A$500=$AU$1),--('2026'!$C$5:$C$500=$B27))+SUMPRODUCT(--('2026'!$A$5:$A$500=$AU$1),--('2026'!$F$5:$F$500=$B27))+SUMPRODUCT(--('2026'!$A$5:$A$500=$AU$1),--('2026'!$D$5:$D$500=$B27))+SUMPRODUCT(--('2026'!$A$5:$A$500=$AU$1),--('2026'!$G$5:$G$500=$B27))</f>
        <v>0</v>
      </c>
      <c r="AV27" s="50">
        <f>SUMPRODUCT(--('2026'!$A$5:$A$500=$AU$1),--('2026'!$I$5:$I$500=$B27))+SUMPRODUCT(--('2026'!$A$5:$A$500=$AU$1),--('2026'!$J$5:$J$500=$B27))</f>
        <v>0</v>
      </c>
      <c r="AW27" s="50">
        <f>SUMPRODUCT(--('2026'!$A$5:$A$500=$AW$1),--('2026'!$C$5:$C$500=$B27))+SUMPRODUCT(--('2026'!$A$5:$A$500=$AW$1),--('2026'!$F$5:$F$500=$B27))+SUMPRODUCT(--('2026'!$A$5:$A$500=$AW$1),--('2026'!$D$5:$D$500=$B27))+SUMPRODUCT(--('2026'!$A$5:$A$500=$AW$1),--('2026'!$G$5:$G$500=$B27))</f>
        <v>0</v>
      </c>
      <c r="AX27" s="50">
        <f>SUMPRODUCT(--('2026'!$A$5:$A$500=$AW$1),--('2026'!$I$5:$I$500=$B27))+SUMPRODUCT(--('2026'!$A$5:$A$500=$AW$1),--('2026'!$J$5:$J$500=$B27))</f>
        <v>0</v>
      </c>
      <c r="BA27" s="54" t="s">
        <v>0</v>
      </c>
      <c r="BB27" s="47">
        <f t="shared" si="0"/>
        <v>0</v>
      </c>
      <c r="BC27" s="52">
        <f t="shared" si="1"/>
        <v>0</v>
      </c>
    </row>
    <row r="28" spans="1:55" ht="15" x14ac:dyDescent="0.25">
      <c r="A28">
        <v>26</v>
      </c>
      <c r="B28" s="54" t="s">
        <v>5</v>
      </c>
      <c r="C28" s="50">
        <f>SUMPRODUCT(--('2026'!$A$5:$A$500=$C$1),--('2026'!$C$5:$C$500=$B28))+SUMPRODUCT(--('2026'!$A$5:$A$500=$C$1),--('2026'!$F$5:$F$500=$B28))+SUMPRODUCT(--('2026'!$A$5:$A$500=$C$1),--('2026'!$D$5:$D$500=$B28))+SUMPRODUCT(--('2026'!$A$5:$A$500=$C$1),--('2026'!$G$5:$G$500=$B28))</f>
        <v>0</v>
      </c>
      <c r="D28" s="50">
        <f>SUMPRODUCT(--('2026'!$A$5:$A$500=$C$1),--('2026'!$I$5:$I$500=$B28))+SUMPRODUCT(--('2026'!$A$5:$A$500=$C$1),--('2026'!$J$5:$J$500=$B28))</f>
        <v>0</v>
      </c>
      <c r="E28" s="50">
        <f>SUMPRODUCT(--('2026'!$A$5:$A$500=$E$1),--('2026'!$C$5:$C$500=$B28))+SUMPRODUCT(--('2026'!$A$5:$A$500=$E$1),--('2026'!$F$5:$F$500=$B28))+SUMPRODUCT(--('2026'!$A$5:$A$500=$E$1),--('2026'!$D$5:$D$500=$B28))+SUMPRODUCT(--('2026'!$A$5:$A$500=$E$1),--('2026'!$G$5:$G$500=$B28))</f>
        <v>0</v>
      </c>
      <c r="F28" s="50">
        <f>SUMPRODUCT(--('2026'!$A$5:$A$500=$E$1),--('2026'!$I$5:$I$500=$B28))+SUMPRODUCT(--('2026'!$A$5:$A$500=$E$1),--('2026'!$J$5:$J$500=$B28))</f>
        <v>0</v>
      </c>
      <c r="G28" s="50">
        <f>SUMPRODUCT(--('2026'!$A$5:$A$500=$G$1),--('2026'!$C$5:$C$500=$B28))+SUMPRODUCT(--('2026'!$A$5:$A$500=$G$1),--('2026'!$F$5:$F$500=$B28))+SUMPRODUCT(--('2026'!$A$5:$A$500=$G$1),--('2026'!$D$5:$D$500=$B28))+SUMPRODUCT(--('2026'!$A$5:$A$500=$G$1),--('2026'!$G$5:$G$500=$B28))</f>
        <v>0</v>
      </c>
      <c r="H28" s="50">
        <f>SUMPRODUCT(--('2026'!$A$5:$A$500=$G$1),--('2026'!$I$5:$I$500=$B28))+SUMPRODUCT(--('2026'!$A$5:$A$500=$G$1),--('2026'!$J$5:$J$500=$B28))</f>
        <v>0</v>
      </c>
      <c r="I28" s="50">
        <f>SUMPRODUCT(--('2026'!$A$5:$A$500=$I$1),--('2026'!$C$5:$C$500=$B28))+SUMPRODUCT(--('2026'!$A$5:$A$500=$I$1),--('2026'!$F$5:$F$500=$B28))+SUMPRODUCT(--('2026'!$A$5:$A$500=$I$1),--('2026'!$D$5:$D$500=$B28))+SUMPRODUCT(--('2026'!$A$5:$A$500=$I$1),--('2026'!$G$5:$G$500=$B28))</f>
        <v>0</v>
      </c>
      <c r="J28" s="50">
        <f>SUMPRODUCT(--('2026'!$A$5:$A$500=$I$1),--('2026'!$I$5:$I$500=$B28))+SUMPRODUCT(--('2026'!$A$5:$A$500=$I$1),--('2026'!$J$5:$J$500=$B28))</f>
        <v>0</v>
      </c>
      <c r="K28" s="50">
        <f>SUMPRODUCT(--('2026'!$A$5:$A$500=$K$1),--('2026'!$C$5:$C$500=$B28))+SUMPRODUCT(--('2026'!$A$5:$A$500=$K$1),--('2026'!$F$5:$F$500=$B28))+SUMPRODUCT(--('2026'!$A$5:$A$500=$K$1),--('2026'!$D$5:$D$500=$B28))+SUMPRODUCT(--('2026'!$A$5:$A$500=$K$1),--('2026'!$G$5:$G$500=$B28))</f>
        <v>0</v>
      </c>
      <c r="L28" s="50">
        <f>SUMPRODUCT(--('2026'!$A$5:$A$500=$K$1),--('2026'!$I$5:$I$500=$B28))+SUMPRODUCT(--('2026'!$A$5:$A$500=$K$1),--('2026'!$J$5:$J$500=$B28))</f>
        <v>0</v>
      </c>
      <c r="M28" s="50">
        <f>SUMPRODUCT(--('2026'!$A$5:$A$500=$M$1),--('2026'!$C$5:$C$500=$B28))+SUMPRODUCT(--('2026'!$A$5:$A$500=$M$1),--('2026'!$F$5:$F$500=$B28))+SUMPRODUCT(--('2026'!$A$5:$A$500=$M$1),--('2026'!$D$5:$D$500=$B28))+SUMPRODUCT(--('2026'!$A$5:$A$500=$M$1),--('2026'!$G$5:$G$500=$B28))</f>
        <v>0</v>
      </c>
      <c r="N28" s="50">
        <f>SUMPRODUCT(--('2026'!$A$5:$A$500=$M$1),--('2026'!$I$5:$I$500=$B28))+SUMPRODUCT(--('2026'!$A$5:$A$500=$M$1),--('2026'!$J$5:$J$500=$B28))</f>
        <v>0</v>
      </c>
      <c r="O28" s="50">
        <f>SUMPRODUCT(--('2026'!$A$5:$A$500=$O$1),--('2026'!$C$5:$C$500=$B28))+SUMPRODUCT(--('2026'!$A$5:$A$500=$O$1),--('2026'!$F$5:$F$500=$B28))+SUMPRODUCT(--('2026'!$A$5:$A$500=$O$1),--('2026'!$D$5:$D$500=$B28))+SUMPRODUCT(--('2026'!$A$5:$A$500=$O$1),--('2026'!$G$5:$G$500=$B28))</f>
        <v>0</v>
      </c>
      <c r="P28" s="50">
        <f>SUMPRODUCT(--('2026'!$A$5:$A$500=$O$1),--('2026'!$I$5:$I$500=$B28))+SUMPRODUCT(--('2026'!$A$5:$A$500=$O$1),--('2026'!$J$5:$J$500=$B28))</f>
        <v>0</v>
      </c>
      <c r="Q28" s="50">
        <f>SUMPRODUCT(--('2026'!$A$5:$A$500=$Q$1),--('2026'!$C$5:$C$500=$B28))+SUMPRODUCT(--('2026'!$A$5:$A$500=$Q$1),--('2026'!$F$5:$F$500=$B28))+SUMPRODUCT(--('2026'!$A$5:$A$500=$Q$1),--('2026'!$D$5:$D$500=$B28))+SUMPRODUCT(--('2026'!$A$5:$A$500=$Q$1),--('2026'!$G$5:$G$500=$B28))</f>
        <v>0</v>
      </c>
      <c r="R28" s="50">
        <f>SUMPRODUCT(--('2026'!$A$5:$A$500=$Q$1),--('2026'!$I$5:$I$500=$B28))+SUMPRODUCT(--('2026'!$A$5:$A$500=$Q$1),--('2026'!$J$5:$J$500=$B28))</f>
        <v>0</v>
      </c>
      <c r="S28" s="50">
        <f>SUMPRODUCT(--('2026'!$A$5:$A$500=$S$1),--('2026'!$C$5:$C$500=$B28))+SUMPRODUCT(--('2026'!$A$5:$A$500=$S$1),--('2026'!$F$5:$F$500=$B28))+SUMPRODUCT(--('2026'!$A$5:$A$500=$S$1),--('2026'!$D$5:$D$500=$B28))+SUMPRODUCT(--('2026'!$A$5:$A$500=$S$1),--('2026'!$G$5:$G$500=$B28))</f>
        <v>0</v>
      </c>
      <c r="T28" s="50">
        <f>SUMPRODUCT(--('2026'!$A$5:$A$500=$S$1),--('2026'!$I$5:$I$500=$B28))+SUMPRODUCT(--('2026'!$A$5:$A$500=$S$1),--('2026'!$J$5:$J$500=$B28))</f>
        <v>0</v>
      </c>
      <c r="U28" s="50">
        <f>SUMPRODUCT(--('2026'!$A$5:$A$500=$U$1),--('2026'!$C$5:$C$500=$B28))+SUMPRODUCT(--('2026'!$A$5:$A$500=$U$1),--('2026'!$F$5:$F$500=$B28))+SUMPRODUCT(--('2026'!$A$5:$A$500=$U$1),--('2026'!$D$5:$D$500=$B28))+SUMPRODUCT(--('2026'!$A$5:$A$500=$U$1),--('2026'!$G$5:$G$500=$B28))</f>
        <v>0</v>
      </c>
      <c r="V28" s="50">
        <f>SUMPRODUCT(--('2026'!$A$5:$A$500=$U$1),--('2026'!$I$5:$I$500=$B28))+SUMPRODUCT(--('2026'!$A$5:$A$500=$U$1),--('2026'!$J$5:$J$500=$B28))</f>
        <v>0</v>
      </c>
      <c r="W28" s="50">
        <f>SUMPRODUCT(--('2026'!$A$5:$A$500=$W$1),--('2026'!$C$5:$C$500=$B28))+SUMPRODUCT(--('2026'!$A$5:$A$500=$W$1),--('2026'!$F$5:$F$500=$B28))+SUMPRODUCT(--('2026'!$A$5:$A$500=$W$1),--('2026'!$D$5:$D$500=$B28))+SUMPRODUCT(--('2026'!$A$5:$A$500=$W$1),--('2026'!$G$5:$G$500=$B28))</f>
        <v>0</v>
      </c>
      <c r="X28" s="50">
        <f>SUMPRODUCT(--('2026'!$A$5:$A$500=$W$1),--('2026'!$I$5:$I$500=$B28))+SUMPRODUCT(--('2026'!$A$5:$A$500=$W$1),--('2026'!$J$5:$J$500=$B28))</f>
        <v>0</v>
      </c>
      <c r="Y28" s="51">
        <f>SUMPRODUCT(--('2026'!$A$5:$A$500=$Y$1),--('2026'!$C$5:$C$500=$B28))+SUMPRODUCT(--('2026'!$A$5:$A$500=$Y$1),--('2026'!$F$5:$F$500=$B28))+SUMPRODUCT(--('2026'!$A$5:$A$500=$Y$1),--('2026'!$D$5:$D$500=$B28))+SUMPRODUCT(--('2026'!$A$5:$A$500=$Y$1),--('2026'!$G$5:$G$500=$B28))</f>
        <v>0</v>
      </c>
      <c r="Z28" s="51">
        <f>SUMPRODUCT(--('2026'!$A$5:$A$500=$Y$1),--('2026'!$I$5:$I$500=$B28))+SUMPRODUCT(--('2026'!$A$5:$A$500=$Y$1),--('2026'!$J$5:$J$500=$B28))</f>
        <v>0</v>
      </c>
      <c r="AA28" s="51">
        <f>SUMPRODUCT(--('2026'!$A$5:$A$500=$AA$1),--('2026'!$C$5:$C$500=$B28))+SUMPRODUCT(--('2026'!$A$5:$A$500=$AA$1),--('2026'!$F$5:$F$500=$B28))+SUMPRODUCT(--('2026'!$A$5:$A$500=$AA$1),--('2026'!$D$5:$D$500=$B28))+SUMPRODUCT(--('2026'!$A$5:$A$500=$AA$1),--('2026'!$G$5:$G$500=$B28))</f>
        <v>0</v>
      </c>
      <c r="AB28" s="51">
        <f>SUMPRODUCT(--('2026'!$A$5:$A$500=$AA$1),--('2026'!$I$5:$I$500=$B28))+SUMPRODUCT(--('2026'!$A$5:$A$500=$AA$1),--('2026'!$J$5:$J$500=$B28))</f>
        <v>0</v>
      </c>
      <c r="AC28" s="51">
        <f>SUMPRODUCT(--('2026'!$A$5:$A$500=$AC$1),--('2026'!$C$5:$C$500=$B28))+SUMPRODUCT(--('2026'!$A$5:$A$500=$AC$1),--('2026'!$F$5:$F$500=$B28))+SUMPRODUCT(--('2026'!$A$5:$A$500=$AC$1),--('2026'!$D$5:$D$500=$B28))+SUMPRODUCT(--('2026'!$A$5:$A$500=$AC$1),--('2026'!$G$5:$G$500=$B28))</f>
        <v>0</v>
      </c>
      <c r="AD28" s="51">
        <f>SUMPRODUCT(--('2026'!$A$5:$A$500=$AC$1),--('2026'!$I$5:$I$500=$B28))+SUMPRODUCT(--('2026'!$A$5:$A$500=$AC$1),--('2026'!$J$5:$J$500=$B28))</f>
        <v>0</v>
      </c>
      <c r="AE28" s="61">
        <f>SUMPRODUCT(--('2026'!$A$5:$A$500=$AE$1),--('2026'!$C$5:$C$500=$B28))+SUMPRODUCT(--('2026'!$A$5:$A$500=$AE$1),--('2026'!$F$5:$F$500=$B28))+SUMPRODUCT(--('2026'!$A$5:$A$500=$AE$1),--('2026'!$D$5:$D$500=$B28))+SUMPRODUCT(--('2026'!$A$5:$A$500=$AE$1),--('2026'!$G$5:$G$500=$B28))</f>
        <v>0</v>
      </c>
      <c r="AF28" s="61">
        <f>SUMPRODUCT(--('2026'!$A$5:$A$500=$AE$1),--('2026'!$I$5:$I$500=$B28))+SUMPRODUCT(--('2026'!$A$5:$A$500=$AE$1),--('2026'!$J$5:$J$500=$B28))</f>
        <v>0</v>
      </c>
      <c r="AG28" s="51">
        <f>SUMPRODUCT(--('2026'!$A$5:$A$500=$AG$1),--('2026'!$C$5:$C$500=$B28))+SUMPRODUCT(--('2026'!$A$5:$A$500=$AG$1),--('2026'!$F$5:$F$500=$B28))+SUMPRODUCT(--('2026'!$A$5:$A$500=$AG$1),--('2026'!$D$5:$D$500=$B28))+SUMPRODUCT(--('2026'!$A$5:$A$500=$AG$1),--('2026'!$G$5:$G$500=$B28))</f>
        <v>0</v>
      </c>
      <c r="AH28" s="51">
        <f>SUMPRODUCT(--('2026'!$A$5:$A$500=$AG$1),--('2026'!$I$5:$I$500=$B28))+SUMPRODUCT(--('2026'!$A$5:$A$500=$AG$1),--('2026'!$J$5:$J$500=$B28))</f>
        <v>0</v>
      </c>
      <c r="AI28" s="51">
        <f>SUMPRODUCT(--('2026'!$A$5:$A$500=$AI$1),--('2026'!$C$5:$C$500=$B28))+SUMPRODUCT(--('2026'!$A$5:$A$500=$AI$1),--('2026'!$F$5:$F$500=$B28))+SUMPRODUCT(--('2026'!$A$5:$A$500=$AI$1),--('2026'!$D$5:$D$500=$B28))+SUMPRODUCT(--('2026'!$A$5:$A$500=$AI$1),--('2026'!$G$5:$G$500=$B28))</f>
        <v>0</v>
      </c>
      <c r="AJ28" s="51">
        <f>SUMPRODUCT(--('2026'!$A$5:$A$500=$AI$1),--('2026'!$I$5:$I$500=$B28))+SUMPRODUCT(--('2026'!$A$5:$A$500=$AI$1),--('2026'!$J$5:$J$500=$B28))</f>
        <v>0</v>
      </c>
      <c r="AK28" s="51">
        <f>SUMPRODUCT(--('2026'!$A$5:$A$500=$AK$1),--('2026'!$C$5:$C$500=$B28))+SUMPRODUCT(--('2026'!$A$5:$A$500=$AK$1),--('2026'!$F$5:$F$500=$B28))+SUMPRODUCT(--('2026'!$A$5:$A$500=$AK$1),--('2026'!$D$5:$D$500=$B28))+SUMPRODUCT(--('2026'!$A$5:$A$500=$AK$1),--('2026'!$G$5:$G$500=$B28))</f>
        <v>0</v>
      </c>
      <c r="AL28" s="51">
        <f>SUMPRODUCT(--('2026'!$A$5:$A$500=$AK$1),--('2026'!$I$5:$I$500=$B28))+SUMPRODUCT(--('2026'!$A$5:$A$500=$AK$1),--('2026'!$J$5:$J$500=$B28))</f>
        <v>0</v>
      </c>
      <c r="AM28" s="51">
        <f>SUMPRODUCT(--('2026'!$A$5:$A$500=$AM$1),--('2026'!$C$5:$C$500=$B28))+SUMPRODUCT(--('2026'!$A$5:$A$500=$AM$1),--('2026'!$F$5:$F$500=$B28))+SUMPRODUCT(--('2026'!$A$5:$A$500=$AM$1),--('2026'!$D$5:$D$500=$B28))+SUMPRODUCT(--('2026'!$A$5:$A$500=$AM$1),--('2026'!$G$5:$G$500=$B28))</f>
        <v>0</v>
      </c>
      <c r="AN28" s="51">
        <f>SUMPRODUCT(--('2026'!$A$5:$A$500=$AM$1),--('2026'!$I$5:$I$500=$B28))+SUMPRODUCT(--('2026'!$A$5:$A$500=$AM$1),--('2026'!$J$5:$J$500=$B28))</f>
        <v>0</v>
      </c>
      <c r="AO28" s="51">
        <f>SUMPRODUCT(--('2026'!$A$5:$A$500=$AO$1),--('2026'!$C$5:$C$500=$B28))+SUMPRODUCT(--('2026'!$A$5:$A$500=$AO$1),--('2026'!$F$5:$F$500=$B28))+SUMPRODUCT(--('2026'!$A$5:$A$500=$AO$1),--('2026'!$D$5:$D$500=$B28))+SUMPRODUCT(--('2026'!$A$5:$A$500=$AO$1),--('2026'!$G$5:$G$500=$B28))</f>
        <v>0</v>
      </c>
      <c r="AP28" s="51">
        <f>SUMPRODUCT(--('2026'!$A$5:$A$500=$AO$1),--('2026'!$I$5:$I$500=$B28))+SUMPRODUCT(--('2026'!$A$5:$A$500=$AO$1),--('2026'!$J$5:$J$500=$B28))</f>
        <v>0</v>
      </c>
      <c r="AQ28" s="51">
        <f>SUMPRODUCT(--('2026'!$A$5:$A$500=$AQ$1),--('2026'!$C$5:$C$500=$B28))+SUMPRODUCT(--('2026'!$A$5:$A$500=$AQ$1),--('2026'!$F$5:$F$500=$B28))+SUMPRODUCT(--('2026'!$A$5:$A$500=$AQ$1),--('2026'!$D$5:$D$500=$B28))+SUMPRODUCT(--('2026'!$A$5:$A$500=$AQ$1),--('2026'!$G$5:$G$500=$B28))</f>
        <v>0</v>
      </c>
      <c r="AR28" s="51">
        <f>SUMPRODUCT(--('2026'!$A$5:$A$500=$AQ$1),--('2026'!$I$5:$I$500=$B28))+SUMPRODUCT(--('2026'!$A$5:$A$500=$AQ$1),--('2026'!$J$5:$J$500=$B28))</f>
        <v>0</v>
      </c>
      <c r="AS28" s="51">
        <f>SUMPRODUCT(--('2026'!$A$5:$A$500=$AS$1),--('2026'!$C$5:$C$500=$B28))+SUMPRODUCT(--('2026'!$A$5:$A$500=$AS$1),--('2026'!$F$5:$F$500=$B28))+SUMPRODUCT(--('2026'!$A$5:$A$500=$AS$1),--('2026'!$D$5:$D$500=$B28))+SUMPRODUCT(--('2026'!$A$5:$A$500=$AS$1),--('2026'!$G$5:$G$500=$B28))</f>
        <v>0</v>
      </c>
      <c r="AT28" s="51">
        <f>SUMPRODUCT(--('2026'!$A$5:$A$500=$AS$1),--('2026'!$I$5:$I$500=$B28))+SUMPRODUCT(--('2026'!$A$5:$A$500=$AS$1),--('2026'!$J$5:$J$500=$B28))</f>
        <v>0</v>
      </c>
      <c r="AU28" s="51">
        <f>SUMPRODUCT(--('2026'!$A$5:$A$500=$AU$1),--('2026'!$C$5:$C$500=$B28))+SUMPRODUCT(--('2026'!$A$5:$A$500=$AU$1),--('2026'!$F$5:$F$500=$B28))+SUMPRODUCT(--('2026'!$A$5:$A$500=$AU$1),--('2026'!$D$5:$D$500=$B28))+SUMPRODUCT(--('2026'!$A$5:$A$500=$AU$1),--('2026'!$G$5:$G$500=$B28))</f>
        <v>0</v>
      </c>
      <c r="AV28" s="51">
        <f>SUMPRODUCT(--('2026'!$A$5:$A$500=$AU$1),--('2026'!$I$5:$I$500=$B28))+SUMPRODUCT(--('2026'!$A$5:$A$500=$AU$1),--('2026'!$J$5:$J$500=$B28))</f>
        <v>0</v>
      </c>
      <c r="AW28" s="51">
        <f>SUMPRODUCT(--('2026'!$A$5:$A$500=$AW$1),--('2026'!$C$5:$C$500=$B28))+SUMPRODUCT(--('2026'!$A$5:$A$500=$AW$1),--('2026'!$F$5:$F$500=$B28))+SUMPRODUCT(--('2026'!$A$5:$A$500=$AW$1),--('2026'!$D$5:$D$500=$B28))+SUMPRODUCT(--('2026'!$A$5:$A$500=$AW$1),--('2026'!$G$5:$G$500=$B28))</f>
        <v>0</v>
      </c>
      <c r="AX28" s="51">
        <f>SUMPRODUCT(--('2026'!$A$5:$A$500=$AW$1),--('2026'!$I$5:$I$500=$B28))+SUMPRODUCT(--('2026'!$A$5:$A$500=$AW$1),--('2026'!$J$5:$J$500=$B28))</f>
        <v>0</v>
      </c>
      <c r="BA28" s="54" t="s">
        <v>5</v>
      </c>
      <c r="BB28" s="47">
        <f>IF(ISODD(COUNTIF(C28:AX28,"&gt;0")),COUNTIF(C28:AX28,"&gt;0")+1,COUNTIF(C28:AX28,"&gt;0"))/2</f>
        <v>0</v>
      </c>
      <c r="BC28" s="52">
        <f>BB28/15</f>
        <v>0</v>
      </c>
    </row>
    <row r="29" spans="1:55" ht="15" x14ac:dyDescent="0.25">
      <c r="A29">
        <v>27</v>
      </c>
      <c r="B29" s="54" t="s">
        <v>94</v>
      </c>
      <c r="C29" s="50">
        <f>SUMPRODUCT(--('2026'!$A$5:$A$500=$C$1),--('2026'!$C$5:$C$500=$B29))+SUMPRODUCT(--('2026'!$A$5:$A$500=$C$1),--('2026'!$F$5:$F$500=$B29))+SUMPRODUCT(--('2026'!$A$5:$A$500=$C$1),--('2026'!$D$5:$D$500=$B29))+SUMPRODUCT(--('2026'!$A$5:$A$500=$C$1),--('2026'!$G$5:$G$500=$B29))</f>
        <v>0</v>
      </c>
      <c r="D29" s="50">
        <f>SUMPRODUCT(--('2026'!$A$5:$A$500=$C$1),--('2026'!$I$5:$I$500=$B29))+SUMPRODUCT(--('2026'!$A$5:$A$500=$C$1),--('2026'!$J$5:$J$500=$B29))</f>
        <v>0</v>
      </c>
      <c r="E29" s="50">
        <f>SUMPRODUCT(--('2026'!$A$5:$A$500=$E$1),--('2026'!$C$5:$C$500=$B29))+SUMPRODUCT(--('2026'!$A$5:$A$500=$E$1),--('2026'!$F$5:$F$500=$B29))+SUMPRODUCT(--('2026'!$A$5:$A$500=$E$1),--('2026'!$D$5:$D$500=$B29))+SUMPRODUCT(--('2026'!$A$5:$A$500=$E$1),--('2026'!$G$5:$G$500=$B29))</f>
        <v>0</v>
      </c>
      <c r="F29" s="50">
        <f>SUMPRODUCT(--('2026'!$A$5:$A$500=$E$1),--('2026'!$I$5:$I$500=$B29))+SUMPRODUCT(--('2026'!$A$5:$A$500=$E$1),--('2026'!$J$5:$J$500=$B29))</f>
        <v>0</v>
      </c>
      <c r="G29" s="50">
        <f>SUMPRODUCT(--('2026'!$A$5:$A$500=$G$1),--('2026'!$C$5:$C$500=$B29))+SUMPRODUCT(--('2026'!$A$5:$A$500=$G$1),--('2026'!$F$5:$F$500=$B29))+SUMPRODUCT(--('2026'!$A$5:$A$500=$G$1),--('2026'!$D$5:$D$500=$B29))+SUMPRODUCT(--('2026'!$A$5:$A$500=$G$1),--('2026'!$G$5:$G$500=$B29))</f>
        <v>0</v>
      </c>
      <c r="H29" s="50">
        <f>SUMPRODUCT(--('2026'!$A$5:$A$500=$G$1),--('2026'!$I$5:$I$500=$B29))+SUMPRODUCT(--('2026'!$A$5:$A$500=$G$1),--('2026'!$J$5:$J$500=$B29))</f>
        <v>0</v>
      </c>
      <c r="I29" s="50">
        <f>SUMPRODUCT(--('2026'!$A$5:$A$500=$I$1),--('2026'!$C$5:$C$500=$B29))+SUMPRODUCT(--('2026'!$A$5:$A$500=$I$1),--('2026'!$F$5:$F$500=$B29))+SUMPRODUCT(--('2026'!$A$5:$A$500=$I$1),--('2026'!$D$5:$D$500=$B29))+SUMPRODUCT(--('2026'!$A$5:$A$500=$I$1),--('2026'!$G$5:$G$500=$B29))</f>
        <v>0</v>
      </c>
      <c r="J29" s="50">
        <f>SUMPRODUCT(--('2026'!$A$5:$A$500=$I$1),--('2026'!$I$5:$I$500=$B29))+SUMPRODUCT(--('2026'!$A$5:$A$500=$I$1),--('2026'!$J$5:$J$500=$B29))</f>
        <v>0</v>
      </c>
      <c r="K29" s="50">
        <f>SUMPRODUCT(--('2026'!$A$5:$A$500=$K$1),--('2026'!$C$5:$C$500=$B29))+SUMPRODUCT(--('2026'!$A$5:$A$500=$K$1),--('2026'!$F$5:$F$500=$B29))+SUMPRODUCT(--('2026'!$A$5:$A$500=$K$1),--('2026'!$D$5:$D$500=$B29))+SUMPRODUCT(--('2026'!$A$5:$A$500=$K$1),--('2026'!$G$5:$G$500=$B29))</f>
        <v>0</v>
      </c>
      <c r="L29" s="50">
        <f>SUMPRODUCT(--('2026'!$A$5:$A$500=$K$1),--('2026'!$I$5:$I$500=$B29))+SUMPRODUCT(--('2026'!$A$5:$A$500=$K$1),--('2026'!$J$5:$J$500=$B29))</f>
        <v>0</v>
      </c>
      <c r="M29" s="50">
        <f>SUMPRODUCT(--('2026'!$A$5:$A$500=$M$1),--('2026'!$C$5:$C$500=$B29))+SUMPRODUCT(--('2026'!$A$5:$A$500=$M$1),--('2026'!$F$5:$F$500=$B29))+SUMPRODUCT(--('2026'!$A$5:$A$500=$M$1),--('2026'!$D$5:$D$500=$B29))+SUMPRODUCT(--('2026'!$A$5:$A$500=$M$1),--('2026'!$G$5:$G$500=$B29))</f>
        <v>0</v>
      </c>
      <c r="N29" s="50">
        <f>SUMPRODUCT(--('2026'!$A$5:$A$500=$M$1),--('2026'!$I$5:$I$500=$B29))+SUMPRODUCT(--('2026'!$A$5:$A$500=$M$1),--('2026'!$J$5:$J$500=$B29))</f>
        <v>0</v>
      </c>
      <c r="O29" s="50">
        <f>SUMPRODUCT(--('2026'!$A$5:$A$500=$O$1),--('2026'!$C$5:$C$500=$B29))+SUMPRODUCT(--('2026'!$A$5:$A$500=$O$1),--('2026'!$F$5:$F$500=$B29))+SUMPRODUCT(--('2026'!$A$5:$A$500=$O$1),--('2026'!$D$5:$D$500=$B29))+SUMPRODUCT(--('2026'!$A$5:$A$500=$O$1),--('2026'!$G$5:$G$500=$B29))</f>
        <v>0</v>
      </c>
      <c r="P29" s="50">
        <f>SUMPRODUCT(--('2026'!$A$5:$A$500=$O$1),--('2026'!$I$5:$I$500=$B29))+SUMPRODUCT(--('2026'!$A$5:$A$500=$O$1),--('2026'!$J$5:$J$500=$B29))</f>
        <v>0</v>
      </c>
      <c r="Q29" s="50">
        <f>SUMPRODUCT(--('2026'!$A$5:$A$500=$Q$1),--('2026'!$C$5:$C$500=$B29))+SUMPRODUCT(--('2026'!$A$5:$A$500=$Q$1),--('2026'!$F$5:$F$500=$B29))+SUMPRODUCT(--('2026'!$A$5:$A$500=$Q$1),--('2026'!$D$5:$D$500=$B29))+SUMPRODUCT(--('2026'!$A$5:$A$500=$Q$1),--('2026'!$G$5:$G$500=$B29))</f>
        <v>0</v>
      </c>
      <c r="R29" s="50">
        <f>SUMPRODUCT(--('2026'!$A$5:$A$500=$Q$1),--('2026'!$I$5:$I$500=$B29))+SUMPRODUCT(--('2026'!$A$5:$A$500=$Q$1),--('2026'!$J$5:$J$500=$B29))</f>
        <v>0</v>
      </c>
      <c r="S29" s="50">
        <f>SUMPRODUCT(--('2026'!$A$5:$A$500=$S$1),--('2026'!$C$5:$C$500=$B29))+SUMPRODUCT(--('2026'!$A$5:$A$500=$S$1),--('2026'!$F$5:$F$500=$B29))+SUMPRODUCT(--('2026'!$A$5:$A$500=$S$1),--('2026'!$D$5:$D$500=$B29))+SUMPRODUCT(--('2026'!$A$5:$A$500=$S$1),--('2026'!$G$5:$G$500=$B29))</f>
        <v>0</v>
      </c>
      <c r="T29" s="50">
        <f>SUMPRODUCT(--('2026'!$A$5:$A$500=$S$1),--('2026'!$I$5:$I$500=$B29))+SUMPRODUCT(--('2026'!$A$5:$A$500=$S$1),--('2026'!$J$5:$J$500=$B29))</f>
        <v>0</v>
      </c>
      <c r="U29" s="50">
        <f>SUMPRODUCT(--('2026'!$A$5:$A$500=$U$1),--('2026'!$C$5:$C$500=$B29))+SUMPRODUCT(--('2026'!$A$5:$A$500=$U$1),--('2026'!$F$5:$F$500=$B29))+SUMPRODUCT(--('2026'!$A$5:$A$500=$U$1),--('2026'!$D$5:$D$500=$B29))+SUMPRODUCT(--('2026'!$A$5:$A$500=$U$1),--('2026'!$G$5:$G$500=$B29))</f>
        <v>0</v>
      </c>
      <c r="V29" s="50">
        <f>SUMPRODUCT(--('2026'!$A$5:$A$500=$U$1),--('2026'!$I$5:$I$500=$B29))+SUMPRODUCT(--('2026'!$A$5:$A$500=$U$1),--('2026'!$J$5:$J$500=$B29))</f>
        <v>0</v>
      </c>
      <c r="W29" s="50">
        <f>SUMPRODUCT(--('2026'!$A$5:$A$500=$W$1),--('2026'!$C$5:$C$500=$B29))+SUMPRODUCT(--('2026'!$A$5:$A$500=$W$1),--('2026'!$F$5:$F$500=$B29))+SUMPRODUCT(--('2026'!$A$5:$A$500=$W$1),--('2026'!$D$5:$D$500=$B29))+SUMPRODUCT(--('2026'!$A$5:$A$500=$W$1),--('2026'!$G$5:$G$500=$B29))</f>
        <v>0</v>
      </c>
      <c r="X29" s="50">
        <f>SUMPRODUCT(--('2026'!$A$5:$A$500=$W$1),--('2026'!$I$5:$I$500=$B29))+SUMPRODUCT(--('2026'!$A$5:$A$500=$W$1),--('2026'!$J$5:$J$500=$B29))</f>
        <v>0</v>
      </c>
      <c r="Y29" s="51">
        <f>SUMPRODUCT(--('2026'!$A$5:$A$500=$Y$1),--('2026'!$C$5:$C$500=$B29))+SUMPRODUCT(--('2026'!$A$5:$A$500=$Y$1),--('2026'!$F$5:$F$500=$B29))+SUMPRODUCT(--('2026'!$A$5:$A$500=$Y$1),--('2026'!$D$5:$D$500=$B29))+SUMPRODUCT(--('2026'!$A$5:$A$500=$Y$1),--('2026'!$G$5:$G$500=$B29))</f>
        <v>0</v>
      </c>
      <c r="Z29" s="51">
        <f>SUMPRODUCT(--('2026'!$A$5:$A$500=$Y$1),--('2026'!$I$5:$I$500=$B29))+SUMPRODUCT(--('2026'!$A$5:$A$500=$Y$1),--('2026'!$J$5:$J$500=$B29))</f>
        <v>0</v>
      </c>
      <c r="AA29" s="51">
        <f>SUMPRODUCT(--('2026'!$A$5:$A$500=$AA$1),--('2026'!$C$5:$C$500=$B29))+SUMPRODUCT(--('2026'!$A$5:$A$500=$AA$1),--('2026'!$F$5:$F$500=$B29))+SUMPRODUCT(--('2026'!$A$5:$A$500=$AA$1),--('2026'!$D$5:$D$500=$B29))+SUMPRODUCT(--('2026'!$A$5:$A$500=$AA$1),--('2026'!$G$5:$G$500=$B29))</f>
        <v>0</v>
      </c>
      <c r="AB29" s="51">
        <f>SUMPRODUCT(--('2026'!$A$5:$A$500=$AA$1),--('2026'!$I$5:$I$500=$B29))+SUMPRODUCT(--('2026'!$A$5:$A$500=$AA$1),--('2026'!$J$5:$J$500=$B29))</f>
        <v>0</v>
      </c>
      <c r="AC29" s="51">
        <f>SUMPRODUCT(--('2026'!$A$5:$A$500=$AC$1),--('2026'!$C$5:$C$500=$B29))+SUMPRODUCT(--('2026'!$A$5:$A$500=$AC$1),--('2026'!$F$5:$F$500=$B29))+SUMPRODUCT(--('2026'!$A$5:$A$500=$AC$1),--('2026'!$D$5:$D$500=$B29))+SUMPRODUCT(--('2026'!$A$5:$A$500=$AC$1),--('2026'!$G$5:$G$500=$B29))</f>
        <v>0</v>
      </c>
      <c r="AD29" s="51">
        <f>SUMPRODUCT(--('2026'!$A$5:$A$500=$AC$1),--('2026'!$I$5:$I$500=$B29))+SUMPRODUCT(--('2026'!$A$5:$A$500=$AC$1),--('2026'!$J$5:$J$500=$B29))</f>
        <v>0</v>
      </c>
      <c r="AE29" s="61">
        <f>SUMPRODUCT(--('2026'!$A$5:$A$500=$AE$1),--('2026'!$C$5:$C$500=$B29))+SUMPRODUCT(--('2026'!$A$5:$A$500=$AE$1),--('2026'!$F$5:$F$500=$B29))+SUMPRODUCT(--('2026'!$A$5:$A$500=$AE$1),--('2026'!$D$5:$D$500=$B29))+SUMPRODUCT(--('2026'!$A$5:$A$500=$AE$1),--('2026'!$G$5:$G$500=$B29))</f>
        <v>0</v>
      </c>
      <c r="AF29" s="61">
        <f>SUMPRODUCT(--('2026'!$A$5:$A$500=$AE$1),--('2026'!$I$5:$I$500=$B29))+SUMPRODUCT(--('2026'!$A$5:$A$500=$AE$1),--('2026'!$J$5:$J$500=$B29))</f>
        <v>0</v>
      </c>
      <c r="AG29" s="51">
        <f>SUMPRODUCT(--('2026'!$A$5:$A$500=$AG$1),--('2026'!$C$5:$C$500=$B29))+SUMPRODUCT(--('2026'!$A$5:$A$500=$AG$1),--('2026'!$F$5:$F$500=$B29))+SUMPRODUCT(--('2026'!$A$5:$A$500=$AG$1),--('2026'!$D$5:$D$500=$B29))+SUMPRODUCT(--('2026'!$A$5:$A$500=$AG$1),--('2026'!$G$5:$G$500=$B29))</f>
        <v>0</v>
      </c>
      <c r="AH29" s="51">
        <f>SUMPRODUCT(--('2026'!$A$5:$A$500=$AG$1),--('2026'!$I$5:$I$500=$B29))+SUMPRODUCT(--('2026'!$A$5:$A$500=$AG$1),--('2026'!$J$5:$J$500=$B29))</f>
        <v>0</v>
      </c>
      <c r="AI29" s="51">
        <f>SUMPRODUCT(--('2026'!$A$5:$A$500=$AI$1),--('2026'!$C$5:$C$500=$B29))+SUMPRODUCT(--('2026'!$A$5:$A$500=$AI$1),--('2026'!$F$5:$F$500=$B29))+SUMPRODUCT(--('2026'!$A$5:$A$500=$AI$1),--('2026'!$D$5:$D$500=$B29))+SUMPRODUCT(--('2026'!$A$5:$A$500=$AI$1),--('2026'!$G$5:$G$500=$B29))</f>
        <v>0</v>
      </c>
      <c r="AJ29" s="51">
        <f>SUMPRODUCT(--('2026'!$A$5:$A$500=$AI$1),--('2026'!$I$5:$I$500=$B29))+SUMPRODUCT(--('2026'!$A$5:$A$500=$AI$1),--('2026'!$J$5:$J$500=$B29))</f>
        <v>0</v>
      </c>
      <c r="AK29" s="51">
        <f>SUMPRODUCT(--('2026'!$A$5:$A$500=$AK$1),--('2026'!$C$5:$C$500=$B29))+SUMPRODUCT(--('2026'!$A$5:$A$500=$AK$1),--('2026'!$F$5:$F$500=$B29))+SUMPRODUCT(--('2026'!$A$5:$A$500=$AK$1),--('2026'!$D$5:$D$500=$B29))+SUMPRODUCT(--('2026'!$A$5:$A$500=$AK$1),--('2026'!$G$5:$G$500=$B29))</f>
        <v>0</v>
      </c>
      <c r="AL29" s="51">
        <f>SUMPRODUCT(--('2026'!$A$5:$A$500=$AK$1),--('2026'!$I$5:$I$500=$B29))+SUMPRODUCT(--('2026'!$A$5:$A$500=$AK$1),--('2026'!$J$5:$J$500=$B29))</f>
        <v>0</v>
      </c>
      <c r="AM29" s="51">
        <f>SUMPRODUCT(--('2026'!$A$5:$A$500=$AM$1),--('2026'!$C$5:$C$500=$B29))+SUMPRODUCT(--('2026'!$A$5:$A$500=$AM$1),--('2026'!$F$5:$F$500=$B29))+SUMPRODUCT(--('2026'!$A$5:$A$500=$AM$1),--('2026'!$D$5:$D$500=$B29))+SUMPRODUCT(--('2026'!$A$5:$A$500=$AM$1),--('2026'!$G$5:$G$500=$B29))</f>
        <v>0</v>
      </c>
      <c r="AN29" s="51">
        <f>SUMPRODUCT(--('2026'!$A$5:$A$500=$AM$1),--('2026'!$I$5:$I$500=$B29))+SUMPRODUCT(--('2026'!$A$5:$A$500=$AM$1),--('2026'!$J$5:$J$500=$B29))</f>
        <v>0</v>
      </c>
      <c r="AO29" s="51">
        <f>SUMPRODUCT(--('2026'!$A$5:$A$500=$AO$1),--('2026'!$C$5:$C$500=$B29))+SUMPRODUCT(--('2026'!$A$5:$A$500=$AO$1),--('2026'!$F$5:$F$500=$B29))+SUMPRODUCT(--('2026'!$A$5:$A$500=$AO$1),--('2026'!$D$5:$D$500=$B29))+SUMPRODUCT(--('2026'!$A$5:$A$500=$AO$1),--('2026'!$G$5:$G$500=$B29))</f>
        <v>0</v>
      </c>
      <c r="AP29" s="51">
        <f>SUMPRODUCT(--('2026'!$A$5:$A$500=$AO$1),--('2026'!$I$5:$I$500=$B29))+SUMPRODUCT(--('2026'!$A$5:$A$500=$AO$1),--('2026'!$J$5:$J$500=$B29))</f>
        <v>0</v>
      </c>
      <c r="AQ29" s="51">
        <f>SUMPRODUCT(--('2026'!$A$5:$A$500=$AQ$1),--('2026'!$C$5:$C$500=$B29))+SUMPRODUCT(--('2026'!$A$5:$A$500=$AQ$1),--('2026'!$F$5:$F$500=$B29))+SUMPRODUCT(--('2026'!$A$5:$A$500=$AQ$1),--('2026'!$D$5:$D$500=$B29))+SUMPRODUCT(--('2026'!$A$5:$A$500=$AQ$1),--('2026'!$G$5:$G$500=$B29))</f>
        <v>0</v>
      </c>
      <c r="AR29" s="51">
        <f>SUMPRODUCT(--('2026'!$A$5:$A$500=$AQ$1),--('2026'!$I$5:$I$500=$B29))+SUMPRODUCT(--('2026'!$A$5:$A$500=$AQ$1),--('2026'!$J$5:$J$500=$B29))</f>
        <v>0</v>
      </c>
      <c r="AS29" s="51">
        <f>SUMPRODUCT(--('2026'!$A$5:$A$500=$AS$1),--('2026'!$C$5:$C$500=$B29))+SUMPRODUCT(--('2026'!$A$5:$A$500=$AS$1),--('2026'!$F$5:$F$500=$B29))+SUMPRODUCT(--('2026'!$A$5:$A$500=$AS$1),--('2026'!$D$5:$D$500=$B29))+SUMPRODUCT(--('2026'!$A$5:$A$500=$AS$1),--('2026'!$G$5:$G$500=$B29))</f>
        <v>0</v>
      </c>
      <c r="AT29" s="51">
        <f>SUMPRODUCT(--('2026'!$A$5:$A$500=$AS$1),--('2026'!$I$5:$I$500=$B29))+SUMPRODUCT(--('2026'!$A$5:$A$500=$AS$1),--('2026'!$J$5:$J$500=$B29))</f>
        <v>0</v>
      </c>
      <c r="AU29" s="51">
        <f>SUMPRODUCT(--('2026'!$A$5:$A$500=$AU$1),--('2026'!$C$5:$C$500=$B29))+SUMPRODUCT(--('2026'!$A$5:$A$500=$AU$1),--('2026'!$F$5:$F$500=$B29))+SUMPRODUCT(--('2026'!$A$5:$A$500=$AU$1),--('2026'!$D$5:$D$500=$B29))+SUMPRODUCT(--('2026'!$A$5:$A$500=$AU$1),--('2026'!$G$5:$G$500=$B29))</f>
        <v>0</v>
      </c>
      <c r="AV29" s="51">
        <f>SUMPRODUCT(--('2026'!$A$5:$A$500=$AU$1),--('2026'!$I$5:$I$500=$B29))+SUMPRODUCT(--('2026'!$A$5:$A$500=$AU$1),--('2026'!$J$5:$J$500=$B29))</f>
        <v>0</v>
      </c>
      <c r="AW29" s="51">
        <f>SUMPRODUCT(--('2026'!$A$5:$A$500=$AW$1),--('2026'!$C$5:$C$500=$B29))+SUMPRODUCT(--('2026'!$A$5:$A$500=$AW$1),--('2026'!$F$5:$F$500=$B29))+SUMPRODUCT(--('2026'!$A$5:$A$500=$AW$1),--('2026'!$D$5:$D$500=$B29))+SUMPRODUCT(--('2026'!$A$5:$A$500=$AW$1),--('2026'!$G$5:$G$500=$B29))</f>
        <v>0</v>
      </c>
      <c r="AX29" s="51">
        <f>SUMPRODUCT(--('2026'!$A$5:$A$500=$AW$1),--('2026'!$I$5:$I$500=$B29))+SUMPRODUCT(--('2026'!$A$5:$A$500=$AW$1),--('2026'!$J$5:$J$500=$B29))</f>
        <v>0</v>
      </c>
      <c r="BA29" s="54" t="s">
        <v>94</v>
      </c>
      <c r="BB29" s="47">
        <f t="shared" si="0"/>
        <v>0</v>
      </c>
      <c r="BC29" s="52">
        <f t="shared" si="1"/>
        <v>0</v>
      </c>
    </row>
    <row r="30" spans="1:55" ht="15" x14ac:dyDescent="0.25">
      <c r="A30">
        <v>28</v>
      </c>
      <c r="B30" s="54" t="s">
        <v>24</v>
      </c>
      <c r="C30" s="50">
        <f>SUMPRODUCT(--('2026'!$A$5:$A$500=$C$1),--('2026'!$C$5:$C$500=$B30))+SUMPRODUCT(--('2026'!$A$5:$A$500=$C$1),--('2026'!$F$5:$F$500=$B30))+SUMPRODUCT(--('2026'!$A$5:$A$500=$C$1),--('2026'!$D$5:$D$500=$B30))+SUMPRODUCT(--('2026'!$A$5:$A$500=$C$1),--('2026'!$G$5:$G$500=$B30))</f>
        <v>0</v>
      </c>
      <c r="D30" s="50">
        <f>SUMPRODUCT(--('2026'!$A$5:$A$500=$C$1),--('2026'!$I$5:$I$500=$B30))+SUMPRODUCT(--('2026'!$A$5:$A$500=$C$1),--('2026'!$J$5:$J$500=$B30))</f>
        <v>0</v>
      </c>
      <c r="E30" s="50">
        <f>SUMPRODUCT(--('2026'!$A$5:$A$500=$E$1),--('2026'!$C$5:$C$500=$B30))+SUMPRODUCT(--('2026'!$A$5:$A$500=$E$1),--('2026'!$F$5:$F$500=$B30))+SUMPRODUCT(--('2026'!$A$5:$A$500=$E$1),--('2026'!$D$5:$D$500=$B30))+SUMPRODUCT(--('2026'!$A$5:$A$500=$E$1),--('2026'!$G$5:$G$500=$B30))</f>
        <v>0</v>
      </c>
      <c r="F30" s="50">
        <f>SUMPRODUCT(--('2026'!$A$5:$A$500=$E$1),--('2026'!$I$5:$I$500=$B30))+SUMPRODUCT(--('2026'!$A$5:$A$500=$E$1),--('2026'!$J$5:$J$500=$B30))</f>
        <v>0</v>
      </c>
      <c r="G30" s="50">
        <f>SUMPRODUCT(--('2026'!$A$5:$A$500=$G$1),--('2026'!$C$5:$C$500=$B30))+SUMPRODUCT(--('2026'!$A$5:$A$500=$G$1),--('2026'!$F$5:$F$500=$B30))+SUMPRODUCT(--('2026'!$A$5:$A$500=$G$1),--('2026'!$D$5:$D$500=$B30))+SUMPRODUCT(--('2026'!$A$5:$A$500=$G$1),--('2026'!$G$5:$G$500=$B30))</f>
        <v>0</v>
      </c>
      <c r="H30" s="50">
        <f>SUMPRODUCT(--('2026'!$A$5:$A$500=$G$1),--('2026'!$I$5:$I$500=$B30))+SUMPRODUCT(--('2026'!$A$5:$A$500=$G$1),--('2026'!$J$5:$J$500=$B30))</f>
        <v>0</v>
      </c>
      <c r="I30" s="50">
        <f>SUMPRODUCT(--('2026'!$A$5:$A$500=$I$1),--('2026'!$C$5:$C$500=$B30))+SUMPRODUCT(--('2026'!$A$5:$A$500=$I$1),--('2026'!$F$5:$F$500=$B30))+SUMPRODUCT(--('2026'!$A$5:$A$500=$I$1),--('2026'!$D$5:$D$500=$B30))+SUMPRODUCT(--('2026'!$A$5:$A$500=$I$1),--('2026'!$G$5:$G$500=$B30))</f>
        <v>0</v>
      </c>
      <c r="J30" s="50">
        <f>SUMPRODUCT(--('2026'!$A$5:$A$500=$I$1),--('2026'!$I$5:$I$500=$B30))+SUMPRODUCT(--('2026'!$A$5:$A$500=$I$1),--('2026'!$J$5:$J$500=$B30))</f>
        <v>0</v>
      </c>
      <c r="K30" s="50">
        <f>SUMPRODUCT(--('2026'!$A$5:$A$500=$K$1),--('2026'!$C$5:$C$500=$B30))+SUMPRODUCT(--('2026'!$A$5:$A$500=$K$1),--('2026'!$F$5:$F$500=$B30))+SUMPRODUCT(--('2026'!$A$5:$A$500=$K$1),--('2026'!$D$5:$D$500=$B30))+SUMPRODUCT(--('2026'!$A$5:$A$500=$K$1),--('2026'!$G$5:$G$500=$B30))</f>
        <v>0</v>
      </c>
      <c r="L30" s="50">
        <f>SUMPRODUCT(--('2026'!$A$5:$A$500=$K$1),--('2026'!$I$5:$I$500=$B30))+SUMPRODUCT(--('2026'!$A$5:$A$500=$K$1),--('2026'!$J$5:$J$500=$B30))</f>
        <v>0</v>
      </c>
      <c r="M30" s="50">
        <f>SUMPRODUCT(--('2026'!$A$5:$A$500=$M$1),--('2026'!$C$5:$C$500=$B30))+SUMPRODUCT(--('2026'!$A$5:$A$500=$M$1),--('2026'!$F$5:$F$500=$B30))+SUMPRODUCT(--('2026'!$A$5:$A$500=$M$1),--('2026'!$D$5:$D$500=$B30))+SUMPRODUCT(--('2026'!$A$5:$A$500=$M$1),--('2026'!$G$5:$G$500=$B30))</f>
        <v>0</v>
      </c>
      <c r="N30" s="50">
        <f>SUMPRODUCT(--('2026'!$A$5:$A$500=$M$1),--('2026'!$I$5:$I$500=$B30))+SUMPRODUCT(--('2026'!$A$5:$A$500=$M$1),--('2026'!$J$5:$J$500=$B30))</f>
        <v>0</v>
      </c>
      <c r="O30" s="50">
        <f>SUMPRODUCT(--('2026'!$A$5:$A$500=$O$1),--('2026'!$C$5:$C$500=$B30))+SUMPRODUCT(--('2026'!$A$5:$A$500=$O$1),--('2026'!$F$5:$F$500=$B30))+SUMPRODUCT(--('2026'!$A$5:$A$500=$O$1),--('2026'!$D$5:$D$500=$B30))+SUMPRODUCT(--('2026'!$A$5:$A$500=$O$1),--('2026'!$G$5:$G$500=$B30))</f>
        <v>0</v>
      </c>
      <c r="P30" s="50">
        <f>SUMPRODUCT(--('2026'!$A$5:$A$500=$O$1),--('2026'!$I$5:$I$500=$B30))+SUMPRODUCT(--('2026'!$A$5:$A$500=$O$1),--('2026'!$J$5:$J$500=$B30))</f>
        <v>0</v>
      </c>
      <c r="Q30" s="50">
        <f>SUMPRODUCT(--('2026'!$A$5:$A$500=$Q$1),--('2026'!$C$5:$C$500=$B30))+SUMPRODUCT(--('2026'!$A$5:$A$500=$Q$1),--('2026'!$F$5:$F$500=$B30))+SUMPRODUCT(--('2026'!$A$5:$A$500=$Q$1),--('2026'!$D$5:$D$500=$B30))+SUMPRODUCT(--('2026'!$A$5:$A$500=$Q$1),--('2026'!$G$5:$G$500=$B30))</f>
        <v>0</v>
      </c>
      <c r="R30" s="50">
        <f>SUMPRODUCT(--('2026'!$A$5:$A$500=$Q$1),--('2026'!$I$5:$I$500=$B30))+SUMPRODUCT(--('2026'!$A$5:$A$500=$Q$1),--('2026'!$J$5:$J$500=$B30))</f>
        <v>0</v>
      </c>
      <c r="S30" s="50">
        <f>SUMPRODUCT(--('2026'!$A$5:$A$500=$S$1),--('2026'!$C$5:$C$500=$B30))+SUMPRODUCT(--('2026'!$A$5:$A$500=$S$1),--('2026'!$F$5:$F$500=$B30))+SUMPRODUCT(--('2026'!$A$5:$A$500=$S$1),--('2026'!$D$5:$D$500=$B30))+SUMPRODUCT(--('2026'!$A$5:$A$500=$S$1),--('2026'!$G$5:$G$500=$B30))</f>
        <v>0</v>
      </c>
      <c r="T30" s="50">
        <f>SUMPRODUCT(--('2026'!$A$5:$A$500=$S$1),--('2026'!$I$5:$I$500=$B30))+SUMPRODUCT(--('2026'!$A$5:$A$500=$S$1),--('2026'!$J$5:$J$500=$B30))</f>
        <v>0</v>
      </c>
      <c r="U30" s="50">
        <f>SUMPRODUCT(--('2026'!$A$5:$A$500=$U$1),--('2026'!$C$5:$C$500=$B30))+SUMPRODUCT(--('2026'!$A$5:$A$500=$U$1),--('2026'!$F$5:$F$500=$B30))+SUMPRODUCT(--('2026'!$A$5:$A$500=$U$1),--('2026'!$D$5:$D$500=$B30))+SUMPRODUCT(--('2026'!$A$5:$A$500=$U$1),--('2026'!$G$5:$G$500=$B30))</f>
        <v>0</v>
      </c>
      <c r="V30" s="50">
        <f>SUMPRODUCT(--('2026'!$A$5:$A$500=$U$1),--('2026'!$I$5:$I$500=$B30))+SUMPRODUCT(--('2026'!$A$5:$A$500=$U$1),--('2026'!$J$5:$J$500=$B30))</f>
        <v>0</v>
      </c>
      <c r="W30" s="50">
        <f>SUMPRODUCT(--('2026'!$A$5:$A$500=$W$1),--('2026'!$C$5:$C$500=$B30))+SUMPRODUCT(--('2026'!$A$5:$A$500=$W$1),--('2026'!$F$5:$F$500=$B30))+SUMPRODUCT(--('2026'!$A$5:$A$500=$W$1),--('2026'!$D$5:$D$500=$B30))+SUMPRODUCT(--('2026'!$A$5:$A$500=$W$1),--('2026'!$G$5:$G$500=$B30))</f>
        <v>0</v>
      </c>
      <c r="X30" s="50">
        <f>SUMPRODUCT(--('2026'!$A$5:$A$500=$W$1),--('2026'!$I$5:$I$500=$B30))+SUMPRODUCT(--('2026'!$A$5:$A$500=$W$1),--('2026'!$J$5:$J$500=$B30))</f>
        <v>0</v>
      </c>
      <c r="Y30" s="50">
        <f>SUMPRODUCT(--('2026'!$A$5:$A$500=$Y$1),--('2026'!$C$5:$C$500=$B30))+SUMPRODUCT(--('2026'!$A$5:$A$500=$Y$1),--('2026'!$F$5:$F$500=$B30))+SUMPRODUCT(--('2026'!$A$5:$A$500=$Y$1),--('2026'!$D$5:$D$500=$B30))+SUMPRODUCT(--('2026'!$A$5:$A$500=$Y$1),--('2026'!$G$5:$G$500=$B30))</f>
        <v>0</v>
      </c>
      <c r="Z30" s="50">
        <f>SUMPRODUCT(--('2026'!$A$5:$A$500=$Y$1),--('2026'!$I$5:$I$500=$B30))+SUMPRODUCT(--('2026'!$A$5:$A$500=$Y$1),--('2026'!$J$5:$J$500=$B30))</f>
        <v>0</v>
      </c>
      <c r="AA30" s="50">
        <f>SUMPRODUCT(--('2026'!$A$5:$A$500=$AA$1),--('2026'!$C$5:$C$500=$B30))+SUMPRODUCT(--('2026'!$A$5:$A$500=$AA$1),--('2026'!$F$5:$F$500=$B30))+SUMPRODUCT(--('2026'!$A$5:$A$500=$AA$1),--('2026'!$D$5:$D$500=$B30))+SUMPRODUCT(--('2026'!$A$5:$A$500=$AA$1),--('2026'!$G$5:$G$500=$B30))</f>
        <v>0</v>
      </c>
      <c r="AB30" s="50">
        <f>SUMPRODUCT(--('2026'!$A$5:$A$500=$AA$1),--('2026'!$I$5:$I$500=$B30))+SUMPRODUCT(--('2026'!$A$5:$A$500=$AA$1),--('2026'!$J$5:$J$500=$B30))</f>
        <v>0</v>
      </c>
      <c r="AC30" s="50">
        <f>SUMPRODUCT(--('2026'!$A$5:$A$500=$AC$1),--('2026'!$C$5:$C$500=$B30))+SUMPRODUCT(--('2026'!$A$5:$A$500=$AC$1),--('2026'!$F$5:$F$500=$B30))+SUMPRODUCT(--('2026'!$A$5:$A$500=$AC$1),--('2026'!$D$5:$D$500=$B30))+SUMPRODUCT(--('2026'!$A$5:$A$500=$AC$1),--('2026'!$G$5:$G$500=$B30))</f>
        <v>0</v>
      </c>
      <c r="AD30" s="50">
        <f>SUMPRODUCT(--('2026'!$A$5:$A$500=$AC$1),--('2026'!$I$5:$I$500=$B30))+SUMPRODUCT(--('2026'!$A$5:$A$500=$AC$1),--('2026'!$J$5:$J$500=$B30))</f>
        <v>0</v>
      </c>
      <c r="AE30" s="60">
        <f>SUMPRODUCT(--('2026'!$A$5:$A$500=$AE$1),--('2026'!$C$5:$C$500=$B30))+SUMPRODUCT(--('2026'!$A$5:$A$500=$AE$1),--('2026'!$F$5:$F$500=$B30))+SUMPRODUCT(--('2026'!$A$5:$A$500=$AE$1),--('2026'!$D$5:$D$500=$B30))+SUMPRODUCT(--('2026'!$A$5:$A$500=$AE$1),--('2026'!$G$5:$G$500=$B30))</f>
        <v>0</v>
      </c>
      <c r="AF30" s="60">
        <f>SUMPRODUCT(--('2026'!$A$5:$A$500=$AE$1),--('2026'!$I$5:$I$500=$B30))+SUMPRODUCT(--('2026'!$A$5:$A$500=$AE$1),--('2026'!$J$5:$J$500=$B30))</f>
        <v>0</v>
      </c>
      <c r="AG30" s="50">
        <f>SUMPRODUCT(--('2026'!$A$5:$A$500=$AG$1),--('2026'!$C$5:$C$500=$B30))+SUMPRODUCT(--('2026'!$A$5:$A$500=$AG$1),--('2026'!$F$5:$F$500=$B30))+SUMPRODUCT(--('2026'!$A$5:$A$500=$AG$1),--('2026'!$D$5:$D$500=$B30))+SUMPRODUCT(--('2026'!$A$5:$A$500=$AG$1),--('2026'!$G$5:$G$500=$B30))</f>
        <v>0</v>
      </c>
      <c r="AH30" s="50">
        <f>SUMPRODUCT(--('2026'!$A$5:$A$500=$AG$1),--('2026'!$I$5:$I$500=$B30))+SUMPRODUCT(--('2026'!$A$5:$A$500=$AG$1),--('2026'!$J$5:$J$500=$B30))</f>
        <v>0</v>
      </c>
      <c r="AI30" s="50">
        <f>SUMPRODUCT(--('2026'!$A$5:$A$500=$AI$1),--('2026'!$C$5:$C$500=$B30))+SUMPRODUCT(--('2026'!$A$5:$A$500=$AI$1),--('2026'!$F$5:$F$500=$B30))+SUMPRODUCT(--('2026'!$A$5:$A$500=$AI$1),--('2026'!$D$5:$D$500=$B30))+SUMPRODUCT(--('2026'!$A$5:$A$500=$AI$1),--('2026'!$G$5:$G$500=$B30))</f>
        <v>0</v>
      </c>
      <c r="AJ30" s="50">
        <f>SUMPRODUCT(--('2026'!$A$5:$A$500=$AI$1),--('2026'!$I$5:$I$500=$B30))+SUMPRODUCT(--('2026'!$A$5:$A$500=$AI$1),--('2026'!$J$5:$J$500=$B30))</f>
        <v>0</v>
      </c>
      <c r="AK30" s="50">
        <f>SUMPRODUCT(--('2026'!$A$5:$A$500=$AK$1),--('2026'!$C$5:$C$500=$B30))+SUMPRODUCT(--('2026'!$A$5:$A$500=$AK$1),--('2026'!$F$5:$F$500=$B30))+SUMPRODUCT(--('2026'!$A$5:$A$500=$AK$1),--('2026'!$D$5:$D$500=$B30))+SUMPRODUCT(--('2026'!$A$5:$A$500=$AK$1),--('2026'!$G$5:$G$500=$B30))</f>
        <v>0</v>
      </c>
      <c r="AL30" s="50">
        <f>SUMPRODUCT(--('2026'!$A$5:$A$500=$AK$1),--('2026'!$I$5:$I$500=$B30))+SUMPRODUCT(--('2026'!$A$5:$A$500=$AK$1),--('2026'!$J$5:$J$500=$B30))</f>
        <v>0</v>
      </c>
      <c r="AM30" s="50">
        <f>SUMPRODUCT(--('2026'!$A$5:$A$500=$AM$1),--('2026'!$C$5:$C$500=$B30))+SUMPRODUCT(--('2026'!$A$5:$A$500=$AM$1),--('2026'!$F$5:$F$500=$B30))+SUMPRODUCT(--('2026'!$A$5:$A$500=$AM$1),--('2026'!$D$5:$D$500=$B30))+SUMPRODUCT(--('2026'!$A$5:$A$500=$AM$1),--('2026'!$G$5:$G$500=$B30))</f>
        <v>0</v>
      </c>
      <c r="AN30" s="50">
        <f>SUMPRODUCT(--('2026'!$A$5:$A$500=$AM$1),--('2026'!$I$5:$I$500=$B30))+SUMPRODUCT(--('2026'!$A$5:$A$500=$AM$1),--('2026'!$J$5:$J$500=$B30))</f>
        <v>0</v>
      </c>
      <c r="AO30" s="50">
        <f>SUMPRODUCT(--('2026'!$A$5:$A$500=$AO$1),--('2026'!$C$5:$C$500=$B30))+SUMPRODUCT(--('2026'!$A$5:$A$500=$AO$1),--('2026'!$F$5:$F$500=$B30))+SUMPRODUCT(--('2026'!$A$5:$A$500=$AO$1),--('2026'!$D$5:$D$500=$B30))+SUMPRODUCT(--('2026'!$A$5:$A$500=$AO$1),--('2026'!$G$5:$G$500=$B30))</f>
        <v>0</v>
      </c>
      <c r="AP30" s="50">
        <f>SUMPRODUCT(--('2026'!$A$5:$A$500=$AO$1),--('2026'!$I$5:$I$500=$B30))+SUMPRODUCT(--('2026'!$A$5:$A$500=$AO$1),--('2026'!$J$5:$J$500=$B30))</f>
        <v>0</v>
      </c>
      <c r="AQ30" s="50">
        <f>SUMPRODUCT(--('2026'!$A$5:$A$500=$AQ$1),--('2026'!$C$5:$C$500=$B30))+SUMPRODUCT(--('2026'!$A$5:$A$500=$AQ$1),--('2026'!$F$5:$F$500=$B30))+SUMPRODUCT(--('2026'!$A$5:$A$500=$AQ$1),--('2026'!$D$5:$D$500=$B30))+SUMPRODUCT(--('2026'!$A$5:$A$500=$AQ$1),--('2026'!$G$5:$G$500=$B30))</f>
        <v>0</v>
      </c>
      <c r="AR30" s="50">
        <f>SUMPRODUCT(--('2026'!$A$5:$A$500=$AQ$1),--('2026'!$I$5:$I$500=$B30))+SUMPRODUCT(--('2026'!$A$5:$A$500=$AQ$1),--('2026'!$J$5:$J$500=$B30))</f>
        <v>0</v>
      </c>
      <c r="AS30" s="50">
        <f>SUMPRODUCT(--('2026'!$A$5:$A$500=$AS$1),--('2026'!$C$5:$C$500=$B30))+SUMPRODUCT(--('2026'!$A$5:$A$500=$AS$1),--('2026'!$F$5:$F$500=$B30))+SUMPRODUCT(--('2026'!$A$5:$A$500=$AS$1),--('2026'!$D$5:$D$500=$B30))+SUMPRODUCT(--('2026'!$A$5:$A$500=$AS$1),--('2026'!$G$5:$G$500=$B30))</f>
        <v>0</v>
      </c>
      <c r="AT30" s="50">
        <f>SUMPRODUCT(--('2026'!$A$5:$A$500=$AS$1),--('2026'!$I$5:$I$500=$B30))+SUMPRODUCT(--('2026'!$A$5:$A$500=$AS$1),--('2026'!$J$5:$J$500=$B30))</f>
        <v>0</v>
      </c>
      <c r="AU30" s="50">
        <f>SUMPRODUCT(--('2026'!$A$5:$A$500=$AU$1),--('2026'!$C$5:$C$500=$B30))+SUMPRODUCT(--('2026'!$A$5:$A$500=$AU$1),--('2026'!$F$5:$F$500=$B30))+SUMPRODUCT(--('2026'!$A$5:$A$500=$AU$1),--('2026'!$D$5:$D$500=$B30))+SUMPRODUCT(--('2026'!$A$5:$A$500=$AU$1),--('2026'!$G$5:$G$500=$B30))</f>
        <v>0</v>
      </c>
      <c r="AV30" s="50">
        <f>SUMPRODUCT(--('2026'!$A$5:$A$500=$AU$1),--('2026'!$I$5:$I$500=$B30))+SUMPRODUCT(--('2026'!$A$5:$A$500=$AU$1),--('2026'!$J$5:$J$500=$B30))</f>
        <v>0</v>
      </c>
      <c r="AW30" s="50">
        <f>SUMPRODUCT(--('2026'!$A$5:$A$500=$AW$1),--('2026'!$C$5:$C$500=$B30))+SUMPRODUCT(--('2026'!$A$5:$A$500=$AW$1),--('2026'!$F$5:$F$500=$B30))+SUMPRODUCT(--('2026'!$A$5:$A$500=$AW$1),--('2026'!$D$5:$D$500=$B30))+SUMPRODUCT(--('2026'!$A$5:$A$500=$AW$1),--('2026'!$G$5:$G$500=$B30))</f>
        <v>0</v>
      </c>
      <c r="AX30" s="50">
        <f>SUMPRODUCT(--('2026'!$A$5:$A$500=$AW$1),--('2026'!$I$5:$I$500=$B30))+SUMPRODUCT(--('2026'!$A$5:$A$500=$AW$1),--('2026'!$J$5:$J$500=$B30))</f>
        <v>0</v>
      </c>
      <c r="BA30" s="54" t="s">
        <v>24</v>
      </c>
      <c r="BB30" s="47">
        <f t="shared" si="0"/>
        <v>0</v>
      </c>
      <c r="BC30" s="52">
        <f t="shared" si="1"/>
        <v>0</v>
      </c>
    </row>
    <row r="31" spans="1:55" ht="15" x14ac:dyDescent="0.25">
      <c r="A31">
        <v>29</v>
      </c>
      <c r="B31" s="54" t="s">
        <v>2</v>
      </c>
      <c r="C31" s="50">
        <f>SUMPRODUCT(--('2026'!$A$5:$A$500=$C$1),--('2026'!$C$5:$C$500=$B31))+SUMPRODUCT(--('2026'!$A$5:$A$500=$C$1),--('2026'!$F$5:$F$500=$B31))+SUMPRODUCT(--('2026'!$A$5:$A$500=$C$1),--('2026'!$D$5:$D$500=$B31))+SUMPRODUCT(--('2026'!$A$5:$A$500=$C$1),--('2026'!$G$5:$G$500=$B31))</f>
        <v>0</v>
      </c>
      <c r="D31" s="50">
        <f>SUMPRODUCT(--('2026'!$A$5:$A$500=$C$1),--('2026'!$I$5:$I$500=$B31))+SUMPRODUCT(--('2026'!$A$5:$A$500=$C$1),--('2026'!$J$5:$J$500=$B31))</f>
        <v>0</v>
      </c>
      <c r="E31" s="50">
        <f>SUMPRODUCT(--('2026'!$A$5:$A$500=$E$1),--('2026'!$C$5:$C$500=$B31))+SUMPRODUCT(--('2026'!$A$5:$A$500=$E$1),--('2026'!$F$5:$F$500=$B31))+SUMPRODUCT(--('2026'!$A$5:$A$500=$E$1),--('2026'!$D$5:$D$500=$B31))+SUMPRODUCT(--('2026'!$A$5:$A$500=$E$1),--('2026'!$G$5:$G$500=$B31))</f>
        <v>0</v>
      </c>
      <c r="F31" s="50">
        <f>SUMPRODUCT(--('2026'!$A$5:$A$500=$E$1),--('2026'!$I$5:$I$500=$B31))+SUMPRODUCT(--('2026'!$A$5:$A$500=$E$1),--('2026'!$J$5:$J$500=$B31))</f>
        <v>0</v>
      </c>
      <c r="G31" s="50">
        <f>SUMPRODUCT(--('2026'!$A$5:$A$500=$G$1),--('2026'!$C$5:$C$500=$B31))+SUMPRODUCT(--('2026'!$A$5:$A$500=$G$1),--('2026'!$F$5:$F$500=$B31))+SUMPRODUCT(--('2026'!$A$5:$A$500=$G$1),--('2026'!$D$5:$D$500=$B31))+SUMPRODUCT(--('2026'!$A$5:$A$500=$G$1),--('2026'!$G$5:$G$500=$B31))</f>
        <v>0</v>
      </c>
      <c r="H31" s="50">
        <f>SUMPRODUCT(--('2026'!$A$5:$A$500=$G$1),--('2026'!$I$5:$I$500=$B31))+SUMPRODUCT(--('2026'!$A$5:$A$500=$G$1),--('2026'!$J$5:$J$500=$B31))</f>
        <v>0</v>
      </c>
      <c r="I31" s="50">
        <f>SUMPRODUCT(--('2026'!$A$5:$A$500=$I$1),--('2026'!$C$5:$C$500=$B31))+SUMPRODUCT(--('2026'!$A$5:$A$500=$I$1),--('2026'!$F$5:$F$500=$B31))+SUMPRODUCT(--('2026'!$A$5:$A$500=$I$1),--('2026'!$D$5:$D$500=$B31))+SUMPRODUCT(--('2026'!$A$5:$A$500=$I$1),--('2026'!$G$5:$G$500=$B31))</f>
        <v>0</v>
      </c>
      <c r="J31" s="50">
        <f>SUMPRODUCT(--('2026'!$A$5:$A$500=$I$1),--('2026'!$I$5:$I$500=$B31))+SUMPRODUCT(--('2026'!$A$5:$A$500=$I$1),--('2026'!$J$5:$J$500=$B31))</f>
        <v>0</v>
      </c>
      <c r="K31" s="50">
        <f>SUMPRODUCT(--('2026'!$A$5:$A$500=$K$1),--('2026'!$C$5:$C$500=$B31))+SUMPRODUCT(--('2026'!$A$5:$A$500=$K$1),--('2026'!$F$5:$F$500=$B31))+SUMPRODUCT(--('2026'!$A$5:$A$500=$K$1),--('2026'!$D$5:$D$500=$B31))+SUMPRODUCT(--('2026'!$A$5:$A$500=$K$1),--('2026'!$G$5:$G$500=$B31))</f>
        <v>0</v>
      </c>
      <c r="L31" s="50">
        <f>SUMPRODUCT(--('2026'!$A$5:$A$500=$K$1),--('2026'!$I$5:$I$500=$B31))+SUMPRODUCT(--('2026'!$A$5:$A$500=$K$1),--('2026'!$J$5:$J$500=$B31))</f>
        <v>0</v>
      </c>
      <c r="M31" s="50">
        <f>SUMPRODUCT(--('2026'!$A$5:$A$500=$M$1),--('2026'!$C$5:$C$500=$B31))+SUMPRODUCT(--('2026'!$A$5:$A$500=$M$1),--('2026'!$F$5:$F$500=$B31))+SUMPRODUCT(--('2026'!$A$5:$A$500=$M$1),--('2026'!$D$5:$D$500=$B31))+SUMPRODUCT(--('2026'!$A$5:$A$500=$M$1),--('2026'!$G$5:$G$500=$B31))</f>
        <v>0</v>
      </c>
      <c r="N31" s="50">
        <f>SUMPRODUCT(--('2026'!$A$5:$A$500=$M$1),--('2026'!$I$5:$I$500=$B31))+SUMPRODUCT(--('2026'!$A$5:$A$500=$M$1),--('2026'!$J$5:$J$500=$B31))</f>
        <v>0</v>
      </c>
      <c r="O31" s="50">
        <f>SUMPRODUCT(--('2026'!$A$5:$A$500=$O$1),--('2026'!$C$5:$C$500=$B31))+SUMPRODUCT(--('2026'!$A$5:$A$500=$O$1),--('2026'!$F$5:$F$500=$B31))+SUMPRODUCT(--('2026'!$A$5:$A$500=$O$1),--('2026'!$D$5:$D$500=$B31))+SUMPRODUCT(--('2026'!$A$5:$A$500=$O$1),--('2026'!$G$5:$G$500=$B31))</f>
        <v>0</v>
      </c>
      <c r="P31" s="50">
        <f>SUMPRODUCT(--('2026'!$A$5:$A$500=$O$1),--('2026'!$I$5:$I$500=$B31))+SUMPRODUCT(--('2026'!$A$5:$A$500=$O$1),--('2026'!$J$5:$J$500=$B31))</f>
        <v>0</v>
      </c>
      <c r="Q31" s="50">
        <f>SUMPRODUCT(--('2026'!$A$5:$A$500=$Q$1),--('2026'!$C$5:$C$500=$B31))+SUMPRODUCT(--('2026'!$A$5:$A$500=$Q$1),--('2026'!$F$5:$F$500=$B31))+SUMPRODUCT(--('2026'!$A$5:$A$500=$Q$1),--('2026'!$D$5:$D$500=$B31))+SUMPRODUCT(--('2026'!$A$5:$A$500=$Q$1),--('2026'!$G$5:$G$500=$B31))</f>
        <v>0</v>
      </c>
      <c r="R31" s="50">
        <f>SUMPRODUCT(--('2026'!$A$5:$A$500=$Q$1),--('2026'!$I$5:$I$500=$B31))+SUMPRODUCT(--('2026'!$A$5:$A$500=$Q$1),--('2026'!$J$5:$J$500=$B31))</f>
        <v>0</v>
      </c>
      <c r="S31" s="50">
        <f>SUMPRODUCT(--('2026'!$A$5:$A$500=$S$1),--('2026'!$C$5:$C$500=$B31))+SUMPRODUCT(--('2026'!$A$5:$A$500=$S$1),--('2026'!$F$5:$F$500=$B31))+SUMPRODUCT(--('2026'!$A$5:$A$500=$S$1),--('2026'!$D$5:$D$500=$B31))+SUMPRODUCT(--('2026'!$A$5:$A$500=$S$1),--('2026'!$G$5:$G$500=$B31))</f>
        <v>0</v>
      </c>
      <c r="T31" s="50">
        <f>SUMPRODUCT(--('2026'!$A$5:$A$500=$S$1),--('2026'!$I$5:$I$500=$B31))+SUMPRODUCT(--('2026'!$A$5:$A$500=$S$1),--('2026'!$J$5:$J$500=$B31))</f>
        <v>0</v>
      </c>
      <c r="U31" s="50">
        <f>SUMPRODUCT(--('2026'!$A$5:$A$500=$U$1),--('2026'!$C$5:$C$500=$B31))+SUMPRODUCT(--('2026'!$A$5:$A$500=$U$1),--('2026'!$F$5:$F$500=$B31))+SUMPRODUCT(--('2026'!$A$5:$A$500=$U$1),--('2026'!$D$5:$D$500=$B31))+SUMPRODUCT(--('2026'!$A$5:$A$500=$U$1),--('2026'!$G$5:$G$500=$B31))</f>
        <v>0</v>
      </c>
      <c r="V31" s="50">
        <f>SUMPRODUCT(--('2026'!$A$5:$A$500=$U$1),--('2026'!$I$5:$I$500=$B31))+SUMPRODUCT(--('2026'!$A$5:$A$500=$U$1),--('2026'!$J$5:$J$500=$B31))</f>
        <v>0</v>
      </c>
      <c r="W31" s="50">
        <f>SUMPRODUCT(--('2026'!$A$5:$A$500=$W$1),--('2026'!$C$5:$C$500=$B31))+SUMPRODUCT(--('2026'!$A$5:$A$500=$W$1),--('2026'!$F$5:$F$500=$B31))+SUMPRODUCT(--('2026'!$A$5:$A$500=$W$1),--('2026'!$D$5:$D$500=$B31))+SUMPRODUCT(--('2026'!$A$5:$A$500=$W$1),--('2026'!$G$5:$G$500=$B31))</f>
        <v>0</v>
      </c>
      <c r="X31" s="50">
        <f>SUMPRODUCT(--('2026'!$A$5:$A$500=$W$1),--('2026'!$I$5:$I$500=$B31))+SUMPRODUCT(--('2026'!$A$5:$A$500=$W$1),--('2026'!$J$5:$J$500=$B31))</f>
        <v>0</v>
      </c>
      <c r="Y31" s="51">
        <f>SUMPRODUCT(--('2026'!$A$5:$A$500=$Y$1),--('2026'!$C$5:$C$500=$B31))+SUMPRODUCT(--('2026'!$A$5:$A$500=$Y$1),--('2026'!$F$5:$F$500=$B31))+SUMPRODUCT(--('2026'!$A$5:$A$500=$Y$1),--('2026'!$D$5:$D$500=$B31))+SUMPRODUCT(--('2026'!$A$5:$A$500=$Y$1),--('2026'!$G$5:$G$500=$B31))</f>
        <v>0</v>
      </c>
      <c r="Z31" s="51">
        <f>SUMPRODUCT(--('2026'!$A$5:$A$500=$Y$1),--('2026'!$I$5:$I$500=$B31))+SUMPRODUCT(--('2026'!$A$5:$A$500=$Y$1),--('2026'!$J$5:$J$500=$B31))</f>
        <v>0</v>
      </c>
      <c r="AA31" s="51">
        <f>SUMPRODUCT(--('2026'!$A$5:$A$500=$AA$1),--('2026'!$C$5:$C$500=$B31))+SUMPRODUCT(--('2026'!$A$5:$A$500=$AA$1),--('2026'!$F$5:$F$500=$B31))+SUMPRODUCT(--('2026'!$A$5:$A$500=$AA$1),--('2026'!$D$5:$D$500=$B31))+SUMPRODUCT(--('2026'!$A$5:$A$500=$AA$1),--('2026'!$G$5:$G$500=$B31))</f>
        <v>0</v>
      </c>
      <c r="AB31" s="51">
        <f>SUMPRODUCT(--('2026'!$A$5:$A$500=$AA$1),--('2026'!$I$5:$I$500=$B31))+SUMPRODUCT(--('2026'!$A$5:$A$500=$AA$1),--('2026'!$J$5:$J$500=$B31))</f>
        <v>0</v>
      </c>
      <c r="AC31" s="51">
        <f>SUMPRODUCT(--('2026'!$A$5:$A$500=$AC$1),--('2026'!$C$5:$C$500=$B31))+SUMPRODUCT(--('2026'!$A$5:$A$500=$AC$1),--('2026'!$F$5:$F$500=$B31))+SUMPRODUCT(--('2026'!$A$5:$A$500=$AC$1),--('2026'!$D$5:$D$500=$B31))+SUMPRODUCT(--('2026'!$A$5:$A$500=$AC$1),--('2026'!$G$5:$G$500=$B31))</f>
        <v>0</v>
      </c>
      <c r="AD31" s="51">
        <f>SUMPRODUCT(--('2026'!$A$5:$A$500=$AC$1),--('2026'!$I$5:$I$500=$B31))+SUMPRODUCT(--('2026'!$A$5:$A$500=$AC$1),--('2026'!$J$5:$J$500=$B31))</f>
        <v>0</v>
      </c>
      <c r="AE31" s="61">
        <f>SUMPRODUCT(--('2026'!$A$5:$A$500=$AE$1),--('2026'!$C$5:$C$500=$B31))+SUMPRODUCT(--('2026'!$A$5:$A$500=$AE$1),--('2026'!$F$5:$F$500=$B31))+SUMPRODUCT(--('2026'!$A$5:$A$500=$AE$1),--('2026'!$D$5:$D$500=$B31))+SUMPRODUCT(--('2026'!$A$5:$A$500=$AE$1),--('2026'!$G$5:$G$500=$B31))</f>
        <v>0</v>
      </c>
      <c r="AF31" s="61">
        <f>SUMPRODUCT(--('2026'!$A$5:$A$500=$AE$1),--('2026'!$I$5:$I$500=$B31))+SUMPRODUCT(--('2026'!$A$5:$A$500=$AE$1),--('2026'!$J$5:$J$500=$B31))</f>
        <v>0</v>
      </c>
      <c r="AG31" s="51">
        <f>SUMPRODUCT(--('2026'!$A$5:$A$500=$AG$1),--('2026'!$C$5:$C$500=$B31))+SUMPRODUCT(--('2026'!$A$5:$A$500=$AG$1),--('2026'!$F$5:$F$500=$B31))+SUMPRODUCT(--('2026'!$A$5:$A$500=$AG$1),--('2026'!$D$5:$D$500=$B31))+SUMPRODUCT(--('2026'!$A$5:$A$500=$AG$1),--('2026'!$G$5:$G$500=$B31))</f>
        <v>0</v>
      </c>
      <c r="AH31" s="51">
        <f>SUMPRODUCT(--('2026'!$A$5:$A$500=$AG$1),--('2026'!$I$5:$I$500=$B31))+SUMPRODUCT(--('2026'!$A$5:$A$500=$AG$1),--('2026'!$J$5:$J$500=$B31))</f>
        <v>0</v>
      </c>
      <c r="AI31" s="51">
        <f>SUMPRODUCT(--('2026'!$A$5:$A$500=$AI$1),--('2026'!$C$5:$C$500=$B31))+SUMPRODUCT(--('2026'!$A$5:$A$500=$AI$1),--('2026'!$F$5:$F$500=$B31))+SUMPRODUCT(--('2026'!$A$5:$A$500=$AI$1),--('2026'!$D$5:$D$500=$B31))+SUMPRODUCT(--('2026'!$A$5:$A$500=$AI$1),--('2026'!$G$5:$G$500=$B31))</f>
        <v>0</v>
      </c>
      <c r="AJ31" s="51">
        <f>SUMPRODUCT(--('2026'!$A$5:$A$500=$AI$1),--('2026'!$I$5:$I$500=$B31))+SUMPRODUCT(--('2026'!$A$5:$A$500=$AI$1),--('2026'!$J$5:$J$500=$B31))</f>
        <v>0</v>
      </c>
      <c r="AK31" s="51">
        <f>SUMPRODUCT(--('2026'!$A$5:$A$500=$AK$1),--('2026'!$C$5:$C$500=$B31))+SUMPRODUCT(--('2026'!$A$5:$A$500=$AK$1),--('2026'!$F$5:$F$500=$B31))+SUMPRODUCT(--('2026'!$A$5:$A$500=$AK$1),--('2026'!$D$5:$D$500=$B31))+SUMPRODUCT(--('2026'!$A$5:$A$500=$AK$1),--('2026'!$G$5:$G$500=$B31))</f>
        <v>0</v>
      </c>
      <c r="AL31" s="51">
        <f>SUMPRODUCT(--('2026'!$A$5:$A$500=$AK$1),--('2026'!$I$5:$I$500=$B31))+SUMPRODUCT(--('2026'!$A$5:$A$500=$AK$1),--('2026'!$J$5:$J$500=$B31))</f>
        <v>0</v>
      </c>
      <c r="AM31" s="51">
        <f>SUMPRODUCT(--('2026'!$A$5:$A$500=$AM$1),--('2026'!$C$5:$C$500=$B31))+SUMPRODUCT(--('2026'!$A$5:$A$500=$AM$1),--('2026'!$F$5:$F$500=$B31))+SUMPRODUCT(--('2026'!$A$5:$A$500=$AM$1),--('2026'!$D$5:$D$500=$B31))+SUMPRODUCT(--('2026'!$A$5:$A$500=$AM$1),--('2026'!$G$5:$G$500=$B31))</f>
        <v>0</v>
      </c>
      <c r="AN31" s="51">
        <f>SUMPRODUCT(--('2026'!$A$5:$A$500=$AM$1),--('2026'!$I$5:$I$500=$B31))+SUMPRODUCT(--('2026'!$A$5:$A$500=$AM$1),--('2026'!$J$5:$J$500=$B31))</f>
        <v>0</v>
      </c>
      <c r="AO31" s="51">
        <f>SUMPRODUCT(--('2026'!$A$5:$A$500=$AO$1),--('2026'!$C$5:$C$500=$B31))+SUMPRODUCT(--('2026'!$A$5:$A$500=$AO$1),--('2026'!$F$5:$F$500=$B31))+SUMPRODUCT(--('2026'!$A$5:$A$500=$AO$1),--('2026'!$D$5:$D$500=$B31))+SUMPRODUCT(--('2026'!$A$5:$A$500=$AO$1),--('2026'!$G$5:$G$500=$B31))</f>
        <v>0</v>
      </c>
      <c r="AP31" s="51">
        <f>SUMPRODUCT(--('2026'!$A$5:$A$500=$AO$1),--('2026'!$I$5:$I$500=$B31))+SUMPRODUCT(--('2026'!$A$5:$A$500=$AO$1),--('2026'!$J$5:$J$500=$B31))</f>
        <v>0</v>
      </c>
      <c r="AQ31" s="51">
        <f>SUMPRODUCT(--('2026'!$A$5:$A$500=$AQ$1),--('2026'!$C$5:$C$500=$B31))+SUMPRODUCT(--('2026'!$A$5:$A$500=$AQ$1),--('2026'!$F$5:$F$500=$B31))+SUMPRODUCT(--('2026'!$A$5:$A$500=$AQ$1),--('2026'!$D$5:$D$500=$B31))+SUMPRODUCT(--('2026'!$A$5:$A$500=$AQ$1),--('2026'!$G$5:$G$500=$B31))</f>
        <v>0</v>
      </c>
      <c r="AR31" s="51">
        <f>SUMPRODUCT(--('2026'!$A$5:$A$500=$AQ$1),--('2026'!$I$5:$I$500=$B31))+SUMPRODUCT(--('2026'!$A$5:$A$500=$AQ$1),--('2026'!$J$5:$J$500=$B31))</f>
        <v>0</v>
      </c>
      <c r="AS31" s="51">
        <f>SUMPRODUCT(--('2026'!$A$5:$A$500=$AS$1),--('2026'!$C$5:$C$500=$B31))+SUMPRODUCT(--('2026'!$A$5:$A$500=$AS$1),--('2026'!$F$5:$F$500=$B31))+SUMPRODUCT(--('2026'!$A$5:$A$500=$AS$1),--('2026'!$D$5:$D$500=$B31))+SUMPRODUCT(--('2026'!$A$5:$A$500=$AS$1),--('2026'!$G$5:$G$500=$B31))</f>
        <v>0</v>
      </c>
      <c r="AT31" s="51">
        <f>SUMPRODUCT(--('2026'!$A$5:$A$500=$AS$1),--('2026'!$I$5:$I$500=$B31))+SUMPRODUCT(--('2026'!$A$5:$A$500=$AS$1),--('2026'!$J$5:$J$500=$B31))</f>
        <v>0</v>
      </c>
      <c r="AU31" s="51">
        <f>SUMPRODUCT(--('2026'!$A$5:$A$500=$AU$1),--('2026'!$C$5:$C$500=$B31))+SUMPRODUCT(--('2026'!$A$5:$A$500=$AU$1),--('2026'!$F$5:$F$500=$B31))+SUMPRODUCT(--('2026'!$A$5:$A$500=$AU$1),--('2026'!$D$5:$D$500=$B31))+SUMPRODUCT(--('2026'!$A$5:$A$500=$AU$1),--('2026'!$G$5:$G$500=$B31))</f>
        <v>0</v>
      </c>
      <c r="AV31" s="51">
        <f>SUMPRODUCT(--('2026'!$A$5:$A$500=$AU$1),--('2026'!$I$5:$I$500=$B31))+SUMPRODUCT(--('2026'!$A$5:$A$500=$AU$1),--('2026'!$J$5:$J$500=$B31))</f>
        <v>0</v>
      </c>
      <c r="AW31" s="51">
        <f>SUMPRODUCT(--('2026'!$A$5:$A$500=$AW$1),--('2026'!$C$5:$C$500=$B31))+SUMPRODUCT(--('2026'!$A$5:$A$500=$AW$1),--('2026'!$F$5:$F$500=$B31))+SUMPRODUCT(--('2026'!$A$5:$A$500=$AW$1),--('2026'!$D$5:$D$500=$B31))+SUMPRODUCT(--('2026'!$A$5:$A$500=$AW$1),--('2026'!$G$5:$G$500=$B31))</f>
        <v>0</v>
      </c>
      <c r="AX31" s="51">
        <f>SUMPRODUCT(--('2026'!$A$5:$A$500=$AW$1),--('2026'!$I$5:$I$500=$B31))+SUMPRODUCT(--('2026'!$A$5:$A$500=$AW$1),--('2026'!$J$5:$J$500=$B31))</f>
        <v>0</v>
      </c>
      <c r="BA31" s="54" t="s">
        <v>2</v>
      </c>
      <c r="BB31" s="47">
        <f t="shared" si="0"/>
        <v>0</v>
      </c>
      <c r="BC31" s="52">
        <f t="shared" si="1"/>
        <v>0</v>
      </c>
    </row>
    <row r="32" spans="1:55" ht="15" x14ac:dyDescent="0.25">
      <c r="A32">
        <v>30</v>
      </c>
      <c r="B32" s="54" t="s">
        <v>71</v>
      </c>
      <c r="C32" s="50">
        <f>SUMPRODUCT(--('2026'!$A$5:$A$500=$C$1),--('2026'!$C$5:$C$500=$B32))+SUMPRODUCT(--('2026'!$A$5:$A$500=$C$1),--('2026'!$F$5:$F$500=$B32))+SUMPRODUCT(--('2026'!$A$5:$A$500=$C$1),--('2026'!$D$5:$D$500=$B32))+SUMPRODUCT(--('2026'!$A$5:$A$500=$C$1),--('2026'!$G$5:$G$500=$B32))</f>
        <v>0</v>
      </c>
      <c r="D32" s="50">
        <f>SUMPRODUCT(--('2026'!$A$5:$A$500=$C$1),--('2026'!$I$5:$I$500=$B32))+SUMPRODUCT(--('2026'!$A$5:$A$500=$C$1),--('2026'!$J$5:$J$500=$B32))</f>
        <v>0</v>
      </c>
      <c r="E32" s="50">
        <f>SUMPRODUCT(--('2026'!$A$5:$A$500=$E$1),--('2026'!$C$5:$C$500=$B32))+SUMPRODUCT(--('2026'!$A$5:$A$500=$E$1),--('2026'!$F$5:$F$500=$B32))+SUMPRODUCT(--('2026'!$A$5:$A$500=$E$1),--('2026'!$D$5:$D$500=$B32))+SUMPRODUCT(--('2026'!$A$5:$A$500=$E$1),--('2026'!$G$5:$G$500=$B32))</f>
        <v>0</v>
      </c>
      <c r="F32" s="50">
        <f>SUMPRODUCT(--('2026'!$A$5:$A$500=$E$1),--('2026'!$I$5:$I$500=$B32))+SUMPRODUCT(--('2026'!$A$5:$A$500=$E$1),--('2026'!$J$5:$J$500=$B32))</f>
        <v>0</v>
      </c>
      <c r="G32" s="50">
        <f>SUMPRODUCT(--('2026'!$A$5:$A$500=$G$1),--('2026'!$C$5:$C$500=$B32))+SUMPRODUCT(--('2026'!$A$5:$A$500=$G$1),--('2026'!$F$5:$F$500=$B32))+SUMPRODUCT(--('2026'!$A$5:$A$500=$G$1),--('2026'!$D$5:$D$500=$B32))+SUMPRODUCT(--('2026'!$A$5:$A$500=$G$1),--('2026'!$G$5:$G$500=$B32))</f>
        <v>0</v>
      </c>
      <c r="H32" s="50">
        <f>SUMPRODUCT(--('2026'!$A$5:$A$500=$G$1),--('2026'!$I$5:$I$500=$B32))+SUMPRODUCT(--('2026'!$A$5:$A$500=$G$1),--('2026'!$J$5:$J$500=$B32))</f>
        <v>0</v>
      </c>
      <c r="I32" s="50">
        <f>SUMPRODUCT(--('2026'!$A$5:$A$500=$I$1),--('2026'!$C$5:$C$500=$B32))+SUMPRODUCT(--('2026'!$A$5:$A$500=$I$1),--('2026'!$F$5:$F$500=$B32))+SUMPRODUCT(--('2026'!$A$5:$A$500=$I$1),--('2026'!$D$5:$D$500=$B32))+SUMPRODUCT(--('2026'!$A$5:$A$500=$I$1),--('2026'!$G$5:$G$500=$B32))</f>
        <v>0</v>
      </c>
      <c r="J32" s="50">
        <f>SUMPRODUCT(--('2026'!$A$5:$A$500=$I$1),--('2026'!$I$5:$I$500=$B32))+SUMPRODUCT(--('2026'!$A$5:$A$500=$I$1),--('2026'!$J$5:$J$500=$B32))</f>
        <v>0</v>
      </c>
      <c r="K32" s="50">
        <f>SUMPRODUCT(--('2026'!$A$5:$A$500=$K$1),--('2026'!$C$5:$C$500=$B32))+SUMPRODUCT(--('2026'!$A$5:$A$500=$K$1),--('2026'!$F$5:$F$500=$B32))+SUMPRODUCT(--('2026'!$A$5:$A$500=$K$1),--('2026'!$D$5:$D$500=$B32))+SUMPRODUCT(--('2026'!$A$5:$A$500=$K$1),--('2026'!$G$5:$G$500=$B32))</f>
        <v>0</v>
      </c>
      <c r="L32" s="50">
        <f>SUMPRODUCT(--('2026'!$A$5:$A$500=$K$1),--('2026'!$I$5:$I$500=$B32))+SUMPRODUCT(--('2026'!$A$5:$A$500=$K$1),--('2026'!$J$5:$J$500=$B32))</f>
        <v>0</v>
      </c>
      <c r="M32" s="50">
        <f>SUMPRODUCT(--('2026'!$A$5:$A$500=$M$1),--('2026'!$C$5:$C$500=$B32))+SUMPRODUCT(--('2026'!$A$5:$A$500=$M$1),--('2026'!$F$5:$F$500=$B32))+SUMPRODUCT(--('2026'!$A$5:$A$500=$M$1),--('2026'!$D$5:$D$500=$B32))+SUMPRODUCT(--('2026'!$A$5:$A$500=$M$1),--('2026'!$G$5:$G$500=$B32))</f>
        <v>0</v>
      </c>
      <c r="N32" s="50">
        <f>SUMPRODUCT(--('2026'!$A$5:$A$500=$M$1),--('2026'!$I$5:$I$500=$B32))+SUMPRODUCT(--('2026'!$A$5:$A$500=$M$1),--('2026'!$J$5:$J$500=$B32))</f>
        <v>0</v>
      </c>
      <c r="O32" s="50">
        <f>SUMPRODUCT(--('2026'!$A$5:$A$500=$O$1),--('2026'!$C$5:$C$500=$B32))+SUMPRODUCT(--('2026'!$A$5:$A$500=$O$1),--('2026'!$F$5:$F$500=$B32))+SUMPRODUCT(--('2026'!$A$5:$A$500=$O$1),--('2026'!$D$5:$D$500=$B32))+SUMPRODUCT(--('2026'!$A$5:$A$500=$O$1),--('2026'!$G$5:$G$500=$B32))</f>
        <v>0</v>
      </c>
      <c r="P32" s="50">
        <f>SUMPRODUCT(--('2026'!$A$5:$A$500=$O$1),--('2026'!$I$5:$I$500=$B32))+SUMPRODUCT(--('2026'!$A$5:$A$500=$O$1),--('2026'!$J$5:$J$500=$B32))</f>
        <v>0</v>
      </c>
      <c r="Q32" s="50">
        <f>SUMPRODUCT(--('2026'!$A$5:$A$500=$Q$1),--('2026'!$C$5:$C$500=$B32))+SUMPRODUCT(--('2026'!$A$5:$A$500=$Q$1),--('2026'!$F$5:$F$500=$B32))+SUMPRODUCT(--('2026'!$A$5:$A$500=$Q$1),--('2026'!$D$5:$D$500=$B32))+SUMPRODUCT(--('2026'!$A$5:$A$500=$Q$1),--('2026'!$G$5:$G$500=$B32))</f>
        <v>0</v>
      </c>
      <c r="R32" s="50">
        <f>SUMPRODUCT(--('2026'!$A$5:$A$500=$Q$1),--('2026'!$I$5:$I$500=$B32))+SUMPRODUCT(--('2026'!$A$5:$A$500=$Q$1),--('2026'!$J$5:$J$500=$B32))</f>
        <v>0</v>
      </c>
      <c r="S32" s="50">
        <f>SUMPRODUCT(--('2026'!$A$5:$A$500=$S$1),--('2026'!$C$5:$C$500=$B32))+SUMPRODUCT(--('2026'!$A$5:$A$500=$S$1),--('2026'!$F$5:$F$500=$B32))+SUMPRODUCT(--('2026'!$A$5:$A$500=$S$1),--('2026'!$D$5:$D$500=$B32))+SUMPRODUCT(--('2026'!$A$5:$A$500=$S$1),--('2026'!$G$5:$G$500=$B32))</f>
        <v>0</v>
      </c>
      <c r="T32" s="50">
        <f>SUMPRODUCT(--('2026'!$A$5:$A$500=$S$1),--('2026'!$I$5:$I$500=$B32))+SUMPRODUCT(--('2026'!$A$5:$A$500=$S$1),--('2026'!$J$5:$J$500=$B32))</f>
        <v>0</v>
      </c>
      <c r="U32" s="50">
        <f>SUMPRODUCT(--('2026'!$A$5:$A$500=$U$1),--('2026'!$C$5:$C$500=$B32))+SUMPRODUCT(--('2026'!$A$5:$A$500=$U$1),--('2026'!$F$5:$F$500=$B32))+SUMPRODUCT(--('2026'!$A$5:$A$500=$U$1),--('2026'!$D$5:$D$500=$B32))+SUMPRODUCT(--('2026'!$A$5:$A$500=$U$1),--('2026'!$G$5:$G$500=$B32))</f>
        <v>0</v>
      </c>
      <c r="V32" s="50">
        <f>SUMPRODUCT(--('2026'!$A$5:$A$500=$U$1),--('2026'!$I$5:$I$500=$B32))+SUMPRODUCT(--('2026'!$A$5:$A$500=$U$1),--('2026'!$J$5:$J$500=$B32))</f>
        <v>0</v>
      </c>
      <c r="W32" s="50">
        <f>SUMPRODUCT(--('2026'!$A$5:$A$500=$W$1),--('2026'!$C$5:$C$500=$B32))+SUMPRODUCT(--('2026'!$A$5:$A$500=$W$1),--('2026'!$F$5:$F$500=$B32))+SUMPRODUCT(--('2026'!$A$5:$A$500=$W$1),--('2026'!$D$5:$D$500=$B32))+SUMPRODUCT(--('2026'!$A$5:$A$500=$W$1),--('2026'!$G$5:$G$500=$B32))</f>
        <v>0</v>
      </c>
      <c r="X32" s="50">
        <f>SUMPRODUCT(--('2026'!$A$5:$A$500=$W$1),--('2026'!$I$5:$I$500=$B32))+SUMPRODUCT(--('2026'!$A$5:$A$500=$W$1),--('2026'!$J$5:$J$500=$B32))</f>
        <v>0</v>
      </c>
      <c r="Y32" s="50">
        <f>SUMPRODUCT(--('2026'!$A$5:$A$500=$Y$1),--('2026'!$C$5:$C$500=$B32))+SUMPRODUCT(--('2026'!$A$5:$A$500=$Y$1),--('2026'!$F$5:$F$500=$B32))+SUMPRODUCT(--('2026'!$A$5:$A$500=$Y$1),--('2026'!$D$5:$D$500=$B32))+SUMPRODUCT(--('2026'!$A$5:$A$500=$Y$1),--('2026'!$G$5:$G$500=$B32))</f>
        <v>0</v>
      </c>
      <c r="Z32" s="50">
        <f>SUMPRODUCT(--('2026'!$A$5:$A$500=$Y$1),--('2026'!$I$5:$I$500=$B32))+SUMPRODUCT(--('2026'!$A$5:$A$500=$Y$1),--('2026'!$J$5:$J$500=$B32))</f>
        <v>0</v>
      </c>
      <c r="AA32" s="50">
        <f>SUMPRODUCT(--('2026'!$A$5:$A$500=$AA$1),--('2026'!$C$5:$C$500=$B32))+SUMPRODUCT(--('2026'!$A$5:$A$500=$AA$1),--('2026'!$F$5:$F$500=$B32))+SUMPRODUCT(--('2026'!$A$5:$A$500=$AA$1),--('2026'!$D$5:$D$500=$B32))+SUMPRODUCT(--('2026'!$A$5:$A$500=$AA$1),--('2026'!$G$5:$G$500=$B32))</f>
        <v>0</v>
      </c>
      <c r="AB32" s="50">
        <f>SUMPRODUCT(--('2026'!$A$5:$A$500=$AA$1),--('2026'!$I$5:$I$500=$B32))+SUMPRODUCT(--('2026'!$A$5:$A$500=$AA$1),--('2026'!$J$5:$J$500=$B32))</f>
        <v>0</v>
      </c>
      <c r="AC32" s="50">
        <f>SUMPRODUCT(--('2026'!$A$5:$A$500=$AC$1),--('2026'!$C$5:$C$500=$B32))+SUMPRODUCT(--('2026'!$A$5:$A$500=$AC$1),--('2026'!$F$5:$F$500=$B32))+SUMPRODUCT(--('2026'!$A$5:$A$500=$AC$1),--('2026'!$D$5:$D$500=$B32))+SUMPRODUCT(--('2026'!$A$5:$A$500=$AC$1),--('2026'!$G$5:$G$500=$B32))</f>
        <v>0</v>
      </c>
      <c r="AD32" s="50">
        <f>SUMPRODUCT(--('2026'!$A$5:$A$500=$AC$1),--('2026'!$I$5:$I$500=$B32))+SUMPRODUCT(--('2026'!$A$5:$A$500=$AC$1),--('2026'!$J$5:$J$500=$B32))</f>
        <v>0</v>
      </c>
      <c r="AE32" s="60">
        <f>SUMPRODUCT(--('2026'!$A$5:$A$500=$AE$1),--('2026'!$C$5:$C$500=$B32))+SUMPRODUCT(--('2026'!$A$5:$A$500=$AE$1),--('2026'!$F$5:$F$500=$B32))+SUMPRODUCT(--('2026'!$A$5:$A$500=$AE$1),--('2026'!$D$5:$D$500=$B32))+SUMPRODUCT(--('2026'!$A$5:$A$500=$AE$1),--('2026'!$G$5:$G$500=$B32))</f>
        <v>0</v>
      </c>
      <c r="AF32" s="60">
        <f>SUMPRODUCT(--('2026'!$A$5:$A$500=$AE$1),--('2026'!$I$5:$I$500=$B32))+SUMPRODUCT(--('2026'!$A$5:$A$500=$AE$1),--('2026'!$J$5:$J$500=$B32))</f>
        <v>0</v>
      </c>
      <c r="AG32" s="50">
        <f>SUMPRODUCT(--('2026'!$A$5:$A$500=$AG$1),--('2026'!$C$5:$C$500=$B32))+SUMPRODUCT(--('2026'!$A$5:$A$500=$AG$1),--('2026'!$F$5:$F$500=$B32))+SUMPRODUCT(--('2026'!$A$5:$A$500=$AG$1),--('2026'!$D$5:$D$500=$B32))+SUMPRODUCT(--('2026'!$A$5:$A$500=$AG$1),--('2026'!$G$5:$G$500=$B32))</f>
        <v>0</v>
      </c>
      <c r="AH32" s="50">
        <f>SUMPRODUCT(--('2026'!$A$5:$A$500=$AG$1),--('2026'!$I$5:$I$500=$B32))+SUMPRODUCT(--('2026'!$A$5:$A$500=$AG$1),--('2026'!$J$5:$J$500=$B32))</f>
        <v>0</v>
      </c>
      <c r="AI32" s="50">
        <f>SUMPRODUCT(--('2026'!$A$5:$A$500=$AI$1),--('2026'!$C$5:$C$500=$B32))+SUMPRODUCT(--('2026'!$A$5:$A$500=$AI$1),--('2026'!$F$5:$F$500=$B32))+SUMPRODUCT(--('2026'!$A$5:$A$500=$AI$1),--('2026'!$D$5:$D$500=$B32))+SUMPRODUCT(--('2026'!$A$5:$A$500=$AI$1),--('2026'!$G$5:$G$500=$B32))</f>
        <v>0</v>
      </c>
      <c r="AJ32" s="50">
        <f>SUMPRODUCT(--('2026'!$A$5:$A$500=$AI$1),--('2026'!$I$5:$I$500=$B32))+SUMPRODUCT(--('2026'!$A$5:$A$500=$AI$1),--('2026'!$J$5:$J$500=$B32))</f>
        <v>0</v>
      </c>
      <c r="AK32" s="50">
        <f>SUMPRODUCT(--('2026'!$A$5:$A$500=$AK$1),--('2026'!$C$5:$C$500=$B32))+SUMPRODUCT(--('2026'!$A$5:$A$500=$AK$1),--('2026'!$F$5:$F$500=$B32))+SUMPRODUCT(--('2026'!$A$5:$A$500=$AK$1),--('2026'!$D$5:$D$500=$B32))+SUMPRODUCT(--('2026'!$A$5:$A$500=$AK$1),--('2026'!$G$5:$G$500=$B32))</f>
        <v>0</v>
      </c>
      <c r="AL32" s="50">
        <f>SUMPRODUCT(--('2026'!$A$5:$A$500=$AK$1),--('2026'!$I$5:$I$500=$B32))+SUMPRODUCT(--('2026'!$A$5:$A$500=$AK$1),--('2026'!$J$5:$J$500=$B32))</f>
        <v>0</v>
      </c>
      <c r="AM32" s="50">
        <f>SUMPRODUCT(--('2026'!$A$5:$A$500=$AM$1),--('2026'!$C$5:$C$500=$B32))+SUMPRODUCT(--('2026'!$A$5:$A$500=$AM$1),--('2026'!$F$5:$F$500=$B32))+SUMPRODUCT(--('2026'!$A$5:$A$500=$AM$1),--('2026'!$D$5:$D$500=$B32))+SUMPRODUCT(--('2026'!$A$5:$A$500=$AM$1),--('2026'!$G$5:$G$500=$B32))</f>
        <v>0</v>
      </c>
      <c r="AN32" s="50">
        <f>SUMPRODUCT(--('2026'!$A$5:$A$500=$AM$1),--('2026'!$I$5:$I$500=$B32))+SUMPRODUCT(--('2026'!$A$5:$A$500=$AM$1),--('2026'!$J$5:$J$500=$B32))</f>
        <v>0</v>
      </c>
      <c r="AO32" s="50">
        <f>SUMPRODUCT(--('2026'!$A$5:$A$500=$AO$1),--('2026'!$C$5:$C$500=$B32))+SUMPRODUCT(--('2026'!$A$5:$A$500=$AO$1),--('2026'!$F$5:$F$500=$B32))+SUMPRODUCT(--('2026'!$A$5:$A$500=$AO$1),--('2026'!$D$5:$D$500=$B32))+SUMPRODUCT(--('2026'!$A$5:$A$500=$AO$1),--('2026'!$G$5:$G$500=$B32))</f>
        <v>0</v>
      </c>
      <c r="AP32" s="50">
        <f>SUMPRODUCT(--('2026'!$A$5:$A$500=$AO$1),--('2026'!$I$5:$I$500=$B32))+SUMPRODUCT(--('2026'!$A$5:$A$500=$AO$1),--('2026'!$J$5:$J$500=$B32))</f>
        <v>0</v>
      </c>
      <c r="AQ32" s="50">
        <f>SUMPRODUCT(--('2026'!$A$5:$A$500=$AQ$1),--('2026'!$C$5:$C$500=$B32))+SUMPRODUCT(--('2026'!$A$5:$A$500=$AQ$1),--('2026'!$F$5:$F$500=$B32))+SUMPRODUCT(--('2026'!$A$5:$A$500=$AQ$1),--('2026'!$D$5:$D$500=$B32))+SUMPRODUCT(--('2026'!$A$5:$A$500=$AQ$1),--('2026'!$G$5:$G$500=$B32))</f>
        <v>0</v>
      </c>
      <c r="AR32" s="50">
        <f>SUMPRODUCT(--('2026'!$A$5:$A$500=$AQ$1),--('2026'!$I$5:$I$500=$B32))+SUMPRODUCT(--('2026'!$A$5:$A$500=$AQ$1),--('2026'!$J$5:$J$500=$B32))</f>
        <v>0</v>
      </c>
      <c r="AS32" s="50">
        <f>SUMPRODUCT(--('2026'!$A$5:$A$500=$AS$1),--('2026'!$C$5:$C$500=$B32))+SUMPRODUCT(--('2026'!$A$5:$A$500=$AS$1),--('2026'!$F$5:$F$500=$B32))+SUMPRODUCT(--('2026'!$A$5:$A$500=$AS$1),--('2026'!$D$5:$D$500=$B32))+SUMPRODUCT(--('2026'!$A$5:$A$500=$AS$1),--('2026'!$G$5:$G$500=$B32))</f>
        <v>0</v>
      </c>
      <c r="AT32" s="50">
        <f>SUMPRODUCT(--('2026'!$A$5:$A$500=$AS$1),--('2026'!$I$5:$I$500=$B32))+SUMPRODUCT(--('2026'!$A$5:$A$500=$AS$1),--('2026'!$J$5:$J$500=$B32))</f>
        <v>0</v>
      </c>
      <c r="AU32" s="50">
        <f>SUMPRODUCT(--('2026'!$A$5:$A$500=$AU$1),--('2026'!$C$5:$C$500=$B32))+SUMPRODUCT(--('2026'!$A$5:$A$500=$AU$1),--('2026'!$F$5:$F$500=$B32))+SUMPRODUCT(--('2026'!$A$5:$A$500=$AU$1),--('2026'!$D$5:$D$500=$B32))+SUMPRODUCT(--('2026'!$A$5:$A$500=$AU$1),--('2026'!$G$5:$G$500=$B32))</f>
        <v>0</v>
      </c>
      <c r="AV32" s="50">
        <f>SUMPRODUCT(--('2026'!$A$5:$A$500=$AU$1),--('2026'!$I$5:$I$500=$B32))+SUMPRODUCT(--('2026'!$A$5:$A$500=$AU$1),--('2026'!$J$5:$J$500=$B32))</f>
        <v>0</v>
      </c>
      <c r="AW32" s="50">
        <f>SUMPRODUCT(--('2026'!$A$5:$A$500=$AW$1),--('2026'!$C$5:$C$500=$B32))+SUMPRODUCT(--('2026'!$A$5:$A$500=$AW$1),--('2026'!$F$5:$F$500=$B32))+SUMPRODUCT(--('2026'!$A$5:$A$500=$AW$1),--('2026'!$D$5:$D$500=$B32))+SUMPRODUCT(--('2026'!$A$5:$A$500=$AW$1),--('2026'!$G$5:$G$500=$B32))</f>
        <v>0</v>
      </c>
      <c r="AX32" s="50">
        <f>SUMPRODUCT(--('2026'!$A$5:$A$500=$AW$1),--('2026'!$I$5:$I$500=$B32))+SUMPRODUCT(--('2026'!$A$5:$A$500=$AW$1),--('2026'!$J$5:$J$500=$B32))</f>
        <v>0</v>
      </c>
      <c r="BA32" s="54" t="s">
        <v>71</v>
      </c>
      <c r="BB32" s="47">
        <f t="shared" si="0"/>
        <v>0</v>
      </c>
      <c r="BC32" s="52">
        <f t="shared" si="1"/>
        <v>0</v>
      </c>
    </row>
    <row r="33" spans="1:55" ht="15" x14ac:dyDescent="0.25">
      <c r="A33">
        <v>31</v>
      </c>
      <c r="B33" s="54" t="s">
        <v>93</v>
      </c>
      <c r="C33" s="50">
        <f>SUMPRODUCT(--('2026'!$A$5:$A$500=$C$1),--('2026'!$C$5:$C$500=$B33))+SUMPRODUCT(--('2026'!$A$5:$A$500=$C$1),--('2026'!$F$5:$F$500=$B33))+SUMPRODUCT(--('2026'!$A$5:$A$500=$C$1),--('2026'!$D$5:$D$500=$B33))+SUMPRODUCT(--('2026'!$A$5:$A$500=$C$1),--('2026'!$G$5:$G$500=$B33))</f>
        <v>0</v>
      </c>
      <c r="D33" s="50">
        <f>SUMPRODUCT(--('2026'!$A$5:$A$500=$C$1),--('2026'!$I$5:$I$500=$B33))+SUMPRODUCT(--('2026'!$A$5:$A$500=$C$1),--('2026'!$J$5:$J$500=$B33))</f>
        <v>0</v>
      </c>
      <c r="E33" s="50">
        <f>SUMPRODUCT(--('2026'!$A$5:$A$500=$E$1),--('2026'!$C$5:$C$500=$B33))+SUMPRODUCT(--('2026'!$A$5:$A$500=$E$1),--('2026'!$F$5:$F$500=$B33))+SUMPRODUCT(--('2026'!$A$5:$A$500=$E$1),--('2026'!$D$5:$D$500=$B33))+SUMPRODUCT(--('2026'!$A$5:$A$500=$E$1),--('2026'!$G$5:$G$500=$B33))</f>
        <v>0</v>
      </c>
      <c r="F33" s="50">
        <f>SUMPRODUCT(--('2026'!$A$5:$A$500=$E$1),--('2026'!$I$5:$I$500=$B33))+SUMPRODUCT(--('2026'!$A$5:$A$500=$E$1),--('2026'!$J$5:$J$500=$B33))</f>
        <v>0</v>
      </c>
      <c r="G33" s="50">
        <f>SUMPRODUCT(--('2026'!$A$5:$A$500=$G$1),--('2026'!$C$5:$C$500=$B33))+SUMPRODUCT(--('2026'!$A$5:$A$500=$G$1),--('2026'!$F$5:$F$500=$B33))+SUMPRODUCT(--('2026'!$A$5:$A$500=$G$1),--('2026'!$D$5:$D$500=$B33))+SUMPRODUCT(--('2026'!$A$5:$A$500=$G$1),--('2026'!$G$5:$G$500=$B33))</f>
        <v>0</v>
      </c>
      <c r="H33" s="50">
        <f>SUMPRODUCT(--('2026'!$A$5:$A$500=$G$1),--('2026'!$I$5:$I$500=$B33))+SUMPRODUCT(--('2026'!$A$5:$A$500=$G$1),--('2026'!$J$5:$J$500=$B33))</f>
        <v>0</v>
      </c>
      <c r="I33" s="50">
        <f>SUMPRODUCT(--('2026'!$A$5:$A$500=$I$1),--('2026'!$C$5:$C$500=$B33))+SUMPRODUCT(--('2026'!$A$5:$A$500=$I$1),--('2026'!$F$5:$F$500=$B33))+SUMPRODUCT(--('2026'!$A$5:$A$500=$I$1),--('2026'!$D$5:$D$500=$B33))+SUMPRODUCT(--('2026'!$A$5:$A$500=$I$1),--('2026'!$G$5:$G$500=$B33))</f>
        <v>0</v>
      </c>
      <c r="J33" s="50">
        <f>SUMPRODUCT(--('2026'!$A$5:$A$500=$I$1),--('2026'!$I$5:$I$500=$B33))+SUMPRODUCT(--('2026'!$A$5:$A$500=$I$1),--('2026'!$J$5:$J$500=$B33))</f>
        <v>0</v>
      </c>
      <c r="K33" s="50">
        <f>SUMPRODUCT(--('2026'!$A$5:$A$500=$K$1),--('2026'!$C$5:$C$500=$B33))+SUMPRODUCT(--('2026'!$A$5:$A$500=$K$1),--('2026'!$F$5:$F$500=$B33))+SUMPRODUCT(--('2026'!$A$5:$A$500=$K$1),--('2026'!$D$5:$D$500=$B33))+SUMPRODUCT(--('2026'!$A$5:$A$500=$K$1),--('2026'!$G$5:$G$500=$B33))</f>
        <v>0</v>
      </c>
      <c r="L33" s="50">
        <f>SUMPRODUCT(--('2026'!$A$5:$A$500=$K$1),--('2026'!$I$5:$I$500=$B33))+SUMPRODUCT(--('2026'!$A$5:$A$500=$K$1),--('2026'!$J$5:$J$500=$B33))</f>
        <v>0</v>
      </c>
      <c r="M33" s="50">
        <f>SUMPRODUCT(--('2026'!$A$5:$A$500=$M$1),--('2026'!$C$5:$C$500=$B33))+SUMPRODUCT(--('2026'!$A$5:$A$500=$M$1),--('2026'!$F$5:$F$500=$B33))+SUMPRODUCT(--('2026'!$A$5:$A$500=$M$1),--('2026'!$D$5:$D$500=$B33))+SUMPRODUCT(--('2026'!$A$5:$A$500=$M$1),--('2026'!$G$5:$G$500=$B33))</f>
        <v>0</v>
      </c>
      <c r="N33" s="50">
        <f>SUMPRODUCT(--('2026'!$A$5:$A$500=$M$1),--('2026'!$I$5:$I$500=$B33))+SUMPRODUCT(--('2026'!$A$5:$A$500=$M$1),--('2026'!$J$5:$J$500=$B33))</f>
        <v>0</v>
      </c>
      <c r="O33" s="50">
        <f>SUMPRODUCT(--('2026'!$A$5:$A$500=$O$1),--('2026'!$C$5:$C$500=$B33))+SUMPRODUCT(--('2026'!$A$5:$A$500=$O$1),--('2026'!$F$5:$F$500=$B33))+SUMPRODUCT(--('2026'!$A$5:$A$500=$O$1),--('2026'!$D$5:$D$500=$B33))+SUMPRODUCT(--('2026'!$A$5:$A$500=$O$1),--('2026'!$G$5:$G$500=$B33))</f>
        <v>0</v>
      </c>
      <c r="P33" s="50">
        <f>SUMPRODUCT(--('2026'!$A$5:$A$500=$O$1),--('2026'!$I$5:$I$500=$B33))+SUMPRODUCT(--('2026'!$A$5:$A$500=$O$1),--('2026'!$J$5:$J$500=$B33))</f>
        <v>0</v>
      </c>
      <c r="Q33" s="50">
        <f>SUMPRODUCT(--('2026'!$A$5:$A$500=$Q$1),--('2026'!$C$5:$C$500=$B33))+SUMPRODUCT(--('2026'!$A$5:$A$500=$Q$1),--('2026'!$F$5:$F$500=$B33))+SUMPRODUCT(--('2026'!$A$5:$A$500=$Q$1),--('2026'!$D$5:$D$500=$B33))+SUMPRODUCT(--('2026'!$A$5:$A$500=$Q$1),--('2026'!$G$5:$G$500=$B33))</f>
        <v>0</v>
      </c>
      <c r="R33" s="50">
        <f>SUMPRODUCT(--('2026'!$A$5:$A$500=$Q$1),--('2026'!$I$5:$I$500=$B33))+SUMPRODUCT(--('2026'!$A$5:$A$500=$Q$1),--('2026'!$J$5:$J$500=$B33))</f>
        <v>0</v>
      </c>
      <c r="S33" s="50">
        <f>SUMPRODUCT(--('2026'!$A$5:$A$500=$S$1),--('2026'!$C$5:$C$500=$B33))+SUMPRODUCT(--('2026'!$A$5:$A$500=$S$1),--('2026'!$F$5:$F$500=$B33))+SUMPRODUCT(--('2026'!$A$5:$A$500=$S$1),--('2026'!$D$5:$D$500=$B33))+SUMPRODUCT(--('2026'!$A$5:$A$500=$S$1),--('2026'!$G$5:$G$500=$B33))</f>
        <v>0</v>
      </c>
      <c r="T33" s="50">
        <f>SUMPRODUCT(--('2026'!$A$5:$A$500=$S$1),--('2026'!$I$5:$I$500=$B33))+SUMPRODUCT(--('2026'!$A$5:$A$500=$S$1),--('2026'!$J$5:$J$500=$B33))</f>
        <v>0</v>
      </c>
      <c r="U33" s="50">
        <f>SUMPRODUCT(--('2026'!$A$5:$A$500=$U$1),--('2026'!$C$5:$C$500=$B33))+SUMPRODUCT(--('2026'!$A$5:$A$500=$U$1),--('2026'!$F$5:$F$500=$B33))+SUMPRODUCT(--('2026'!$A$5:$A$500=$U$1),--('2026'!$D$5:$D$500=$B33))+SUMPRODUCT(--('2026'!$A$5:$A$500=$U$1),--('2026'!$G$5:$G$500=$B33))</f>
        <v>0</v>
      </c>
      <c r="V33" s="50">
        <f>SUMPRODUCT(--('2026'!$A$5:$A$500=$U$1),--('2026'!$I$5:$I$500=$B33))+SUMPRODUCT(--('2026'!$A$5:$A$500=$U$1),--('2026'!$J$5:$J$500=$B33))</f>
        <v>0</v>
      </c>
      <c r="W33" s="50">
        <f>SUMPRODUCT(--('2026'!$A$5:$A$500=$W$1),--('2026'!$C$5:$C$500=$B33))+SUMPRODUCT(--('2026'!$A$5:$A$500=$W$1),--('2026'!$F$5:$F$500=$B33))+SUMPRODUCT(--('2026'!$A$5:$A$500=$W$1),--('2026'!$D$5:$D$500=$B33))+SUMPRODUCT(--('2026'!$A$5:$A$500=$W$1),--('2026'!$G$5:$G$500=$B33))</f>
        <v>0</v>
      </c>
      <c r="X33" s="50">
        <f>SUMPRODUCT(--('2026'!$A$5:$A$500=$W$1),--('2026'!$I$5:$I$500=$B33))+SUMPRODUCT(--('2026'!$A$5:$A$500=$W$1),--('2026'!$J$5:$J$500=$B33))</f>
        <v>0</v>
      </c>
      <c r="Y33" s="50">
        <f>SUMPRODUCT(--('2026'!$A$5:$A$500=$Y$1),--('2026'!$C$5:$C$500=$B33))+SUMPRODUCT(--('2026'!$A$5:$A$500=$Y$1),--('2026'!$F$5:$F$500=$B33))+SUMPRODUCT(--('2026'!$A$5:$A$500=$Y$1),--('2026'!$D$5:$D$500=$B33))+SUMPRODUCT(--('2026'!$A$5:$A$500=$Y$1),--('2026'!$G$5:$G$500=$B33))</f>
        <v>0</v>
      </c>
      <c r="Z33" s="50">
        <f>SUMPRODUCT(--('2026'!$A$5:$A$500=$Y$1),--('2026'!$I$5:$I$500=$B33))+SUMPRODUCT(--('2026'!$A$5:$A$500=$Y$1),--('2026'!$J$5:$J$500=$B33))</f>
        <v>0</v>
      </c>
      <c r="AA33" s="50">
        <f>SUMPRODUCT(--('2026'!$A$5:$A$500=$AA$1),--('2026'!$C$5:$C$500=$B33))+SUMPRODUCT(--('2026'!$A$5:$A$500=$AA$1),--('2026'!$F$5:$F$500=$B33))+SUMPRODUCT(--('2026'!$A$5:$A$500=$AA$1),--('2026'!$D$5:$D$500=$B33))+SUMPRODUCT(--('2026'!$A$5:$A$500=$AA$1),--('2026'!$G$5:$G$500=$B33))</f>
        <v>0</v>
      </c>
      <c r="AB33" s="50">
        <f>SUMPRODUCT(--('2026'!$A$5:$A$500=$AA$1),--('2026'!$I$5:$I$500=$B33))+SUMPRODUCT(--('2026'!$A$5:$A$500=$AA$1),--('2026'!$J$5:$J$500=$B33))</f>
        <v>0</v>
      </c>
      <c r="AC33" s="50">
        <f>SUMPRODUCT(--('2026'!$A$5:$A$500=$AC$1),--('2026'!$C$5:$C$500=$B33))+SUMPRODUCT(--('2026'!$A$5:$A$500=$AC$1),--('2026'!$F$5:$F$500=$B33))+SUMPRODUCT(--('2026'!$A$5:$A$500=$AC$1),--('2026'!$D$5:$D$500=$B33))+SUMPRODUCT(--('2026'!$A$5:$A$500=$AC$1),--('2026'!$G$5:$G$500=$B33))</f>
        <v>0</v>
      </c>
      <c r="AD33" s="50">
        <f>SUMPRODUCT(--('2026'!$A$5:$A$500=$AC$1),--('2026'!$I$5:$I$500=$B33))+SUMPRODUCT(--('2026'!$A$5:$A$500=$AC$1),--('2026'!$J$5:$J$500=$B33))</f>
        <v>0</v>
      </c>
      <c r="AE33" s="60">
        <f>SUMPRODUCT(--('2026'!$A$5:$A$500=$AE$1),--('2026'!$C$5:$C$500=$B33))+SUMPRODUCT(--('2026'!$A$5:$A$500=$AE$1),--('2026'!$F$5:$F$500=$B33))+SUMPRODUCT(--('2026'!$A$5:$A$500=$AE$1),--('2026'!$D$5:$D$500=$B33))+SUMPRODUCT(--('2026'!$A$5:$A$500=$AE$1),--('2026'!$G$5:$G$500=$B33))</f>
        <v>0</v>
      </c>
      <c r="AF33" s="60">
        <f>SUMPRODUCT(--('2026'!$A$5:$A$500=$AE$1),--('2026'!$I$5:$I$500=$B33))+SUMPRODUCT(--('2026'!$A$5:$A$500=$AE$1),--('2026'!$J$5:$J$500=$B33))</f>
        <v>0</v>
      </c>
      <c r="AG33" s="50">
        <f>SUMPRODUCT(--('2026'!$A$5:$A$500=$AG$1),--('2026'!$C$5:$C$500=$B33))+SUMPRODUCT(--('2026'!$A$5:$A$500=$AG$1),--('2026'!$F$5:$F$500=$B33))+SUMPRODUCT(--('2026'!$A$5:$A$500=$AG$1),--('2026'!$D$5:$D$500=$B33))+SUMPRODUCT(--('2026'!$A$5:$A$500=$AG$1),--('2026'!$G$5:$G$500=$B33))</f>
        <v>0</v>
      </c>
      <c r="AH33" s="50">
        <f>SUMPRODUCT(--('2026'!$A$5:$A$500=$AG$1),--('2026'!$I$5:$I$500=$B33))+SUMPRODUCT(--('2026'!$A$5:$A$500=$AG$1),--('2026'!$J$5:$J$500=$B33))</f>
        <v>0</v>
      </c>
      <c r="AI33" s="50">
        <f>SUMPRODUCT(--('2026'!$A$5:$A$500=$AI$1),--('2026'!$C$5:$C$500=$B33))+SUMPRODUCT(--('2026'!$A$5:$A$500=$AI$1),--('2026'!$F$5:$F$500=$B33))+SUMPRODUCT(--('2026'!$A$5:$A$500=$AI$1),--('2026'!$D$5:$D$500=$B33))+SUMPRODUCT(--('2026'!$A$5:$A$500=$AI$1),--('2026'!$G$5:$G$500=$B33))</f>
        <v>0</v>
      </c>
      <c r="AJ33" s="50">
        <f>SUMPRODUCT(--('2026'!$A$5:$A$500=$AI$1),--('2026'!$I$5:$I$500=$B33))+SUMPRODUCT(--('2026'!$A$5:$A$500=$AI$1),--('2026'!$J$5:$J$500=$B33))</f>
        <v>0</v>
      </c>
      <c r="AK33" s="50">
        <f>SUMPRODUCT(--('2026'!$A$5:$A$500=$AK$1),--('2026'!$C$5:$C$500=$B33))+SUMPRODUCT(--('2026'!$A$5:$A$500=$AK$1),--('2026'!$F$5:$F$500=$B33))+SUMPRODUCT(--('2026'!$A$5:$A$500=$AK$1),--('2026'!$D$5:$D$500=$B33))+SUMPRODUCT(--('2026'!$A$5:$A$500=$AK$1),--('2026'!$G$5:$G$500=$B33))</f>
        <v>0</v>
      </c>
      <c r="AL33" s="50">
        <f>SUMPRODUCT(--('2026'!$A$5:$A$500=$AK$1),--('2026'!$I$5:$I$500=$B33))+SUMPRODUCT(--('2026'!$A$5:$A$500=$AK$1),--('2026'!$J$5:$J$500=$B33))</f>
        <v>0</v>
      </c>
      <c r="AM33" s="50">
        <f>SUMPRODUCT(--('2026'!$A$5:$A$500=$AM$1),--('2026'!$C$5:$C$500=$B33))+SUMPRODUCT(--('2026'!$A$5:$A$500=$AM$1),--('2026'!$F$5:$F$500=$B33))+SUMPRODUCT(--('2026'!$A$5:$A$500=$AM$1),--('2026'!$D$5:$D$500=$B33))+SUMPRODUCT(--('2026'!$A$5:$A$500=$AM$1),--('2026'!$G$5:$G$500=$B33))</f>
        <v>0</v>
      </c>
      <c r="AN33" s="50">
        <f>SUMPRODUCT(--('2026'!$A$5:$A$500=$AM$1),--('2026'!$I$5:$I$500=$B33))+SUMPRODUCT(--('2026'!$A$5:$A$500=$AM$1),--('2026'!$J$5:$J$500=$B33))</f>
        <v>0</v>
      </c>
      <c r="AO33" s="50">
        <f>SUMPRODUCT(--('2026'!$A$5:$A$500=$AO$1),--('2026'!$C$5:$C$500=$B33))+SUMPRODUCT(--('2026'!$A$5:$A$500=$AO$1),--('2026'!$F$5:$F$500=$B33))+SUMPRODUCT(--('2026'!$A$5:$A$500=$AO$1),--('2026'!$D$5:$D$500=$B33))+SUMPRODUCT(--('2026'!$A$5:$A$500=$AO$1),--('2026'!$G$5:$G$500=$B33))</f>
        <v>0</v>
      </c>
      <c r="AP33" s="50">
        <f>SUMPRODUCT(--('2026'!$A$5:$A$500=$AO$1),--('2026'!$I$5:$I$500=$B33))+SUMPRODUCT(--('2026'!$A$5:$A$500=$AO$1),--('2026'!$J$5:$J$500=$B33))</f>
        <v>0</v>
      </c>
      <c r="AQ33" s="50">
        <f>SUMPRODUCT(--('2026'!$A$5:$A$500=$AQ$1),--('2026'!$C$5:$C$500=$B33))+SUMPRODUCT(--('2026'!$A$5:$A$500=$AQ$1),--('2026'!$F$5:$F$500=$B33))+SUMPRODUCT(--('2026'!$A$5:$A$500=$AQ$1),--('2026'!$D$5:$D$500=$B33))+SUMPRODUCT(--('2026'!$A$5:$A$500=$AQ$1),--('2026'!$G$5:$G$500=$B33))</f>
        <v>0</v>
      </c>
      <c r="AR33" s="50">
        <f>SUMPRODUCT(--('2026'!$A$5:$A$500=$AQ$1),--('2026'!$I$5:$I$500=$B33))+SUMPRODUCT(--('2026'!$A$5:$A$500=$AQ$1),--('2026'!$J$5:$J$500=$B33))</f>
        <v>0</v>
      </c>
      <c r="AS33" s="50">
        <f>SUMPRODUCT(--('2026'!$A$5:$A$500=$AS$1),--('2026'!$C$5:$C$500=$B33))+SUMPRODUCT(--('2026'!$A$5:$A$500=$AS$1),--('2026'!$F$5:$F$500=$B33))+SUMPRODUCT(--('2026'!$A$5:$A$500=$AS$1),--('2026'!$D$5:$D$500=$B33))+SUMPRODUCT(--('2026'!$A$5:$A$500=$AS$1),--('2026'!$G$5:$G$500=$B33))</f>
        <v>0</v>
      </c>
      <c r="AT33" s="50">
        <f>SUMPRODUCT(--('2026'!$A$5:$A$500=$AS$1),--('2026'!$I$5:$I$500=$B33))+SUMPRODUCT(--('2026'!$A$5:$A$500=$AS$1),--('2026'!$J$5:$J$500=$B33))</f>
        <v>0</v>
      </c>
      <c r="AU33" s="50">
        <f>SUMPRODUCT(--('2026'!$A$5:$A$500=$AU$1),--('2026'!$C$5:$C$500=$B33))+SUMPRODUCT(--('2026'!$A$5:$A$500=$AU$1),--('2026'!$F$5:$F$500=$B33))+SUMPRODUCT(--('2026'!$A$5:$A$500=$AU$1),--('2026'!$D$5:$D$500=$B33))+SUMPRODUCT(--('2026'!$A$5:$A$500=$AU$1),--('2026'!$G$5:$G$500=$B33))</f>
        <v>0</v>
      </c>
      <c r="AV33" s="50">
        <f>SUMPRODUCT(--('2026'!$A$5:$A$500=$AU$1),--('2026'!$I$5:$I$500=$B33))+SUMPRODUCT(--('2026'!$A$5:$A$500=$AU$1),--('2026'!$J$5:$J$500=$B33))</f>
        <v>0</v>
      </c>
      <c r="AW33" s="50">
        <f>SUMPRODUCT(--('2026'!$A$5:$A$500=$AW$1),--('2026'!$C$5:$C$500=$B33))+SUMPRODUCT(--('2026'!$A$5:$A$500=$AW$1),--('2026'!$F$5:$F$500=$B33))+SUMPRODUCT(--('2026'!$A$5:$A$500=$AW$1),--('2026'!$D$5:$D$500=$B33))+SUMPRODUCT(--('2026'!$A$5:$A$500=$AW$1),--('2026'!$G$5:$G$500=$B33))</f>
        <v>0</v>
      </c>
      <c r="AX33" s="50">
        <f>SUMPRODUCT(--('2026'!$A$5:$A$500=$AW$1),--('2026'!$I$5:$I$500=$B33))+SUMPRODUCT(--('2026'!$A$5:$A$500=$AW$1),--('2026'!$J$5:$J$500=$B33))</f>
        <v>0</v>
      </c>
      <c r="BA33" s="54" t="s">
        <v>93</v>
      </c>
      <c r="BB33" s="47">
        <f t="shared" si="0"/>
        <v>0</v>
      </c>
      <c r="BC33" s="52">
        <f t="shared" si="1"/>
        <v>0</v>
      </c>
    </row>
    <row r="34" spans="1:55" ht="15" x14ac:dyDescent="0.25">
      <c r="A34">
        <v>32</v>
      </c>
      <c r="B34" s="54" t="s">
        <v>126</v>
      </c>
      <c r="C34" s="50">
        <f>SUMPRODUCT(--('2026'!$A$5:$A$500=$C$1),--('2026'!$C$5:$C$500=$B34))+SUMPRODUCT(--('2026'!$A$5:$A$500=$C$1),--('2026'!$F$5:$F$500=$B34))+SUMPRODUCT(--('2026'!$A$5:$A$500=$C$1),--('2026'!$D$5:$D$500=$B34))+SUMPRODUCT(--('2026'!$A$5:$A$500=$C$1),--('2026'!$G$5:$G$500=$B34))</f>
        <v>0</v>
      </c>
      <c r="D34" s="50">
        <f>SUMPRODUCT(--('2026'!$A$5:$A$500=$C$1),--('2026'!$I$5:$I$500=$B34))+SUMPRODUCT(--('2026'!$A$5:$A$500=$C$1),--('2026'!$J$5:$J$500=$B34))</f>
        <v>0</v>
      </c>
      <c r="E34" s="50">
        <f>SUMPRODUCT(--('2026'!$A$5:$A$500=$E$1),--('2026'!$C$5:$C$500=$B34))+SUMPRODUCT(--('2026'!$A$5:$A$500=$E$1),--('2026'!$F$5:$F$500=$B34))+SUMPRODUCT(--('2026'!$A$5:$A$500=$E$1),--('2026'!$D$5:$D$500=$B34))+SUMPRODUCT(--('2026'!$A$5:$A$500=$E$1),--('2026'!$G$5:$G$500=$B34))</f>
        <v>0</v>
      </c>
      <c r="F34" s="50">
        <f>SUMPRODUCT(--('2026'!$A$5:$A$500=$E$1),--('2026'!$I$5:$I$500=$B34))+SUMPRODUCT(--('2026'!$A$5:$A$500=$E$1),--('2026'!$J$5:$J$500=$B34))</f>
        <v>0</v>
      </c>
      <c r="G34" s="50">
        <f>SUMPRODUCT(--('2026'!$A$5:$A$500=$G$1),--('2026'!$C$5:$C$500=$B34))+SUMPRODUCT(--('2026'!$A$5:$A$500=$G$1),--('2026'!$F$5:$F$500=$B34))+SUMPRODUCT(--('2026'!$A$5:$A$500=$G$1),--('2026'!$D$5:$D$500=$B34))+SUMPRODUCT(--('2026'!$A$5:$A$500=$G$1),--('2026'!$G$5:$G$500=$B34))</f>
        <v>0</v>
      </c>
      <c r="H34" s="50">
        <f>SUMPRODUCT(--('2026'!$A$5:$A$500=$G$1),--('2026'!$I$5:$I$500=$B34))+SUMPRODUCT(--('2026'!$A$5:$A$500=$G$1),--('2026'!$J$5:$J$500=$B34))</f>
        <v>0</v>
      </c>
      <c r="I34" s="50">
        <f>SUMPRODUCT(--('2026'!$A$5:$A$500=$I$1),--('2026'!$C$5:$C$500=$B34))+SUMPRODUCT(--('2026'!$A$5:$A$500=$I$1),--('2026'!$F$5:$F$500=$B34))+SUMPRODUCT(--('2026'!$A$5:$A$500=$I$1),--('2026'!$D$5:$D$500=$B34))+SUMPRODUCT(--('2026'!$A$5:$A$500=$I$1),--('2026'!$G$5:$G$500=$B34))</f>
        <v>0</v>
      </c>
      <c r="J34" s="50">
        <f>SUMPRODUCT(--('2026'!$A$5:$A$500=$I$1),--('2026'!$I$5:$I$500=$B34))+SUMPRODUCT(--('2026'!$A$5:$A$500=$I$1),--('2026'!$J$5:$J$500=$B34))</f>
        <v>0</v>
      </c>
      <c r="K34" s="50">
        <f>SUMPRODUCT(--('2026'!$A$5:$A$500=$K$1),--('2026'!$C$5:$C$500=$B34))+SUMPRODUCT(--('2026'!$A$5:$A$500=$K$1),--('2026'!$F$5:$F$500=$B34))+SUMPRODUCT(--('2026'!$A$5:$A$500=$K$1),--('2026'!$D$5:$D$500=$B34))+SUMPRODUCT(--('2026'!$A$5:$A$500=$K$1),--('2026'!$G$5:$G$500=$B34))</f>
        <v>0</v>
      </c>
      <c r="L34" s="50">
        <f>SUMPRODUCT(--('2026'!$A$5:$A$500=$K$1),--('2026'!$I$5:$I$500=$B34))+SUMPRODUCT(--('2026'!$A$5:$A$500=$K$1),--('2026'!$J$5:$J$500=$B34))</f>
        <v>0</v>
      </c>
      <c r="M34" s="50">
        <f>SUMPRODUCT(--('2026'!$A$5:$A$500=$M$1),--('2026'!$C$5:$C$500=$B34))+SUMPRODUCT(--('2026'!$A$5:$A$500=$M$1),--('2026'!$F$5:$F$500=$B34))+SUMPRODUCT(--('2026'!$A$5:$A$500=$M$1),--('2026'!$D$5:$D$500=$B34))+SUMPRODUCT(--('2026'!$A$5:$A$500=$M$1),--('2026'!$G$5:$G$500=$B34))</f>
        <v>0</v>
      </c>
      <c r="N34" s="50">
        <f>SUMPRODUCT(--('2026'!$A$5:$A$500=$M$1),--('2026'!$I$5:$I$500=$B34))+SUMPRODUCT(--('2026'!$A$5:$A$500=$M$1),--('2026'!$J$5:$J$500=$B34))</f>
        <v>0</v>
      </c>
      <c r="O34" s="50">
        <f>SUMPRODUCT(--('2026'!$A$5:$A$500=$O$1),--('2026'!$C$5:$C$500=$B34))+SUMPRODUCT(--('2026'!$A$5:$A$500=$O$1),--('2026'!$F$5:$F$500=$B34))+SUMPRODUCT(--('2026'!$A$5:$A$500=$O$1),--('2026'!$D$5:$D$500=$B34))+SUMPRODUCT(--('2026'!$A$5:$A$500=$O$1),--('2026'!$G$5:$G$500=$B34))</f>
        <v>0</v>
      </c>
      <c r="P34" s="50">
        <f>SUMPRODUCT(--('2026'!$A$5:$A$500=$O$1),--('2026'!$I$5:$I$500=$B34))+SUMPRODUCT(--('2026'!$A$5:$A$500=$O$1),--('2026'!$J$5:$J$500=$B34))</f>
        <v>0</v>
      </c>
      <c r="Q34" s="50">
        <f>SUMPRODUCT(--('2026'!$A$5:$A$500=$Q$1),--('2026'!$C$5:$C$500=$B34))+SUMPRODUCT(--('2026'!$A$5:$A$500=$Q$1),--('2026'!$F$5:$F$500=$B34))+SUMPRODUCT(--('2026'!$A$5:$A$500=$Q$1),--('2026'!$D$5:$D$500=$B34))+SUMPRODUCT(--('2026'!$A$5:$A$500=$Q$1),--('2026'!$G$5:$G$500=$B34))</f>
        <v>0</v>
      </c>
      <c r="R34" s="50">
        <f>SUMPRODUCT(--('2026'!$A$5:$A$500=$Q$1),--('2026'!$I$5:$I$500=$B34))+SUMPRODUCT(--('2026'!$A$5:$A$500=$Q$1),--('2026'!$J$5:$J$500=$B34))</f>
        <v>0</v>
      </c>
      <c r="S34" s="50">
        <f>SUMPRODUCT(--('2026'!$A$5:$A$500=$S$1),--('2026'!$C$5:$C$500=$B34))+SUMPRODUCT(--('2026'!$A$5:$A$500=$S$1),--('2026'!$F$5:$F$500=$B34))+SUMPRODUCT(--('2026'!$A$5:$A$500=$S$1),--('2026'!$D$5:$D$500=$B34))+SUMPRODUCT(--('2026'!$A$5:$A$500=$S$1),--('2026'!$G$5:$G$500=$B34))</f>
        <v>0</v>
      </c>
      <c r="T34" s="50">
        <f>SUMPRODUCT(--('2026'!$A$5:$A$500=$S$1),--('2026'!$I$5:$I$500=$B34))+SUMPRODUCT(--('2026'!$A$5:$A$500=$S$1),--('2026'!$J$5:$J$500=$B34))</f>
        <v>0</v>
      </c>
      <c r="U34" s="50">
        <f>SUMPRODUCT(--('2026'!$A$5:$A$500=$U$1),--('2026'!$C$5:$C$500=$B34))+SUMPRODUCT(--('2026'!$A$5:$A$500=$U$1),--('2026'!$F$5:$F$500=$B34))+SUMPRODUCT(--('2026'!$A$5:$A$500=$U$1),--('2026'!$D$5:$D$500=$B34))+SUMPRODUCT(--('2026'!$A$5:$A$500=$U$1),--('2026'!$G$5:$G$500=$B34))</f>
        <v>0</v>
      </c>
      <c r="V34" s="50">
        <f>SUMPRODUCT(--('2026'!$A$5:$A$500=$U$1),--('2026'!$I$5:$I$500=$B34))+SUMPRODUCT(--('2026'!$A$5:$A$500=$U$1),--('2026'!$J$5:$J$500=$B34))</f>
        <v>0</v>
      </c>
      <c r="W34" s="50">
        <f>SUMPRODUCT(--('2026'!$A$5:$A$500=$W$1),--('2026'!$C$5:$C$500=$B34))+SUMPRODUCT(--('2026'!$A$5:$A$500=$W$1),--('2026'!$F$5:$F$500=$B34))+SUMPRODUCT(--('2026'!$A$5:$A$500=$W$1),--('2026'!$D$5:$D$500=$B34))+SUMPRODUCT(--('2026'!$A$5:$A$500=$W$1),--('2026'!$G$5:$G$500=$B34))</f>
        <v>0</v>
      </c>
      <c r="X34" s="50">
        <f>SUMPRODUCT(--('2026'!$A$5:$A$500=$W$1),--('2026'!$I$5:$I$500=$B34))+SUMPRODUCT(--('2026'!$A$5:$A$500=$W$1),--('2026'!$J$5:$J$500=$B34))</f>
        <v>0</v>
      </c>
      <c r="Y34" s="50">
        <f>SUMPRODUCT(--('2026'!$A$5:$A$500=$Y$1),--('2026'!$C$5:$C$500=$B34))+SUMPRODUCT(--('2026'!$A$5:$A$500=$Y$1),--('2026'!$F$5:$F$500=$B34))+SUMPRODUCT(--('2026'!$A$5:$A$500=$Y$1),--('2026'!$D$5:$D$500=$B34))+SUMPRODUCT(--('2026'!$A$5:$A$500=$Y$1),--('2026'!$G$5:$G$500=$B34))</f>
        <v>0</v>
      </c>
      <c r="Z34" s="50">
        <f>SUMPRODUCT(--('2026'!$A$5:$A$500=$Y$1),--('2026'!$I$5:$I$500=$B34))+SUMPRODUCT(--('2026'!$A$5:$A$500=$Y$1),--('2026'!$J$5:$J$500=$B34))</f>
        <v>0</v>
      </c>
      <c r="AA34" s="50">
        <f>SUMPRODUCT(--('2026'!$A$5:$A$500=$AA$1),--('2026'!$C$5:$C$500=$B34))+SUMPRODUCT(--('2026'!$A$5:$A$500=$AA$1),--('2026'!$F$5:$F$500=$B34))+SUMPRODUCT(--('2026'!$A$5:$A$500=$AA$1),--('2026'!$D$5:$D$500=$B34))+SUMPRODUCT(--('2026'!$A$5:$A$500=$AA$1),--('2026'!$G$5:$G$500=$B34))</f>
        <v>0</v>
      </c>
      <c r="AB34" s="50">
        <f>SUMPRODUCT(--('2026'!$A$5:$A$500=$AA$1),--('2026'!$I$5:$I$500=$B34))+SUMPRODUCT(--('2026'!$A$5:$A$500=$AA$1),--('2026'!$J$5:$J$500=$B34))</f>
        <v>0</v>
      </c>
      <c r="AC34" s="50">
        <f>SUMPRODUCT(--('2026'!$A$5:$A$500=$AC$1),--('2026'!$C$5:$C$500=$B34))+SUMPRODUCT(--('2026'!$A$5:$A$500=$AC$1),--('2026'!$F$5:$F$500=$B34))+SUMPRODUCT(--('2026'!$A$5:$A$500=$AC$1),--('2026'!$D$5:$D$500=$B34))+SUMPRODUCT(--('2026'!$A$5:$A$500=$AC$1),--('2026'!$G$5:$G$500=$B34))</f>
        <v>0</v>
      </c>
      <c r="AD34" s="50">
        <f>SUMPRODUCT(--('2026'!$A$5:$A$500=$AC$1),--('2026'!$I$5:$I$500=$B34))+SUMPRODUCT(--('2026'!$A$5:$A$500=$AC$1),--('2026'!$J$5:$J$500=$B34))</f>
        <v>0</v>
      </c>
      <c r="AE34" s="50">
        <f>SUMPRODUCT(--('2026'!$A$5:$A$500=$AE$1),--('2026'!$C$5:$C$500=$B34))+SUMPRODUCT(--('2026'!$A$5:$A$500=$AE$1),--('2026'!$F$5:$F$500=$B34))+SUMPRODUCT(--('2026'!$A$5:$A$500=$AE$1),--('2026'!$D$5:$D$500=$B34))+SUMPRODUCT(--('2026'!$A$5:$A$500=$AE$1),--('2026'!$G$5:$G$500=$B34))</f>
        <v>0</v>
      </c>
      <c r="AF34" s="50">
        <f>SUMPRODUCT(--('2026'!$A$5:$A$500=$AE$1),--('2026'!$I$5:$I$500=$B34))+SUMPRODUCT(--('2026'!$A$5:$A$500=$AE$1),--('2026'!$J$5:$J$500=$B34))</f>
        <v>0</v>
      </c>
      <c r="AG34" s="50">
        <f>SUMPRODUCT(--('2026'!$A$5:$A$500=$AG$1),--('2026'!$C$5:$C$500=$B34))+SUMPRODUCT(--('2026'!$A$5:$A$500=$AG$1),--('2026'!$F$5:$F$500=$B34))+SUMPRODUCT(--('2026'!$A$5:$A$500=$AG$1),--('2026'!$D$5:$D$500=$B34))+SUMPRODUCT(--('2026'!$A$5:$A$500=$AG$1),--('2026'!$G$5:$G$500=$B34))</f>
        <v>0</v>
      </c>
      <c r="AH34" s="50">
        <f>SUMPRODUCT(--('2026'!$A$5:$A$500=$AG$1),--('2026'!$I$5:$I$500=$B34))+SUMPRODUCT(--('2026'!$A$5:$A$500=$AG$1),--('2026'!$J$5:$J$500=$B34))</f>
        <v>0</v>
      </c>
      <c r="AI34" s="50">
        <f>SUMPRODUCT(--('2026'!$A$5:$A$500=$AI$1),--('2026'!$C$5:$C$500=$B34))+SUMPRODUCT(--('2026'!$A$5:$A$500=$AI$1),--('2026'!$F$5:$F$500=$B34))+SUMPRODUCT(--('2026'!$A$5:$A$500=$AI$1),--('2026'!$D$5:$D$500=$B34))+SUMPRODUCT(--('2026'!$A$5:$A$500=$AI$1),--('2026'!$G$5:$G$500=$B34))</f>
        <v>0</v>
      </c>
      <c r="AJ34" s="50">
        <f>SUMPRODUCT(--('2026'!$A$5:$A$500=$AI$1),--('2026'!$I$5:$I$500=$B34))+SUMPRODUCT(--('2026'!$A$5:$A$500=$AI$1),--('2026'!$J$5:$J$500=$B34))</f>
        <v>0</v>
      </c>
      <c r="AK34" s="50">
        <f>SUMPRODUCT(--('2026'!$A$5:$A$500=$AK$1),--('2026'!$C$5:$C$500=$B34))+SUMPRODUCT(--('2026'!$A$5:$A$500=$AK$1),--('2026'!$F$5:$F$500=$B34))+SUMPRODUCT(--('2026'!$A$5:$A$500=$AK$1),--('2026'!$D$5:$D$500=$B34))+SUMPRODUCT(--('2026'!$A$5:$A$500=$AK$1),--('2026'!$G$5:$G$500=$B34))</f>
        <v>0</v>
      </c>
      <c r="AL34" s="50">
        <f>SUMPRODUCT(--('2026'!$A$5:$A$500=$AK$1),--('2026'!$I$5:$I$500=$B34))+SUMPRODUCT(--('2026'!$A$5:$A$500=$AK$1),--('2026'!$J$5:$J$500=$B34))</f>
        <v>0</v>
      </c>
      <c r="AM34" s="50">
        <f>SUMPRODUCT(--('2026'!$A$5:$A$500=$AM$1),--('2026'!$C$5:$C$500=$B34))+SUMPRODUCT(--('2026'!$A$5:$A$500=$AM$1),--('2026'!$F$5:$F$500=$B34))+SUMPRODUCT(--('2026'!$A$5:$A$500=$AM$1),--('2026'!$D$5:$D$500=$B34))+SUMPRODUCT(--('2026'!$A$5:$A$500=$AM$1),--('2026'!$G$5:$G$500=$B34))</f>
        <v>0</v>
      </c>
      <c r="AN34" s="50">
        <f>SUMPRODUCT(--('2026'!$A$5:$A$500=$AM$1),--('2026'!$I$5:$I$500=$B34))+SUMPRODUCT(--('2026'!$A$5:$A$500=$AM$1),--('2026'!$J$5:$J$500=$B34))</f>
        <v>0</v>
      </c>
      <c r="AO34" s="50">
        <f>SUMPRODUCT(--('2026'!$A$5:$A$500=$AO$1),--('2026'!$C$5:$C$500=$B34))+SUMPRODUCT(--('2026'!$A$5:$A$500=$AO$1),--('2026'!$F$5:$F$500=$B34))+SUMPRODUCT(--('2026'!$A$5:$A$500=$AO$1),--('2026'!$D$5:$D$500=$B34))+SUMPRODUCT(--('2026'!$A$5:$A$500=$AO$1),--('2026'!$G$5:$G$500=$B34))</f>
        <v>0</v>
      </c>
      <c r="AP34" s="50">
        <f>SUMPRODUCT(--('2026'!$A$5:$A$500=$AO$1),--('2026'!$I$5:$I$500=$B34))+SUMPRODUCT(--('2026'!$A$5:$A$500=$AO$1),--('2026'!$J$5:$J$500=$B34))</f>
        <v>0</v>
      </c>
      <c r="AQ34" s="50">
        <f>SUMPRODUCT(--('2026'!$A$5:$A$500=$AQ$1),--('2026'!$C$5:$C$500=$B34))+SUMPRODUCT(--('2026'!$A$5:$A$500=$AQ$1),--('2026'!$F$5:$F$500=$B34))+SUMPRODUCT(--('2026'!$A$5:$A$500=$AQ$1),--('2026'!$D$5:$D$500=$B34))+SUMPRODUCT(--('2026'!$A$5:$A$500=$AQ$1),--('2026'!$G$5:$G$500=$B34))</f>
        <v>0</v>
      </c>
      <c r="AR34" s="50">
        <f>SUMPRODUCT(--('2026'!$A$5:$A$500=$AQ$1),--('2026'!$I$5:$I$500=$B34))+SUMPRODUCT(--('2026'!$A$5:$A$500=$AQ$1),--('2026'!$J$5:$J$500=$B34))</f>
        <v>0</v>
      </c>
      <c r="AS34" s="50">
        <f>SUMPRODUCT(--('2026'!$A$5:$A$500=$AS$1),--('2026'!$C$5:$C$500=$B34))+SUMPRODUCT(--('2026'!$A$5:$A$500=$AS$1),--('2026'!$F$5:$F$500=$B34))+SUMPRODUCT(--('2026'!$A$5:$A$500=$AS$1),--('2026'!$D$5:$D$500=$B34))+SUMPRODUCT(--('2026'!$A$5:$A$500=$AS$1),--('2026'!$G$5:$G$500=$B34))</f>
        <v>0</v>
      </c>
      <c r="AT34" s="50">
        <f>SUMPRODUCT(--('2026'!$A$5:$A$500=$AS$1),--('2026'!$I$5:$I$500=$B34))+SUMPRODUCT(--('2026'!$A$5:$A$500=$AS$1),--('2026'!$J$5:$J$500=$B34))</f>
        <v>0</v>
      </c>
      <c r="AU34" s="50">
        <f>SUMPRODUCT(--('2026'!$A$5:$A$500=$AU$1),--('2026'!$C$5:$C$500=$B34))+SUMPRODUCT(--('2026'!$A$5:$A$500=$AU$1),--('2026'!$F$5:$F$500=$B34))+SUMPRODUCT(--('2026'!$A$5:$A$500=$AU$1),--('2026'!$D$5:$D$500=$B34))+SUMPRODUCT(--('2026'!$A$5:$A$500=$AU$1),--('2026'!$G$5:$G$500=$B34))</f>
        <v>0</v>
      </c>
      <c r="AV34" s="50">
        <f>SUMPRODUCT(--('2026'!$A$5:$A$500=$AU$1),--('2026'!$I$5:$I$500=$B34))+SUMPRODUCT(--('2026'!$A$5:$A$500=$AU$1),--('2026'!$J$5:$J$500=$B34))</f>
        <v>0</v>
      </c>
      <c r="AW34" s="50">
        <f>SUMPRODUCT(--('2026'!$A$5:$A$500=$AW$1),--('2026'!$C$5:$C$500=$B34))+SUMPRODUCT(--('2026'!$A$5:$A$500=$AW$1),--('2026'!$F$5:$F$500=$B34))+SUMPRODUCT(--('2026'!$A$5:$A$500=$AW$1),--('2026'!$D$5:$D$500=$B34))+SUMPRODUCT(--('2026'!$A$5:$A$500=$AW$1),--('2026'!$G$5:$G$500=$B34))</f>
        <v>0</v>
      </c>
      <c r="AX34" s="50">
        <f>SUMPRODUCT(--('2026'!$A$5:$A$500=$AW$1),--('2026'!$I$5:$I$500=$B34))+SUMPRODUCT(--('2026'!$A$5:$A$500=$AW$1),--('2026'!$J$5:$J$500=$B34))</f>
        <v>0</v>
      </c>
      <c r="BA34" s="54" t="s">
        <v>70</v>
      </c>
      <c r="BB34" s="47">
        <f t="shared" si="0"/>
        <v>0</v>
      </c>
      <c r="BC34" s="52">
        <f t="shared" si="1"/>
        <v>0</v>
      </c>
    </row>
    <row r="35" spans="1:55" ht="15" x14ac:dyDescent="0.25">
      <c r="A35">
        <v>33</v>
      </c>
      <c r="B35" s="54" t="s">
        <v>109</v>
      </c>
      <c r="C35" s="50">
        <f>SUMPRODUCT(--('2026'!$A$5:$A$500=$C$1),--('2026'!$C$5:$C$500=$B35))+SUMPRODUCT(--('2026'!$A$5:$A$500=$C$1),--('2026'!$F$5:$F$500=$B35))+SUMPRODUCT(--('2026'!$A$5:$A$500=$C$1),--('2026'!$D$5:$D$500=$B35))+SUMPRODUCT(--('2026'!$A$5:$A$500=$C$1),--('2026'!$G$5:$G$500=$B35))</f>
        <v>0</v>
      </c>
      <c r="D35" s="50">
        <f>SUMPRODUCT(--('2026'!$A$5:$A$500=$C$1),--('2026'!$I$5:$I$500=$B35))+SUMPRODUCT(--('2026'!$A$5:$A$500=$C$1),--('2026'!$J$5:$J$500=$B35))</f>
        <v>0</v>
      </c>
      <c r="E35" s="50">
        <f>SUMPRODUCT(--('2026'!$A$5:$A$500=$E$1),--('2026'!$C$5:$C$500=$B35))+SUMPRODUCT(--('2026'!$A$5:$A$500=$E$1),--('2026'!$F$5:$F$500=$B35))+SUMPRODUCT(--('2026'!$A$5:$A$500=$E$1),--('2026'!$D$5:$D$500=$B35))+SUMPRODUCT(--('2026'!$A$5:$A$500=$E$1),--('2026'!$G$5:$G$500=$B35))</f>
        <v>0</v>
      </c>
      <c r="F35" s="50">
        <f>SUMPRODUCT(--('2026'!$A$5:$A$500=$E$1),--('2026'!$I$5:$I$500=$B35))+SUMPRODUCT(--('2026'!$A$5:$A$500=$E$1),--('2026'!$J$5:$J$500=$B35))</f>
        <v>0</v>
      </c>
      <c r="G35" s="50">
        <f>SUMPRODUCT(--('2026'!$A$5:$A$500=$G$1),--('2026'!$C$5:$C$500=$B35))+SUMPRODUCT(--('2026'!$A$5:$A$500=$G$1),--('2026'!$F$5:$F$500=$B35))+SUMPRODUCT(--('2026'!$A$5:$A$500=$G$1),--('2026'!$D$5:$D$500=$B35))+SUMPRODUCT(--('2026'!$A$5:$A$500=$G$1),--('2026'!$G$5:$G$500=$B35))</f>
        <v>0</v>
      </c>
      <c r="H35" s="50">
        <f>SUMPRODUCT(--('2026'!$A$5:$A$500=$G$1),--('2026'!$I$5:$I$500=$B35))+SUMPRODUCT(--('2026'!$A$5:$A$500=$G$1),--('2026'!$J$5:$J$500=$B35))</f>
        <v>0</v>
      </c>
      <c r="I35" s="50">
        <f>SUMPRODUCT(--('2026'!$A$5:$A$500=$I$1),--('2026'!$C$5:$C$500=$B35))+SUMPRODUCT(--('2026'!$A$5:$A$500=$I$1),--('2026'!$F$5:$F$500=$B35))+SUMPRODUCT(--('2026'!$A$5:$A$500=$I$1),--('2026'!$D$5:$D$500=$B35))+SUMPRODUCT(--('2026'!$A$5:$A$500=$I$1),--('2026'!$G$5:$G$500=$B35))</f>
        <v>0</v>
      </c>
      <c r="J35" s="50">
        <f>SUMPRODUCT(--('2026'!$A$5:$A$500=$I$1),--('2026'!$I$5:$I$500=$B35))+SUMPRODUCT(--('2026'!$A$5:$A$500=$I$1),--('2026'!$J$5:$J$500=$B35))</f>
        <v>0</v>
      </c>
      <c r="K35" s="50">
        <f>SUMPRODUCT(--('2026'!$A$5:$A$500=$K$1),--('2026'!$C$5:$C$500=$B35))+SUMPRODUCT(--('2026'!$A$5:$A$500=$K$1),--('2026'!$F$5:$F$500=$B35))+SUMPRODUCT(--('2026'!$A$5:$A$500=$K$1),--('2026'!$D$5:$D$500=$B35))+SUMPRODUCT(--('2026'!$A$5:$A$500=$K$1),--('2026'!$G$5:$G$500=$B35))</f>
        <v>0</v>
      </c>
      <c r="L35" s="50">
        <f>SUMPRODUCT(--('2026'!$A$5:$A$500=$K$1),--('2026'!$I$5:$I$500=$B35))+SUMPRODUCT(--('2026'!$A$5:$A$500=$K$1),--('2026'!$J$5:$J$500=$B35))</f>
        <v>0</v>
      </c>
      <c r="M35" s="50">
        <f>SUMPRODUCT(--('2026'!$A$5:$A$500=$M$1),--('2026'!$C$5:$C$500=$B35))+SUMPRODUCT(--('2026'!$A$5:$A$500=$M$1),--('2026'!$F$5:$F$500=$B35))+SUMPRODUCT(--('2026'!$A$5:$A$500=$M$1),--('2026'!$D$5:$D$500=$B35))+SUMPRODUCT(--('2026'!$A$5:$A$500=$M$1),--('2026'!$G$5:$G$500=$B35))</f>
        <v>0</v>
      </c>
      <c r="N35" s="50">
        <f>SUMPRODUCT(--('2026'!$A$5:$A$500=$M$1),--('2026'!$I$5:$I$500=$B35))+SUMPRODUCT(--('2026'!$A$5:$A$500=$M$1),--('2026'!$J$5:$J$500=$B35))</f>
        <v>0</v>
      </c>
      <c r="O35" s="50">
        <f>SUMPRODUCT(--('2026'!$A$5:$A$500=$O$1),--('2026'!$C$5:$C$500=$B35))+SUMPRODUCT(--('2026'!$A$5:$A$500=$O$1),--('2026'!$F$5:$F$500=$B35))+SUMPRODUCT(--('2026'!$A$5:$A$500=$O$1),--('2026'!$D$5:$D$500=$B35))+SUMPRODUCT(--('2026'!$A$5:$A$500=$O$1),--('2026'!$G$5:$G$500=$B35))</f>
        <v>0</v>
      </c>
      <c r="P35" s="50">
        <f>SUMPRODUCT(--('2026'!$A$5:$A$500=$O$1),--('2026'!$I$5:$I$500=$B35))+SUMPRODUCT(--('2026'!$A$5:$A$500=$O$1),--('2026'!$J$5:$J$500=$B35))</f>
        <v>0</v>
      </c>
      <c r="Q35" s="50">
        <f>SUMPRODUCT(--('2026'!$A$5:$A$500=$Q$1),--('2026'!$C$5:$C$500=$B35))+SUMPRODUCT(--('2026'!$A$5:$A$500=$Q$1),--('2026'!$F$5:$F$500=$B35))+SUMPRODUCT(--('2026'!$A$5:$A$500=$Q$1),--('2026'!$D$5:$D$500=$B35))+SUMPRODUCT(--('2026'!$A$5:$A$500=$Q$1),--('2026'!$G$5:$G$500=$B35))</f>
        <v>0</v>
      </c>
      <c r="R35" s="50">
        <f>SUMPRODUCT(--('2026'!$A$5:$A$500=$Q$1),--('2026'!$I$5:$I$500=$B35))+SUMPRODUCT(--('2026'!$A$5:$A$500=$Q$1),--('2026'!$J$5:$J$500=$B35))</f>
        <v>0</v>
      </c>
      <c r="S35" s="50">
        <f>SUMPRODUCT(--('2026'!$A$5:$A$500=$S$1),--('2026'!$C$5:$C$500=$B35))+SUMPRODUCT(--('2026'!$A$5:$A$500=$S$1),--('2026'!$F$5:$F$500=$B35))+SUMPRODUCT(--('2026'!$A$5:$A$500=$S$1),--('2026'!$D$5:$D$500=$B35))+SUMPRODUCT(--('2026'!$A$5:$A$500=$S$1),--('2026'!$G$5:$G$500=$B35))</f>
        <v>0</v>
      </c>
      <c r="T35" s="50">
        <f>SUMPRODUCT(--('2026'!$A$5:$A$500=$S$1),--('2026'!$I$5:$I$500=$B35))+SUMPRODUCT(--('2026'!$A$5:$A$500=$S$1),--('2026'!$J$5:$J$500=$B35))</f>
        <v>0</v>
      </c>
      <c r="U35" s="50">
        <f>SUMPRODUCT(--('2026'!$A$5:$A$500=$U$1),--('2026'!$C$5:$C$500=$B35))+SUMPRODUCT(--('2026'!$A$5:$A$500=$U$1),--('2026'!$F$5:$F$500=$B35))+SUMPRODUCT(--('2026'!$A$5:$A$500=$U$1),--('2026'!$D$5:$D$500=$B35))+SUMPRODUCT(--('2026'!$A$5:$A$500=$U$1),--('2026'!$G$5:$G$500=$B35))</f>
        <v>0</v>
      </c>
      <c r="V35" s="50">
        <f>SUMPRODUCT(--('2026'!$A$5:$A$500=$U$1),--('2026'!$I$5:$I$500=$B35))+SUMPRODUCT(--('2026'!$A$5:$A$500=$U$1),--('2026'!$J$5:$J$500=$B35))</f>
        <v>0</v>
      </c>
      <c r="W35" s="50">
        <f>SUMPRODUCT(--('2026'!$A$5:$A$500=$W$1),--('2026'!$C$5:$C$500=$B35))+SUMPRODUCT(--('2026'!$A$5:$A$500=$W$1),--('2026'!$F$5:$F$500=$B35))+SUMPRODUCT(--('2026'!$A$5:$A$500=$W$1),--('2026'!$D$5:$D$500=$B35))+SUMPRODUCT(--('2026'!$A$5:$A$500=$W$1),--('2026'!$G$5:$G$500=$B35))</f>
        <v>0</v>
      </c>
      <c r="X35" s="50">
        <f>SUMPRODUCT(--('2026'!$A$5:$A$500=$W$1),--('2026'!$I$5:$I$500=$B35))+SUMPRODUCT(--('2026'!$A$5:$A$500=$W$1),--('2026'!$J$5:$J$500=$B35))</f>
        <v>0</v>
      </c>
      <c r="Y35" s="50">
        <f>SUMPRODUCT(--('2026'!$A$5:$A$500=$Y$1),--('2026'!$C$5:$C$500=$B35))+SUMPRODUCT(--('2026'!$A$5:$A$500=$Y$1),--('2026'!$F$5:$F$500=$B35))+SUMPRODUCT(--('2026'!$A$5:$A$500=$Y$1),--('2026'!$D$5:$D$500=$B35))+SUMPRODUCT(--('2026'!$A$5:$A$500=$Y$1),--('2026'!$G$5:$G$500=$B35))</f>
        <v>0</v>
      </c>
      <c r="Z35" s="50">
        <f>SUMPRODUCT(--('2026'!$A$5:$A$500=$Y$1),--('2026'!$I$5:$I$500=$B35))+SUMPRODUCT(--('2026'!$A$5:$A$500=$Y$1),--('2026'!$J$5:$J$500=$B35))</f>
        <v>0</v>
      </c>
      <c r="AA35" s="50">
        <f>SUMPRODUCT(--('2026'!$A$5:$A$500=$AA$1),--('2026'!$C$5:$C$500=$B35))+SUMPRODUCT(--('2026'!$A$5:$A$500=$AA$1),--('2026'!$F$5:$F$500=$B35))+SUMPRODUCT(--('2026'!$A$5:$A$500=$AA$1),--('2026'!$D$5:$D$500=$B35))+SUMPRODUCT(--('2026'!$A$5:$A$500=$AA$1),--('2026'!$G$5:$G$500=$B35))</f>
        <v>0</v>
      </c>
      <c r="AB35" s="50">
        <f>SUMPRODUCT(--('2026'!$A$5:$A$500=$AA$1),--('2026'!$I$5:$I$500=$B35))+SUMPRODUCT(--('2026'!$A$5:$A$500=$AA$1),--('2026'!$J$5:$J$500=$B35))</f>
        <v>0</v>
      </c>
      <c r="AC35" s="50">
        <f>SUMPRODUCT(--('2026'!$A$5:$A$500=$AC$1),--('2026'!$C$5:$C$500=$B35))+SUMPRODUCT(--('2026'!$A$5:$A$500=$AC$1),--('2026'!$F$5:$F$500=$B35))+SUMPRODUCT(--('2026'!$A$5:$A$500=$AC$1),--('2026'!$D$5:$D$500=$B35))+SUMPRODUCT(--('2026'!$A$5:$A$500=$AC$1),--('2026'!$G$5:$G$500=$B35))</f>
        <v>0</v>
      </c>
      <c r="AD35" s="50">
        <f>SUMPRODUCT(--('2026'!$A$5:$A$500=$AC$1),--('2026'!$I$5:$I$500=$B35))+SUMPRODUCT(--('2026'!$A$5:$A$500=$AC$1),--('2026'!$J$5:$J$500=$B35))</f>
        <v>0</v>
      </c>
      <c r="AE35" s="50">
        <f>SUMPRODUCT(--('2026'!$A$5:$A$500=$AE$1),--('2026'!$C$5:$C$500=$B35))+SUMPRODUCT(--('2026'!$A$5:$A$500=$AE$1),--('2026'!$F$5:$F$500=$B35))+SUMPRODUCT(--('2026'!$A$5:$A$500=$AE$1),--('2026'!$D$5:$D$500=$B35))+SUMPRODUCT(--('2026'!$A$5:$A$500=$AE$1),--('2026'!$G$5:$G$500=$B35))</f>
        <v>0</v>
      </c>
      <c r="AF35" s="50">
        <f>SUMPRODUCT(--('2026'!$A$5:$A$500=$AE$1),--('2026'!$I$5:$I$500=$B35))+SUMPRODUCT(--('2026'!$A$5:$A$500=$AE$1),--('2026'!$J$5:$J$500=$B35))</f>
        <v>0</v>
      </c>
      <c r="AG35" s="50">
        <f>SUMPRODUCT(--('2026'!$A$5:$A$500=$AG$1),--('2026'!$C$5:$C$500=$B35))+SUMPRODUCT(--('2026'!$A$5:$A$500=$AG$1),--('2026'!$F$5:$F$500=$B35))+SUMPRODUCT(--('2026'!$A$5:$A$500=$AG$1),--('2026'!$D$5:$D$500=$B35))+SUMPRODUCT(--('2026'!$A$5:$A$500=$AG$1),--('2026'!$G$5:$G$500=$B35))</f>
        <v>0</v>
      </c>
      <c r="AH35" s="50">
        <f>SUMPRODUCT(--('2026'!$A$5:$A$500=$AG$1),--('2026'!$I$5:$I$500=$B35))+SUMPRODUCT(--('2026'!$A$5:$A$500=$AG$1),--('2026'!$J$5:$J$500=$B35))</f>
        <v>0</v>
      </c>
      <c r="AI35" s="50">
        <f>SUMPRODUCT(--('2026'!$A$5:$A$500=$AI$1),--('2026'!$C$5:$C$500=$B35))+SUMPRODUCT(--('2026'!$A$5:$A$500=$AI$1),--('2026'!$F$5:$F$500=$B35))+SUMPRODUCT(--('2026'!$A$5:$A$500=$AI$1),--('2026'!$D$5:$D$500=$B35))+SUMPRODUCT(--('2026'!$A$5:$A$500=$AI$1),--('2026'!$G$5:$G$500=$B35))</f>
        <v>0</v>
      </c>
      <c r="AJ35" s="50">
        <f>SUMPRODUCT(--('2026'!$A$5:$A$500=$AI$1),--('2026'!$I$5:$I$500=$B35))+SUMPRODUCT(--('2026'!$A$5:$A$500=$AI$1),--('2026'!$J$5:$J$500=$B35))</f>
        <v>0</v>
      </c>
      <c r="AK35" s="50">
        <f>SUMPRODUCT(--('2026'!$A$5:$A$500=$AK$1),--('2026'!$C$5:$C$500=$B35))+SUMPRODUCT(--('2026'!$A$5:$A$500=$AK$1),--('2026'!$F$5:$F$500=$B35))+SUMPRODUCT(--('2026'!$A$5:$A$500=$AK$1),--('2026'!$D$5:$D$500=$B35))+SUMPRODUCT(--('2026'!$A$5:$A$500=$AK$1),--('2026'!$G$5:$G$500=$B35))</f>
        <v>0</v>
      </c>
      <c r="AL35" s="50">
        <f>SUMPRODUCT(--('2026'!$A$5:$A$500=$AK$1),--('2026'!$I$5:$I$500=$B35))+SUMPRODUCT(--('2026'!$A$5:$A$500=$AK$1),--('2026'!$J$5:$J$500=$B35))</f>
        <v>0</v>
      </c>
      <c r="AM35" s="50">
        <f>SUMPRODUCT(--('2026'!$A$5:$A$500=$AM$1),--('2026'!$C$5:$C$500=$B35))+SUMPRODUCT(--('2026'!$A$5:$A$500=$AM$1),--('2026'!$F$5:$F$500=$B35))+SUMPRODUCT(--('2026'!$A$5:$A$500=$AM$1),--('2026'!$D$5:$D$500=$B35))+SUMPRODUCT(--('2026'!$A$5:$A$500=$AM$1),--('2026'!$G$5:$G$500=$B35))</f>
        <v>0</v>
      </c>
      <c r="AN35" s="50">
        <f>SUMPRODUCT(--('2026'!$A$5:$A$500=$AM$1),--('2026'!$I$5:$I$500=$B35))+SUMPRODUCT(--('2026'!$A$5:$A$500=$AM$1),--('2026'!$J$5:$J$500=$B35))</f>
        <v>0</v>
      </c>
      <c r="AO35" s="50">
        <f>SUMPRODUCT(--('2026'!$A$5:$A$500=$AO$1),--('2026'!$C$5:$C$500=$B35))+SUMPRODUCT(--('2026'!$A$5:$A$500=$AO$1),--('2026'!$F$5:$F$500=$B35))+SUMPRODUCT(--('2026'!$A$5:$A$500=$AO$1),--('2026'!$D$5:$D$500=$B35))+SUMPRODUCT(--('2026'!$A$5:$A$500=$AO$1),--('2026'!$G$5:$G$500=$B35))</f>
        <v>0</v>
      </c>
      <c r="AP35" s="50">
        <f>SUMPRODUCT(--('2026'!$A$5:$A$500=$AO$1),--('2026'!$I$5:$I$500=$B35))+SUMPRODUCT(--('2026'!$A$5:$A$500=$AO$1),--('2026'!$J$5:$J$500=$B35))</f>
        <v>0</v>
      </c>
      <c r="AQ35" s="50">
        <f>SUMPRODUCT(--('2026'!$A$5:$A$500=$AQ$1),--('2026'!$C$5:$C$500=$B35))+SUMPRODUCT(--('2026'!$A$5:$A$500=$AQ$1),--('2026'!$F$5:$F$500=$B35))+SUMPRODUCT(--('2026'!$A$5:$A$500=$AQ$1),--('2026'!$D$5:$D$500=$B35))+SUMPRODUCT(--('2026'!$A$5:$A$500=$AQ$1),--('2026'!$G$5:$G$500=$B35))</f>
        <v>0</v>
      </c>
      <c r="AR35" s="50">
        <f>SUMPRODUCT(--('2026'!$A$5:$A$500=$AQ$1),--('2026'!$I$5:$I$500=$B35))+SUMPRODUCT(--('2026'!$A$5:$A$500=$AQ$1),--('2026'!$J$5:$J$500=$B35))</f>
        <v>0</v>
      </c>
      <c r="AS35" s="50">
        <f>SUMPRODUCT(--('2026'!$A$5:$A$500=$AS$1),--('2026'!$C$5:$C$500=$B35))+SUMPRODUCT(--('2026'!$A$5:$A$500=$AS$1),--('2026'!$F$5:$F$500=$B35))+SUMPRODUCT(--('2026'!$A$5:$A$500=$AS$1),--('2026'!$D$5:$D$500=$B35))+SUMPRODUCT(--('2026'!$A$5:$A$500=$AS$1),--('2026'!$G$5:$G$500=$B35))</f>
        <v>0</v>
      </c>
      <c r="AT35" s="50">
        <f>SUMPRODUCT(--('2026'!$A$5:$A$500=$AS$1),--('2026'!$I$5:$I$500=$B35))+SUMPRODUCT(--('2026'!$A$5:$A$500=$AS$1),--('2026'!$J$5:$J$500=$B35))</f>
        <v>0</v>
      </c>
      <c r="AU35" s="50">
        <f>SUMPRODUCT(--('2026'!$A$5:$A$500=$AU$1),--('2026'!$C$5:$C$500=$B35))+SUMPRODUCT(--('2026'!$A$5:$A$500=$AU$1),--('2026'!$F$5:$F$500=$B35))+SUMPRODUCT(--('2026'!$A$5:$A$500=$AU$1),--('2026'!$D$5:$D$500=$B35))+SUMPRODUCT(--('2026'!$A$5:$A$500=$AU$1),--('2026'!$G$5:$G$500=$B35))</f>
        <v>0</v>
      </c>
      <c r="AV35" s="50">
        <f>SUMPRODUCT(--('2026'!$A$5:$A$500=$AU$1),--('2026'!$I$5:$I$500=$B35))+SUMPRODUCT(--('2026'!$A$5:$A$500=$AU$1),--('2026'!$J$5:$J$500=$B35))</f>
        <v>0</v>
      </c>
      <c r="AW35" s="50">
        <f>SUMPRODUCT(--('2026'!$A$5:$A$500=$AW$1),--('2026'!$C$5:$C$500=$B35))+SUMPRODUCT(--('2026'!$A$5:$A$500=$AW$1),--('2026'!$F$5:$F$500=$B35))+SUMPRODUCT(--('2026'!$A$5:$A$500=$AW$1),--('2026'!$D$5:$D$500=$B35))+SUMPRODUCT(--('2026'!$A$5:$A$500=$AW$1),--('2026'!$G$5:$G$500=$B35))</f>
        <v>0</v>
      </c>
      <c r="AX35" s="50">
        <f>SUMPRODUCT(--('2026'!$A$5:$A$500=$AW$1),--('2026'!$I$5:$I$500=$B35))+SUMPRODUCT(--('2026'!$A$5:$A$500=$AW$1),--('2026'!$J$5:$J$500=$B35))</f>
        <v>0</v>
      </c>
      <c r="BA35" s="54" t="s">
        <v>109</v>
      </c>
      <c r="BB35" s="47">
        <f t="shared" si="0"/>
        <v>0</v>
      </c>
      <c r="BC35" s="52">
        <f t="shared" si="1"/>
        <v>0</v>
      </c>
    </row>
    <row r="36" spans="1:55" ht="15" x14ac:dyDescent="0.25">
      <c r="A36">
        <v>34</v>
      </c>
      <c r="B36" s="54" t="s">
        <v>111</v>
      </c>
      <c r="C36" s="50">
        <f>SUMPRODUCT(--('2026'!$A$5:$A$500=$C$1),--('2026'!$C$5:$C$500=$B36))+SUMPRODUCT(--('2026'!$A$5:$A$500=$C$1),--('2026'!$F$5:$F$500=$B36))+SUMPRODUCT(--('2026'!$A$5:$A$500=$C$1),--('2026'!$D$5:$D$500=$B36))+SUMPRODUCT(--('2026'!$A$5:$A$500=$C$1),--('2026'!$G$5:$G$500=$B36))</f>
        <v>0</v>
      </c>
      <c r="D36" s="50">
        <f>SUMPRODUCT(--('2026'!$A$5:$A$500=$C$1),--('2026'!$I$5:$I$500=$B36))+SUMPRODUCT(--('2026'!$A$5:$A$500=$C$1),--('2026'!$J$5:$J$500=$B36))</f>
        <v>0</v>
      </c>
      <c r="E36" s="50">
        <f>SUMPRODUCT(--('2026'!$A$5:$A$500=$E$1),--('2026'!$C$5:$C$500=$B36))+SUMPRODUCT(--('2026'!$A$5:$A$500=$E$1),--('2026'!$F$5:$F$500=$B36))+SUMPRODUCT(--('2026'!$A$5:$A$500=$E$1),--('2026'!$D$5:$D$500=$B36))+SUMPRODUCT(--('2026'!$A$5:$A$500=$E$1),--('2026'!$G$5:$G$500=$B36))</f>
        <v>0</v>
      </c>
      <c r="F36" s="50">
        <f>SUMPRODUCT(--('2026'!$A$5:$A$500=$E$1),--('2026'!$I$5:$I$500=$B36))+SUMPRODUCT(--('2026'!$A$5:$A$500=$E$1),--('2026'!$J$5:$J$500=$B36))</f>
        <v>0</v>
      </c>
      <c r="G36" s="50">
        <f>SUMPRODUCT(--('2026'!$A$5:$A$500=$G$1),--('2026'!$C$5:$C$500=$B36))+SUMPRODUCT(--('2026'!$A$5:$A$500=$G$1),--('2026'!$F$5:$F$500=$B36))+SUMPRODUCT(--('2026'!$A$5:$A$500=$G$1),--('2026'!$D$5:$D$500=$B36))+SUMPRODUCT(--('2026'!$A$5:$A$500=$G$1),--('2026'!$G$5:$G$500=$B36))</f>
        <v>0</v>
      </c>
      <c r="H36" s="50">
        <f>SUMPRODUCT(--('2026'!$A$5:$A$500=$G$1),--('2026'!$I$5:$I$500=$B36))+SUMPRODUCT(--('2026'!$A$5:$A$500=$G$1),--('2026'!$J$5:$J$500=$B36))</f>
        <v>0</v>
      </c>
      <c r="I36" s="50">
        <f>SUMPRODUCT(--('2026'!$A$5:$A$500=$I$1),--('2026'!$C$5:$C$500=$B36))+SUMPRODUCT(--('2026'!$A$5:$A$500=$I$1),--('2026'!$F$5:$F$500=$B36))+SUMPRODUCT(--('2026'!$A$5:$A$500=$I$1),--('2026'!$D$5:$D$500=$B36))+SUMPRODUCT(--('2026'!$A$5:$A$500=$I$1),--('2026'!$G$5:$G$500=$B36))</f>
        <v>0</v>
      </c>
      <c r="J36" s="50">
        <f>SUMPRODUCT(--('2026'!$A$5:$A$500=$I$1),--('2026'!$I$5:$I$500=$B36))+SUMPRODUCT(--('2026'!$A$5:$A$500=$I$1),--('2026'!$J$5:$J$500=$B36))</f>
        <v>0</v>
      </c>
      <c r="K36" s="50">
        <f>SUMPRODUCT(--('2026'!$A$5:$A$500=$K$1),--('2026'!$C$5:$C$500=$B36))+SUMPRODUCT(--('2026'!$A$5:$A$500=$K$1),--('2026'!$F$5:$F$500=$B36))+SUMPRODUCT(--('2026'!$A$5:$A$500=$K$1),--('2026'!$D$5:$D$500=$B36))+SUMPRODUCT(--('2026'!$A$5:$A$500=$K$1),--('2026'!$G$5:$G$500=$B36))</f>
        <v>0</v>
      </c>
      <c r="L36" s="50">
        <f>SUMPRODUCT(--('2026'!$A$5:$A$500=$K$1),--('2026'!$I$5:$I$500=$B36))+SUMPRODUCT(--('2026'!$A$5:$A$500=$K$1),--('2026'!$J$5:$J$500=$B36))</f>
        <v>0</v>
      </c>
      <c r="M36" s="50">
        <f>SUMPRODUCT(--('2026'!$A$5:$A$500=$M$1),--('2026'!$C$5:$C$500=$B36))+SUMPRODUCT(--('2026'!$A$5:$A$500=$M$1),--('2026'!$F$5:$F$500=$B36))+SUMPRODUCT(--('2026'!$A$5:$A$500=$M$1),--('2026'!$D$5:$D$500=$B36))+SUMPRODUCT(--('2026'!$A$5:$A$500=$M$1),--('2026'!$G$5:$G$500=$B36))</f>
        <v>0</v>
      </c>
      <c r="N36" s="50">
        <f>SUMPRODUCT(--('2026'!$A$5:$A$500=$M$1),--('2026'!$I$5:$I$500=$B36))+SUMPRODUCT(--('2026'!$A$5:$A$500=$M$1),--('2026'!$J$5:$J$500=$B36))</f>
        <v>0</v>
      </c>
      <c r="O36" s="50">
        <f>SUMPRODUCT(--('2026'!$A$5:$A$500=$O$1),--('2026'!$C$5:$C$500=$B36))+SUMPRODUCT(--('2026'!$A$5:$A$500=$O$1),--('2026'!$F$5:$F$500=$B36))+SUMPRODUCT(--('2026'!$A$5:$A$500=$O$1),--('2026'!$D$5:$D$500=$B36))+SUMPRODUCT(--('2026'!$A$5:$A$500=$O$1),--('2026'!$G$5:$G$500=$B36))</f>
        <v>0</v>
      </c>
      <c r="P36" s="50">
        <f>SUMPRODUCT(--('2026'!$A$5:$A$500=$O$1),--('2026'!$I$5:$I$500=$B36))+SUMPRODUCT(--('2026'!$A$5:$A$500=$O$1),--('2026'!$J$5:$J$500=$B36))</f>
        <v>0</v>
      </c>
      <c r="Q36" s="50">
        <f>SUMPRODUCT(--('2026'!$A$5:$A$500=$Q$1),--('2026'!$C$5:$C$500=$B36))+SUMPRODUCT(--('2026'!$A$5:$A$500=$Q$1),--('2026'!$F$5:$F$500=$B36))+SUMPRODUCT(--('2026'!$A$5:$A$500=$Q$1),--('2026'!$D$5:$D$500=$B36))+SUMPRODUCT(--('2026'!$A$5:$A$500=$Q$1),--('2026'!$G$5:$G$500=$B36))</f>
        <v>0</v>
      </c>
      <c r="R36" s="50">
        <f>SUMPRODUCT(--('2026'!$A$5:$A$500=$Q$1),--('2026'!$I$5:$I$500=$B36))+SUMPRODUCT(--('2026'!$A$5:$A$500=$Q$1),--('2026'!$J$5:$J$500=$B36))</f>
        <v>0</v>
      </c>
      <c r="S36" s="50">
        <f>SUMPRODUCT(--('2026'!$A$5:$A$500=$S$1),--('2026'!$C$5:$C$500=$B36))+SUMPRODUCT(--('2026'!$A$5:$A$500=$S$1),--('2026'!$F$5:$F$500=$B36))+SUMPRODUCT(--('2026'!$A$5:$A$500=$S$1),--('2026'!$D$5:$D$500=$B36))+SUMPRODUCT(--('2026'!$A$5:$A$500=$S$1),--('2026'!$G$5:$G$500=$B36))</f>
        <v>0</v>
      </c>
      <c r="T36" s="50">
        <f>SUMPRODUCT(--('2026'!$A$5:$A$500=$S$1),--('2026'!$I$5:$I$500=$B36))+SUMPRODUCT(--('2026'!$A$5:$A$500=$S$1),--('2026'!$J$5:$J$500=$B36))</f>
        <v>0</v>
      </c>
      <c r="U36" s="50">
        <f>SUMPRODUCT(--('2026'!$A$5:$A$500=$U$1),--('2026'!$C$5:$C$500=$B36))+SUMPRODUCT(--('2026'!$A$5:$A$500=$U$1),--('2026'!$F$5:$F$500=$B36))+SUMPRODUCT(--('2026'!$A$5:$A$500=$U$1),--('2026'!$D$5:$D$500=$B36))+SUMPRODUCT(--('2026'!$A$5:$A$500=$U$1),--('2026'!$G$5:$G$500=$B36))</f>
        <v>0</v>
      </c>
      <c r="V36" s="50">
        <f>SUMPRODUCT(--('2026'!$A$5:$A$500=$U$1),--('2026'!$I$5:$I$500=$B36))+SUMPRODUCT(--('2026'!$A$5:$A$500=$U$1),--('2026'!$J$5:$J$500=$B36))</f>
        <v>0</v>
      </c>
      <c r="W36" s="50">
        <f>SUMPRODUCT(--('2026'!$A$5:$A$500=$W$1),--('2026'!$C$5:$C$500=$B36))+SUMPRODUCT(--('2026'!$A$5:$A$500=$W$1),--('2026'!$F$5:$F$500=$B36))+SUMPRODUCT(--('2026'!$A$5:$A$500=$W$1),--('2026'!$D$5:$D$500=$B36))+SUMPRODUCT(--('2026'!$A$5:$A$500=$W$1),--('2026'!$G$5:$G$500=$B36))</f>
        <v>0</v>
      </c>
      <c r="X36" s="50">
        <f>SUMPRODUCT(--('2026'!$A$5:$A$500=$W$1),--('2026'!$I$5:$I$500=$B36))+SUMPRODUCT(--('2026'!$A$5:$A$500=$W$1),--('2026'!$J$5:$J$500=$B36))</f>
        <v>0</v>
      </c>
      <c r="Y36" s="51">
        <f>SUMPRODUCT(--('2026'!$A$5:$A$500=$Y$1),--('2026'!$C$5:$C$500=$B36))+SUMPRODUCT(--('2026'!$A$5:$A$500=$Y$1),--('2026'!$F$5:$F$500=$B36))+SUMPRODUCT(--('2026'!$A$5:$A$500=$Y$1),--('2026'!$D$5:$D$500=$B36))+SUMPRODUCT(--('2026'!$A$5:$A$500=$Y$1),--('2026'!$G$5:$G$500=$B36))</f>
        <v>0</v>
      </c>
      <c r="Z36" s="51">
        <f>SUMPRODUCT(--('2026'!$A$5:$A$500=$Y$1),--('2026'!$I$5:$I$500=$B36))+SUMPRODUCT(--('2026'!$A$5:$A$500=$Y$1),--('2026'!$J$5:$J$500=$B36))</f>
        <v>0</v>
      </c>
      <c r="AA36" s="51">
        <f>SUMPRODUCT(--('2026'!$A$5:$A$500=$AA$1),--('2026'!$C$5:$C$500=$B36))+SUMPRODUCT(--('2026'!$A$5:$A$500=$AA$1),--('2026'!$F$5:$F$500=$B36))+SUMPRODUCT(--('2026'!$A$5:$A$500=$AA$1),--('2026'!$D$5:$D$500=$B36))+SUMPRODUCT(--('2026'!$A$5:$A$500=$AA$1),--('2026'!$G$5:$G$500=$B36))</f>
        <v>0</v>
      </c>
      <c r="AB36" s="51">
        <f>SUMPRODUCT(--('2026'!$A$5:$A$500=$AA$1),--('2026'!$I$5:$I$500=$B36))+SUMPRODUCT(--('2026'!$A$5:$A$500=$AA$1),--('2026'!$J$5:$J$500=$B36))</f>
        <v>0</v>
      </c>
      <c r="AC36" s="51">
        <f>SUMPRODUCT(--('2026'!$A$5:$A$500=$AC$1),--('2026'!$C$5:$C$500=$B36))+SUMPRODUCT(--('2026'!$A$5:$A$500=$AC$1),--('2026'!$F$5:$F$500=$B36))+SUMPRODUCT(--('2026'!$A$5:$A$500=$AC$1),--('2026'!$D$5:$D$500=$B36))+SUMPRODUCT(--('2026'!$A$5:$A$500=$AC$1),--('2026'!$G$5:$G$500=$B36))</f>
        <v>0</v>
      </c>
      <c r="AD36" s="51">
        <f>SUMPRODUCT(--('2026'!$A$5:$A$500=$AC$1),--('2026'!$I$5:$I$500=$B36))+SUMPRODUCT(--('2026'!$A$5:$A$500=$AC$1),--('2026'!$J$5:$J$500=$B36))</f>
        <v>0</v>
      </c>
      <c r="AE36" s="51">
        <f>SUMPRODUCT(--('2026'!$A$5:$A$500=$AE$1),--('2026'!$C$5:$C$500=$B36))+SUMPRODUCT(--('2026'!$A$5:$A$500=$AE$1),--('2026'!$F$5:$F$500=$B36))+SUMPRODUCT(--('2026'!$A$5:$A$500=$AE$1),--('2026'!$D$5:$D$500=$B36))+SUMPRODUCT(--('2026'!$A$5:$A$500=$AE$1),--('2026'!$G$5:$G$500=$B36))</f>
        <v>0</v>
      </c>
      <c r="AF36" s="51">
        <f>SUMPRODUCT(--('2026'!$A$5:$A$500=$AE$1),--('2026'!$I$5:$I$500=$B36))+SUMPRODUCT(--('2026'!$A$5:$A$500=$AE$1),--('2026'!$J$5:$J$500=$B36))</f>
        <v>0</v>
      </c>
      <c r="AG36" s="51">
        <f>SUMPRODUCT(--('2026'!$A$5:$A$500=$AG$1),--('2026'!$C$5:$C$500=$B36))+SUMPRODUCT(--('2026'!$A$5:$A$500=$AG$1),--('2026'!$F$5:$F$500=$B36))+SUMPRODUCT(--('2026'!$A$5:$A$500=$AG$1),--('2026'!$D$5:$D$500=$B36))+SUMPRODUCT(--('2026'!$A$5:$A$500=$AG$1),--('2026'!$G$5:$G$500=$B36))</f>
        <v>0</v>
      </c>
      <c r="AH36" s="51">
        <f>SUMPRODUCT(--('2026'!$A$5:$A$500=$AG$1),--('2026'!$I$5:$I$500=$B36))+SUMPRODUCT(--('2026'!$A$5:$A$500=$AG$1),--('2026'!$J$5:$J$500=$B36))</f>
        <v>0</v>
      </c>
      <c r="AI36" s="51">
        <f>SUMPRODUCT(--('2026'!$A$5:$A$500=$AI$1),--('2026'!$C$5:$C$500=$B36))+SUMPRODUCT(--('2026'!$A$5:$A$500=$AI$1),--('2026'!$F$5:$F$500=$B36))+SUMPRODUCT(--('2026'!$A$5:$A$500=$AI$1),--('2026'!$D$5:$D$500=$B36))+SUMPRODUCT(--('2026'!$A$5:$A$500=$AI$1),--('2026'!$G$5:$G$500=$B36))</f>
        <v>0</v>
      </c>
      <c r="AJ36" s="51">
        <f>SUMPRODUCT(--('2026'!$A$5:$A$500=$AI$1),--('2026'!$I$5:$I$500=$B36))+SUMPRODUCT(--('2026'!$A$5:$A$500=$AI$1),--('2026'!$J$5:$J$500=$B36))</f>
        <v>0</v>
      </c>
      <c r="AK36" s="51">
        <f>SUMPRODUCT(--('2026'!$A$5:$A$500=$AK$1),--('2026'!$C$5:$C$500=$B36))+SUMPRODUCT(--('2026'!$A$5:$A$500=$AK$1),--('2026'!$F$5:$F$500=$B36))+SUMPRODUCT(--('2026'!$A$5:$A$500=$AK$1),--('2026'!$D$5:$D$500=$B36))+SUMPRODUCT(--('2026'!$A$5:$A$500=$AK$1),--('2026'!$G$5:$G$500=$B36))</f>
        <v>0</v>
      </c>
      <c r="AL36" s="51">
        <f>SUMPRODUCT(--('2026'!$A$5:$A$500=$AK$1),--('2026'!$I$5:$I$500=$B36))+SUMPRODUCT(--('2026'!$A$5:$A$500=$AK$1),--('2026'!$J$5:$J$500=$B36))</f>
        <v>0</v>
      </c>
      <c r="AM36" s="51">
        <f>SUMPRODUCT(--('2026'!$A$5:$A$500=$AM$1),--('2026'!$C$5:$C$500=$B36))+SUMPRODUCT(--('2026'!$A$5:$A$500=$AM$1),--('2026'!$F$5:$F$500=$B36))+SUMPRODUCT(--('2026'!$A$5:$A$500=$AM$1),--('2026'!$D$5:$D$500=$B36))+SUMPRODUCT(--('2026'!$A$5:$A$500=$AM$1),--('2026'!$G$5:$G$500=$B36))</f>
        <v>0</v>
      </c>
      <c r="AN36" s="51">
        <f>SUMPRODUCT(--('2026'!$A$5:$A$500=$AM$1),--('2026'!$I$5:$I$500=$B36))+SUMPRODUCT(--('2026'!$A$5:$A$500=$AM$1),--('2026'!$J$5:$J$500=$B36))</f>
        <v>0</v>
      </c>
      <c r="AO36" s="51">
        <f>SUMPRODUCT(--('2026'!$A$5:$A$500=$AO$1),--('2026'!$C$5:$C$500=$B36))+SUMPRODUCT(--('2026'!$A$5:$A$500=$AO$1),--('2026'!$F$5:$F$500=$B36))+SUMPRODUCT(--('2026'!$A$5:$A$500=$AO$1),--('2026'!$D$5:$D$500=$B36))+SUMPRODUCT(--('2026'!$A$5:$A$500=$AO$1),--('2026'!$G$5:$G$500=$B36))</f>
        <v>0</v>
      </c>
      <c r="AP36" s="51">
        <f>SUMPRODUCT(--('2026'!$A$5:$A$500=$AO$1),--('2026'!$I$5:$I$500=$B36))+SUMPRODUCT(--('2026'!$A$5:$A$500=$AO$1),--('2026'!$J$5:$J$500=$B36))</f>
        <v>0</v>
      </c>
      <c r="AQ36" s="51">
        <f>SUMPRODUCT(--('2026'!$A$5:$A$500=$AQ$1),--('2026'!$C$5:$C$500=$B36))+SUMPRODUCT(--('2026'!$A$5:$A$500=$AQ$1),--('2026'!$F$5:$F$500=$B36))+SUMPRODUCT(--('2026'!$A$5:$A$500=$AQ$1),--('2026'!$D$5:$D$500=$B36))+SUMPRODUCT(--('2026'!$A$5:$A$500=$AQ$1),--('2026'!$G$5:$G$500=$B36))</f>
        <v>0</v>
      </c>
      <c r="AR36" s="51">
        <f>SUMPRODUCT(--('2026'!$A$5:$A$500=$AQ$1),--('2026'!$I$5:$I$500=$B36))+SUMPRODUCT(--('2026'!$A$5:$A$500=$AQ$1),--('2026'!$J$5:$J$500=$B36))</f>
        <v>0</v>
      </c>
      <c r="AS36" s="51">
        <f>SUMPRODUCT(--('2026'!$A$5:$A$500=$AS$1),--('2026'!$C$5:$C$500=$B36))+SUMPRODUCT(--('2026'!$A$5:$A$500=$AS$1),--('2026'!$F$5:$F$500=$B36))+SUMPRODUCT(--('2026'!$A$5:$A$500=$AS$1),--('2026'!$D$5:$D$500=$B36))+SUMPRODUCT(--('2026'!$A$5:$A$500=$AS$1),--('2026'!$G$5:$G$500=$B36))</f>
        <v>0</v>
      </c>
      <c r="AT36" s="51">
        <f>SUMPRODUCT(--('2026'!$A$5:$A$500=$AS$1),--('2026'!$I$5:$I$500=$B36))+SUMPRODUCT(--('2026'!$A$5:$A$500=$AS$1),--('2026'!$J$5:$J$500=$B36))</f>
        <v>0</v>
      </c>
      <c r="AU36" s="51">
        <f>SUMPRODUCT(--('2026'!$A$5:$A$500=$AU$1),--('2026'!$C$5:$C$500=$B36))+SUMPRODUCT(--('2026'!$A$5:$A$500=$AU$1),--('2026'!$F$5:$F$500=$B36))+SUMPRODUCT(--('2026'!$A$5:$A$500=$AU$1),--('2026'!$D$5:$D$500=$B36))+SUMPRODUCT(--('2026'!$A$5:$A$500=$AU$1),--('2026'!$G$5:$G$500=$B36))</f>
        <v>0</v>
      </c>
      <c r="AV36" s="51">
        <f>SUMPRODUCT(--('2026'!$A$5:$A$500=$AU$1),--('2026'!$I$5:$I$500=$B36))+SUMPRODUCT(--('2026'!$A$5:$A$500=$AU$1),--('2026'!$J$5:$J$500=$B36))</f>
        <v>0</v>
      </c>
      <c r="AW36" s="51">
        <f>SUMPRODUCT(--('2026'!$A$5:$A$500=$AW$1),--('2026'!$C$5:$C$500=$B36))+SUMPRODUCT(--('2026'!$A$5:$A$500=$AW$1),--('2026'!$F$5:$F$500=$B36))+SUMPRODUCT(--('2026'!$A$5:$A$500=$AW$1),--('2026'!$D$5:$D$500=$B36))+SUMPRODUCT(--('2026'!$A$5:$A$500=$AW$1),--('2026'!$G$5:$G$500=$B36))</f>
        <v>0</v>
      </c>
      <c r="AX36" s="51">
        <f>SUMPRODUCT(--('2026'!$A$5:$A$500=$AW$1),--('2026'!$I$5:$I$500=$B36))+SUMPRODUCT(--('2026'!$A$5:$A$500=$AW$1),--('2026'!$J$5:$J$500=$B36))</f>
        <v>0</v>
      </c>
      <c r="BA36" s="54" t="s">
        <v>111</v>
      </c>
      <c r="BB36" s="47">
        <f t="shared" si="0"/>
        <v>0</v>
      </c>
      <c r="BC36" s="52">
        <f t="shared" si="1"/>
        <v>0</v>
      </c>
    </row>
    <row r="37" spans="1:55" ht="15" x14ac:dyDescent="0.25">
      <c r="A37">
        <v>35</v>
      </c>
      <c r="B37" s="54" t="s">
        <v>113</v>
      </c>
      <c r="C37" s="50">
        <f>SUMPRODUCT(--('2026'!$A$5:$A$500=$C$1),--('2026'!$C$5:$C$500=$B37))+SUMPRODUCT(--('2026'!$A$5:$A$500=$C$1),--('2026'!$F$5:$F$500=$B37))+SUMPRODUCT(--('2026'!$A$5:$A$500=$C$1),--('2026'!$D$5:$D$500=$B37))+SUMPRODUCT(--('2026'!$A$5:$A$500=$C$1),--('2026'!$G$5:$G$500=$B37))</f>
        <v>0</v>
      </c>
      <c r="D37" s="50">
        <f>SUMPRODUCT(--('2026'!$A$5:$A$500=$C$1),--('2026'!$I$5:$I$500=$B37))+SUMPRODUCT(--('2026'!$A$5:$A$500=$C$1),--('2026'!$J$5:$J$500=$B37))</f>
        <v>0</v>
      </c>
      <c r="E37" s="50">
        <f>SUMPRODUCT(--('2026'!$A$5:$A$500=$E$1),--('2026'!$C$5:$C$500=$B37))+SUMPRODUCT(--('2026'!$A$5:$A$500=$E$1),--('2026'!$F$5:$F$500=$B37))+SUMPRODUCT(--('2026'!$A$5:$A$500=$E$1),--('2026'!$D$5:$D$500=$B37))+SUMPRODUCT(--('2026'!$A$5:$A$500=$E$1),--('2026'!$G$5:$G$500=$B37))</f>
        <v>0</v>
      </c>
      <c r="F37" s="50">
        <f>SUMPRODUCT(--('2026'!$A$5:$A$500=$E$1),--('2026'!$I$5:$I$500=$B37))+SUMPRODUCT(--('2026'!$A$5:$A$500=$E$1),--('2026'!$J$5:$J$500=$B37))</f>
        <v>0</v>
      </c>
      <c r="G37" s="50">
        <f>SUMPRODUCT(--('2026'!$A$5:$A$500=$G$1),--('2026'!$C$5:$C$500=$B37))+SUMPRODUCT(--('2026'!$A$5:$A$500=$G$1),--('2026'!$F$5:$F$500=$B37))+SUMPRODUCT(--('2026'!$A$5:$A$500=$G$1),--('2026'!$D$5:$D$500=$B37))+SUMPRODUCT(--('2026'!$A$5:$A$500=$G$1),--('2026'!$G$5:$G$500=$B37))</f>
        <v>0</v>
      </c>
      <c r="H37" s="50">
        <f>SUMPRODUCT(--('2026'!$A$5:$A$500=$G$1),--('2026'!$I$5:$I$500=$B37))+SUMPRODUCT(--('2026'!$A$5:$A$500=$G$1),--('2026'!$J$5:$J$500=$B37))</f>
        <v>0</v>
      </c>
      <c r="I37" s="50">
        <f>SUMPRODUCT(--('2026'!$A$5:$A$500=$I$1),--('2026'!$C$5:$C$500=$B37))+SUMPRODUCT(--('2026'!$A$5:$A$500=$I$1),--('2026'!$F$5:$F$500=$B37))+SUMPRODUCT(--('2026'!$A$5:$A$500=$I$1),--('2026'!$D$5:$D$500=$B37))+SUMPRODUCT(--('2026'!$A$5:$A$500=$I$1),--('2026'!$G$5:$G$500=$B37))</f>
        <v>0</v>
      </c>
      <c r="J37" s="50">
        <f>SUMPRODUCT(--('2026'!$A$5:$A$500=$I$1),--('2026'!$I$5:$I$500=$B37))+SUMPRODUCT(--('2026'!$A$5:$A$500=$I$1),--('2026'!$J$5:$J$500=$B37))</f>
        <v>0</v>
      </c>
      <c r="K37" s="50">
        <f>SUMPRODUCT(--('2026'!$A$5:$A$500=$K$1),--('2026'!$C$5:$C$500=$B37))+SUMPRODUCT(--('2026'!$A$5:$A$500=$K$1),--('2026'!$F$5:$F$500=$B37))+SUMPRODUCT(--('2026'!$A$5:$A$500=$K$1),--('2026'!$D$5:$D$500=$B37))+SUMPRODUCT(--('2026'!$A$5:$A$500=$K$1),--('2026'!$G$5:$G$500=$B37))</f>
        <v>0</v>
      </c>
      <c r="L37" s="50">
        <f>SUMPRODUCT(--('2026'!$A$5:$A$500=$K$1),--('2026'!$I$5:$I$500=$B37))+SUMPRODUCT(--('2026'!$A$5:$A$500=$K$1),--('2026'!$J$5:$J$500=$B37))</f>
        <v>0</v>
      </c>
      <c r="M37" s="50">
        <f>SUMPRODUCT(--('2026'!$A$5:$A$500=$M$1),--('2026'!$C$5:$C$500=$B37))+SUMPRODUCT(--('2026'!$A$5:$A$500=$M$1),--('2026'!$F$5:$F$500=$B37))+SUMPRODUCT(--('2026'!$A$5:$A$500=$M$1),--('2026'!$D$5:$D$500=$B37))+SUMPRODUCT(--('2026'!$A$5:$A$500=$M$1),--('2026'!$G$5:$G$500=$B37))</f>
        <v>0</v>
      </c>
      <c r="N37" s="50">
        <f>SUMPRODUCT(--('2026'!$A$5:$A$500=$M$1),--('2026'!$I$5:$I$500=$B37))+SUMPRODUCT(--('2026'!$A$5:$A$500=$M$1),--('2026'!$J$5:$J$500=$B37))</f>
        <v>0</v>
      </c>
      <c r="O37" s="50">
        <f>SUMPRODUCT(--('2026'!$A$5:$A$500=$O$1),--('2026'!$C$5:$C$500=$B37))+SUMPRODUCT(--('2026'!$A$5:$A$500=$O$1),--('2026'!$F$5:$F$500=$B37))+SUMPRODUCT(--('2026'!$A$5:$A$500=$O$1),--('2026'!$D$5:$D$500=$B37))+SUMPRODUCT(--('2026'!$A$5:$A$500=$O$1),--('2026'!$G$5:$G$500=$B37))</f>
        <v>0</v>
      </c>
      <c r="P37" s="50">
        <f>SUMPRODUCT(--('2026'!$A$5:$A$500=$O$1),--('2026'!$I$5:$I$500=$B37))+SUMPRODUCT(--('2026'!$A$5:$A$500=$O$1),--('2026'!$J$5:$J$500=$B37))</f>
        <v>0</v>
      </c>
      <c r="Q37" s="50">
        <f>SUMPRODUCT(--('2026'!$A$5:$A$500=$Q$1),--('2026'!$C$5:$C$500=$B37))+SUMPRODUCT(--('2026'!$A$5:$A$500=$Q$1),--('2026'!$F$5:$F$500=$B37))+SUMPRODUCT(--('2026'!$A$5:$A$500=$Q$1),--('2026'!$D$5:$D$500=$B37))+SUMPRODUCT(--('2026'!$A$5:$A$500=$Q$1),--('2026'!$G$5:$G$500=$B37))</f>
        <v>0</v>
      </c>
      <c r="R37" s="50">
        <f>SUMPRODUCT(--('2026'!$A$5:$A$500=$Q$1),--('2026'!$I$5:$I$500=$B37))+SUMPRODUCT(--('2026'!$A$5:$A$500=$Q$1),--('2026'!$J$5:$J$500=$B37))</f>
        <v>0</v>
      </c>
      <c r="S37" s="50">
        <f>SUMPRODUCT(--('2026'!$A$5:$A$500=$S$1),--('2026'!$C$5:$C$500=$B37))+SUMPRODUCT(--('2026'!$A$5:$A$500=$S$1),--('2026'!$F$5:$F$500=$B37))+SUMPRODUCT(--('2026'!$A$5:$A$500=$S$1),--('2026'!$D$5:$D$500=$B37))+SUMPRODUCT(--('2026'!$A$5:$A$500=$S$1),--('2026'!$G$5:$G$500=$B37))</f>
        <v>0</v>
      </c>
      <c r="T37" s="50">
        <f>SUMPRODUCT(--('2026'!$A$5:$A$500=$S$1),--('2026'!$I$5:$I$500=$B37))+SUMPRODUCT(--('2026'!$A$5:$A$500=$S$1),--('2026'!$J$5:$J$500=$B37))</f>
        <v>0</v>
      </c>
      <c r="U37" s="50">
        <f>SUMPRODUCT(--('2026'!$A$5:$A$500=$U$1),--('2026'!$C$5:$C$500=$B37))+SUMPRODUCT(--('2026'!$A$5:$A$500=$U$1),--('2026'!$F$5:$F$500=$B37))+SUMPRODUCT(--('2026'!$A$5:$A$500=$U$1),--('2026'!$D$5:$D$500=$B37))+SUMPRODUCT(--('2026'!$A$5:$A$500=$U$1),--('2026'!$G$5:$G$500=$B37))</f>
        <v>0</v>
      </c>
      <c r="V37" s="50">
        <f>SUMPRODUCT(--('2026'!$A$5:$A$500=$U$1),--('2026'!$I$5:$I$500=$B37))+SUMPRODUCT(--('2026'!$A$5:$A$500=$U$1),--('2026'!$J$5:$J$500=$B37))</f>
        <v>0</v>
      </c>
      <c r="W37" s="50">
        <f>SUMPRODUCT(--('2026'!$A$5:$A$500=$W$1),--('2026'!$C$5:$C$500=$B37))+SUMPRODUCT(--('2026'!$A$5:$A$500=$W$1),--('2026'!$F$5:$F$500=$B37))+SUMPRODUCT(--('2026'!$A$5:$A$500=$W$1),--('2026'!$D$5:$D$500=$B37))+SUMPRODUCT(--('2026'!$A$5:$A$500=$W$1),--('2026'!$G$5:$G$500=$B37))</f>
        <v>0</v>
      </c>
      <c r="X37" s="50">
        <f>SUMPRODUCT(--('2026'!$A$5:$A$500=$W$1),--('2026'!$I$5:$I$500=$B37))+SUMPRODUCT(--('2026'!$A$5:$A$500=$W$1),--('2026'!$J$5:$J$500=$B37))</f>
        <v>0</v>
      </c>
      <c r="Y37" s="50">
        <f>SUMPRODUCT(--('2026'!$A$5:$A$500=$Y$1),--('2026'!$C$5:$C$500=$B37))+SUMPRODUCT(--('2026'!$A$5:$A$500=$Y$1),--('2026'!$F$5:$F$500=$B37))+SUMPRODUCT(--('2026'!$A$5:$A$500=$Y$1),--('2026'!$D$5:$D$500=$B37))+SUMPRODUCT(--('2026'!$A$5:$A$500=$Y$1),--('2026'!$G$5:$G$500=$B37))</f>
        <v>0</v>
      </c>
      <c r="Z37" s="50">
        <f>SUMPRODUCT(--('2026'!$A$5:$A$500=$Y$1),--('2026'!$I$5:$I$500=$B37))+SUMPRODUCT(--('2026'!$A$5:$A$500=$Y$1),--('2026'!$J$5:$J$500=$B37))</f>
        <v>0</v>
      </c>
      <c r="AA37" s="50">
        <f>SUMPRODUCT(--('2026'!$A$5:$A$500=$AA$1),--('2026'!$C$5:$C$500=$B37))+SUMPRODUCT(--('2026'!$A$5:$A$500=$AA$1),--('2026'!$F$5:$F$500=$B37))+SUMPRODUCT(--('2026'!$A$5:$A$500=$AA$1),--('2026'!$D$5:$D$500=$B37))+SUMPRODUCT(--('2026'!$A$5:$A$500=$AA$1),--('2026'!$G$5:$G$500=$B37))</f>
        <v>0</v>
      </c>
      <c r="AB37" s="50">
        <f>SUMPRODUCT(--('2026'!$A$5:$A$500=$AA$1),--('2026'!$I$5:$I$500=$B37))+SUMPRODUCT(--('2026'!$A$5:$A$500=$AA$1),--('2026'!$J$5:$J$500=$B37))</f>
        <v>0</v>
      </c>
      <c r="AC37" s="50">
        <f>SUMPRODUCT(--('2026'!$A$5:$A$500=$AC$1),--('2026'!$C$5:$C$500=$B37))+SUMPRODUCT(--('2026'!$A$5:$A$500=$AC$1),--('2026'!$F$5:$F$500=$B37))+SUMPRODUCT(--('2026'!$A$5:$A$500=$AC$1),--('2026'!$D$5:$D$500=$B37))+SUMPRODUCT(--('2026'!$A$5:$A$500=$AC$1),--('2026'!$G$5:$G$500=$B37))</f>
        <v>0</v>
      </c>
      <c r="AD37" s="50">
        <f>SUMPRODUCT(--('2026'!$A$5:$A$500=$AC$1),--('2026'!$I$5:$I$500=$B37))+SUMPRODUCT(--('2026'!$A$5:$A$500=$AC$1),--('2026'!$J$5:$J$500=$B37))</f>
        <v>0</v>
      </c>
      <c r="AE37" s="50">
        <f>SUMPRODUCT(--('2026'!$A$5:$A$500=$AE$1),--('2026'!$C$5:$C$500=$B37))+SUMPRODUCT(--('2026'!$A$5:$A$500=$AE$1),--('2026'!$F$5:$F$500=$B37))+SUMPRODUCT(--('2026'!$A$5:$A$500=$AE$1),--('2026'!$D$5:$D$500=$B37))+SUMPRODUCT(--('2026'!$A$5:$A$500=$AE$1),--('2026'!$G$5:$G$500=$B37))</f>
        <v>0</v>
      </c>
      <c r="AF37" s="50">
        <f>SUMPRODUCT(--('2026'!$A$5:$A$500=$AE$1),--('2026'!$I$5:$I$500=$B37))+SUMPRODUCT(--('2026'!$A$5:$A$500=$AE$1),--('2026'!$J$5:$J$500=$B37))</f>
        <v>0</v>
      </c>
      <c r="AG37" s="50">
        <f>SUMPRODUCT(--('2026'!$A$5:$A$500=$AG$1),--('2026'!$C$5:$C$500=$B37))+SUMPRODUCT(--('2026'!$A$5:$A$500=$AG$1),--('2026'!$F$5:$F$500=$B37))+SUMPRODUCT(--('2026'!$A$5:$A$500=$AG$1),--('2026'!$D$5:$D$500=$B37))+SUMPRODUCT(--('2026'!$A$5:$A$500=$AG$1),--('2026'!$G$5:$G$500=$B37))</f>
        <v>0</v>
      </c>
      <c r="AH37" s="50">
        <f>SUMPRODUCT(--('2026'!$A$5:$A$500=$AG$1),--('2026'!$I$5:$I$500=$B37))+SUMPRODUCT(--('2026'!$A$5:$A$500=$AG$1),--('2026'!$J$5:$J$500=$B37))</f>
        <v>0</v>
      </c>
      <c r="AI37" s="50">
        <f>SUMPRODUCT(--('2026'!$A$5:$A$500=$AI$1),--('2026'!$C$5:$C$500=$B37))+SUMPRODUCT(--('2026'!$A$5:$A$500=$AI$1),--('2026'!$F$5:$F$500=$B37))+SUMPRODUCT(--('2026'!$A$5:$A$500=$AI$1),--('2026'!$D$5:$D$500=$B37))+SUMPRODUCT(--('2026'!$A$5:$A$500=$AI$1),--('2026'!$G$5:$G$500=$B37))</f>
        <v>0</v>
      </c>
      <c r="AJ37" s="50">
        <f>SUMPRODUCT(--('2026'!$A$5:$A$500=$AI$1),--('2026'!$I$5:$I$500=$B37))+SUMPRODUCT(--('2026'!$A$5:$A$500=$AI$1),--('2026'!$J$5:$J$500=$B37))</f>
        <v>0</v>
      </c>
      <c r="AK37" s="50">
        <f>SUMPRODUCT(--('2026'!$A$5:$A$500=$AK$1),--('2026'!$C$5:$C$500=$B37))+SUMPRODUCT(--('2026'!$A$5:$A$500=$AK$1),--('2026'!$F$5:$F$500=$B37))+SUMPRODUCT(--('2026'!$A$5:$A$500=$AK$1),--('2026'!$D$5:$D$500=$B37))+SUMPRODUCT(--('2026'!$A$5:$A$500=$AK$1),--('2026'!$G$5:$G$500=$B37))</f>
        <v>0</v>
      </c>
      <c r="AL37" s="50">
        <f>SUMPRODUCT(--('2026'!$A$5:$A$500=$AK$1),--('2026'!$I$5:$I$500=$B37))+SUMPRODUCT(--('2026'!$A$5:$A$500=$AK$1),--('2026'!$J$5:$J$500=$B37))</f>
        <v>0</v>
      </c>
      <c r="AM37" s="50">
        <f>SUMPRODUCT(--('2026'!$A$5:$A$500=$AM$1),--('2026'!$C$5:$C$500=$B37))+SUMPRODUCT(--('2026'!$A$5:$A$500=$AM$1),--('2026'!$F$5:$F$500=$B37))+SUMPRODUCT(--('2026'!$A$5:$A$500=$AM$1),--('2026'!$D$5:$D$500=$B37))+SUMPRODUCT(--('2026'!$A$5:$A$500=$AM$1),--('2026'!$G$5:$G$500=$B37))</f>
        <v>0</v>
      </c>
      <c r="AN37" s="50">
        <f>SUMPRODUCT(--('2026'!$A$5:$A$500=$AM$1),--('2026'!$I$5:$I$500=$B37))+SUMPRODUCT(--('2026'!$A$5:$A$500=$AM$1),--('2026'!$J$5:$J$500=$B37))</f>
        <v>0</v>
      </c>
      <c r="AO37" s="50">
        <f>SUMPRODUCT(--('2026'!$A$5:$A$500=$AO$1),--('2026'!$C$5:$C$500=$B37))+SUMPRODUCT(--('2026'!$A$5:$A$500=$AO$1),--('2026'!$F$5:$F$500=$B37))+SUMPRODUCT(--('2026'!$A$5:$A$500=$AO$1),--('2026'!$D$5:$D$500=$B37))+SUMPRODUCT(--('2026'!$A$5:$A$500=$AO$1),--('2026'!$G$5:$G$500=$B37))</f>
        <v>0</v>
      </c>
      <c r="AP37" s="50">
        <f>SUMPRODUCT(--('2026'!$A$5:$A$500=$AO$1),--('2026'!$I$5:$I$500=$B37))+SUMPRODUCT(--('2026'!$A$5:$A$500=$AO$1),--('2026'!$J$5:$J$500=$B37))</f>
        <v>0</v>
      </c>
      <c r="AQ37" s="50">
        <f>SUMPRODUCT(--('2026'!$A$5:$A$500=$AQ$1),--('2026'!$C$5:$C$500=$B37))+SUMPRODUCT(--('2026'!$A$5:$A$500=$AQ$1),--('2026'!$F$5:$F$500=$B37))+SUMPRODUCT(--('2026'!$A$5:$A$500=$AQ$1),--('2026'!$D$5:$D$500=$B37))+SUMPRODUCT(--('2026'!$A$5:$A$500=$AQ$1),--('2026'!$G$5:$G$500=$B37))</f>
        <v>0</v>
      </c>
      <c r="AR37" s="50">
        <f>SUMPRODUCT(--('2026'!$A$5:$A$500=$AQ$1),--('2026'!$I$5:$I$500=$B37))+SUMPRODUCT(--('2026'!$A$5:$A$500=$AQ$1),--('2026'!$J$5:$J$500=$B37))</f>
        <v>0</v>
      </c>
      <c r="AS37" s="50">
        <f>SUMPRODUCT(--('2026'!$A$5:$A$500=$AS$1),--('2026'!$C$5:$C$500=$B37))+SUMPRODUCT(--('2026'!$A$5:$A$500=$AS$1),--('2026'!$F$5:$F$500=$B37))+SUMPRODUCT(--('2026'!$A$5:$A$500=$AS$1),--('2026'!$D$5:$D$500=$B37))+SUMPRODUCT(--('2026'!$A$5:$A$500=$AS$1),--('2026'!$G$5:$G$500=$B37))</f>
        <v>0</v>
      </c>
      <c r="AT37" s="50">
        <f>SUMPRODUCT(--('2026'!$A$5:$A$500=$AS$1),--('2026'!$I$5:$I$500=$B37))+SUMPRODUCT(--('2026'!$A$5:$A$500=$AS$1),--('2026'!$J$5:$J$500=$B37))</f>
        <v>0</v>
      </c>
      <c r="AU37" s="50">
        <f>SUMPRODUCT(--('2026'!$A$5:$A$500=$AU$1),--('2026'!$C$5:$C$500=$B37))+SUMPRODUCT(--('2026'!$A$5:$A$500=$AU$1),--('2026'!$F$5:$F$500=$B37))+SUMPRODUCT(--('2026'!$A$5:$A$500=$AU$1),--('2026'!$D$5:$D$500=$B37))+SUMPRODUCT(--('2026'!$A$5:$A$500=$AU$1),--('2026'!$G$5:$G$500=$B37))</f>
        <v>0</v>
      </c>
      <c r="AV37" s="50">
        <f>SUMPRODUCT(--('2026'!$A$5:$A$500=$AU$1),--('2026'!$I$5:$I$500=$B37))+SUMPRODUCT(--('2026'!$A$5:$A$500=$AU$1),--('2026'!$J$5:$J$500=$B37))</f>
        <v>0</v>
      </c>
      <c r="AW37" s="50">
        <f>SUMPRODUCT(--('2026'!$A$5:$A$500=$AW$1),--('2026'!$C$5:$C$500=$B37))+SUMPRODUCT(--('2026'!$A$5:$A$500=$AW$1),--('2026'!$F$5:$F$500=$B37))+SUMPRODUCT(--('2026'!$A$5:$A$500=$AW$1),--('2026'!$D$5:$D$500=$B37))+SUMPRODUCT(--('2026'!$A$5:$A$500=$AW$1),--('2026'!$G$5:$G$500=$B37))</f>
        <v>0</v>
      </c>
      <c r="AX37" s="50">
        <f>SUMPRODUCT(--('2026'!$A$5:$A$500=$AW$1),--('2026'!$I$5:$I$500=$B37))+SUMPRODUCT(--('2026'!$A$5:$A$500=$AW$1),--('2026'!$J$5:$J$500=$B37))</f>
        <v>0</v>
      </c>
      <c r="BA37" s="54" t="s">
        <v>113</v>
      </c>
      <c r="BB37" s="47">
        <f t="shared" si="0"/>
        <v>0</v>
      </c>
      <c r="BC37" s="52">
        <f t="shared" si="1"/>
        <v>0</v>
      </c>
    </row>
  </sheetData>
  <sortState ref="B3:BC34">
    <sortCondition descending="1" ref="C3:C34"/>
  </sortState>
  <mergeCells count="24">
    <mergeCell ref="O1:P1"/>
    <mergeCell ref="AQ1:AR1"/>
    <mergeCell ref="AS1:AT1"/>
    <mergeCell ref="AG1:AH1"/>
    <mergeCell ref="AI1:AJ1"/>
    <mergeCell ref="AK1:AL1"/>
    <mergeCell ref="AM1:AN1"/>
    <mergeCell ref="AO1:AP1"/>
    <mergeCell ref="AW1:AX1"/>
    <mergeCell ref="C1:D1"/>
    <mergeCell ref="E1:F1"/>
    <mergeCell ref="G1:H1"/>
    <mergeCell ref="I1:J1"/>
    <mergeCell ref="K1:L1"/>
    <mergeCell ref="M1:N1"/>
    <mergeCell ref="Y1:Z1"/>
    <mergeCell ref="AA1:AB1"/>
    <mergeCell ref="W1:X1"/>
    <mergeCell ref="S1:T1"/>
    <mergeCell ref="U1:V1"/>
    <mergeCell ref="AU1:AV1"/>
    <mergeCell ref="AE1:AF1"/>
    <mergeCell ref="AC1:AD1"/>
    <mergeCell ref="Q1:R1"/>
  </mergeCells>
  <pageMargins left="0.7" right="0.7" top="0.75" bottom="0.75" header="0.3" footer="0.3"/>
  <pageSetup paperSize="9" orientation="portrait" horizontalDpi="0" verticalDpi="0" r:id="rId1"/>
  <ignoredErrors>
    <ignoredError sqref="AI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9"/>
  <sheetViews>
    <sheetView workbookViewId="0">
      <selection activeCell="B10" sqref="B10"/>
    </sheetView>
  </sheetViews>
  <sheetFormatPr defaultRowHeight="12.75" x14ac:dyDescent="0.2"/>
  <cols>
    <col min="2" max="3" width="56.28515625" style="29" customWidth="1"/>
  </cols>
  <sheetData>
    <row r="2" spans="1:3" ht="25.5" x14ac:dyDescent="0.2">
      <c r="A2">
        <v>1</v>
      </c>
      <c r="B2" s="29" t="s">
        <v>75</v>
      </c>
      <c r="C2" s="29" t="s">
        <v>76</v>
      </c>
    </row>
    <row r="3" spans="1:3" ht="25.5" x14ac:dyDescent="0.2">
      <c r="A3">
        <v>2</v>
      </c>
      <c r="B3" s="29" t="s">
        <v>77</v>
      </c>
      <c r="C3" s="29" t="s">
        <v>78</v>
      </c>
    </row>
    <row r="4" spans="1:3" ht="25.5" x14ac:dyDescent="0.2">
      <c r="A4">
        <v>3</v>
      </c>
      <c r="B4" s="29" t="s">
        <v>79</v>
      </c>
      <c r="C4" s="29" t="s">
        <v>80</v>
      </c>
    </row>
    <row r="5" spans="1:3" ht="63.75" x14ac:dyDescent="0.2">
      <c r="A5">
        <v>4</v>
      </c>
      <c r="B5" s="29" t="s">
        <v>81</v>
      </c>
      <c r="C5" s="29" t="s">
        <v>82</v>
      </c>
    </row>
    <row r="6" spans="1:3" ht="38.25" x14ac:dyDescent="0.2">
      <c r="A6">
        <v>5</v>
      </c>
      <c r="B6" s="29" t="s">
        <v>83</v>
      </c>
      <c r="C6" s="29" t="s">
        <v>84</v>
      </c>
    </row>
    <row r="9" spans="1:3" x14ac:dyDescent="0.2">
      <c r="B9" s="29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MatchRules</vt:lpstr>
      <vt:lpstr>PointRules</vt:lpstr>
      <vt:lpstr>Dates</vt:lpstr>
      <vt:lpstr>2026</vt:lpstr>
      <vt:lpstr>Overall Stats</vt:lpstr>
      <vt:lpstr>Individual Stats</vt:lpstr>
      <vt:lpstr>Issues - DAQs</vt:lpstr>
      <vt:lpstr>'2026'!ALL_COMBOS</vt:lpstr>
      <vt:lpstr>ALL_DATES</vt:lpstr>
      <vt:lpstr>'2026'!GROUP_A</vt:lpstr>
      <vt:lpstr>GROUP_A</vt:lpstr>
      <vt:lpstr>'2026'!GROUP_B</vt:lpstr>
      <vt:lpstr>GROUP_B</vt:lpstr>
      <vt:lpstr>'2026'!LOSING_TEAM</vt:lpstr>
      <vt:lpstr>'2026'!PLAYERS_IDS</vt:lpstr>
      <vt:lpstr>'2026'!POINTS_TABLE</vt:lpstr>
      <vt:lpstr>'2026'!RANKING_LEAGUE_DATA</vt:lpstr>
      <vt:lpstr>'2026'!WINNER_TEAM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2026-09-01T06:20:27Z</dcterms:modified>
</cp:coreProperties>
</file>