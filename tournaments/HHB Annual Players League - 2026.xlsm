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MatchRules" sheetId="1" state="hidden" r:id="rId1"/>
    <sheet name="PointRules" sheetId="2" state="visible" r:id="rId2"/>
    <sheet name="Dates" sheetId="3" state="hidden" r:id="rId3"/>
    <sheet name="2026" sheetId="4" state="visible" r:id="rId4"/>
    <sheet name="Overall Stats" sheetId="5" state="visible" r:id="rId5"/>
    <sheet name="Individual Stats" sheetId="6" state="visible" r:id="rId6"/>
    <sheet name="Issues - DAQs" sheetId="7" state="hidden" r:id="rId7"/>
  </sheets>
  <definedNames>
    <definedName name="ALL_DATES">'2026'!$A$5:$A$660</definedName>
    <definedName name="GROUP_A">'2026'!$U$146:$U$163</definedName>
    <definedName name="GROUP_B">'2026'!$U$167:$U$184</definedName>
    <definedName name="ALL_COMBOS" localSheetId="3">'2026'!$P$1:$Q$691</definedName>
    <definedName name="GROUP_A" localSheetId="3">'2026'!$U$146:$U$163</definedName>
    <definedName name="GROUP_B" localSheetId="3">'2026'!$U$167:$U$184</definedName>
    <definedName name="LOSING_TEAM" localSheetId="3">'2026'!$Q$1:$Q$645</definedName>
    <definedName name="PLAYERS_IDS" localSheetId="3">'2026'!$U$145:$V$184</definedName>
    <definedName name="POINTS_TABLE" localSheetId="3">'2026'!$U$2:$AC$34</definedName>
    <definedName name="RANKING_LEAGUE_DATA" localSheetId="3">'2026'!$A$4:$M$692</definedName>
    <definedName name="WINNER_TEAM" localSheetId="3">'2026'!$P$1:$P$691</definedName>
    <definedName name="_xlnm._FilterDatabase" localSheetId="3" hidden="1">'2026'!$A$4:$R$660</definedName>
  </definedNames>
  <calcPr calcId="152511" fullCalcOnLoad="1"/>
</workbook>
</file>

<file path=xl/styles.xml><?xml version="1.0" encoding="utf-8"?>
<styleSheet xmlns="http://schemas.openxmlformats.org/spreadsheetml/2006/main">
  <numFmts count="2">
    <numFmt numFmtId="164" formatCode="dd\-mmm\,\ ddd"/>
    <numFmt numFmtId="165" formatCode="dd/mm"/>
  </numFmts>
  <fonts count="23">
    <font>
      <name val="Arial"/>
      <family val="2"/>
      <color theme="1"/>
      <sz val="10"/>
    </font>
    <font>
      <name val="Arial"/>
      <family val="2"/>
      <color theme="1"/>
      <sz val="16"/>
    </font>
    <font>
      <name val="Arial"/>
      <family val="2"/>
      <b val="1"/>
      <color theme="1"/>
      <sz val="16"/>
    </font>
    <font>
      <name val="Arial"/>
      <family val="2"/>
      <b val="1"/>
      <color theme="1"/>
      <sz val="10"/>
    </font>
    <font>
      <name val="Arial"/>
      <family val="2"/>
      <b val="1"/>
      <color theme="1"/>
      <sz val="12"/>
    </font>
    <font>
      <name val="Arial"/>
      <family val="2"/>
      <b val="1"/>
      <color theme="1"/>
      <sz val="14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b val="1"/>
      <color theme="1"/>
      <sz val="20"/>
    </font>
    <font>
      <name val="Arial"/>
      <family val="2"/>
      <color theme="1"/>
      <sz val="18"/>
    </font>
    <font>
      <name val="Arial"/>
      <family val="2"/>
      <b val="1"/>
      <color rgb="FF00B0F0"/>
      <sz val="18"/>
    </font>
    <font>
      <name val="Arial"/>
      <family val="2"/>
      <b val="1"/>
      <color rgb="FF7030A0"/>
      <sz val="18"/>
    </font>
    <font>
      <name val="Arial"/>
      <family val="2"/>
      <color rgb="FF00B050"/>
      <sz val="18"/>
    </font>
    <font>
      <name val="Arial"/>
      <family val="2"/>
      <color rgb="FFFF0000"/>
      <sz val="18"/>
    </font>
    <font>
      <name val="Arial"/>
      <family val="2"/>
      <b val="1"/>
      <color rgb="FFC00000"/>
      <sz val="18"/>
    </font>
    <font>
      <name val="Arial"/>
      <family val="2"/>
      <b val="1"/>
      <color theme="1"/>
      <sz val="18"/>
    </font>
    <font>
      <name val="Arial"/>
      <family val="2"/>
      <color theme="1"/>
      <sz val="10"/>
    </font>
    <font>
      <name val="Arial"/>
      <family val="2"/>
      <color theme="1"/>
      <sz val="12"/>
    </font>
    <font>
      <name val="Arial"/>
      <family val="2"/>
      <b val="1"/>
      <color theme="1"/>
      <sz val="11"/>
    </font>
    <font>
      <name val="Arial"/>
      <family val="2"/>
      <b val="1"/>
      <color theme="1"/>
      <sz val="9"/>
    </font>
    <font>
      <name val="Arial"/>
      <family val="2"/>
      <color theme="1"/>
      <sz val="9"/>
    </font>
    <font>
      <name val="Arial"/>
      <family val="2"/>
      <b val="1"/>
      <color theme="9" tint="-0.249977111117893"/>
      <sz val="9"/>
    </font>
    <font>
      <name val="Arial"/>
      <family val="2"/>
      <color theme="1"/>
      <sz val="20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16" fillId="0" borderId="0"/>
    <xf numFmtId="9" fontId="16" fillId="0" borderId="0"/>
  </cellStyleXfs>
  <cellXfs count="144">
    <xf numFmtId="0" fontId="0" fillId="0" borderId="0" pivotButton="0" quotePrefix="0" xfId="0"/>
    <xf numFmtId="0" fontId="1" fillId="0" borderId="0" applyAlignment="1" pivotButton="0" quotePrefix="0" xfId="0">
      <alignment horizontal="left" indent="2"/>
    </xf>
    <xf numFmtId="0" fontId="1" fillId="0" borderId="1" pivotButton="0" quotePrefix="0" xfId="0"/>
    <xf numFmtId="0" fontId="1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" pivotButton="0" quotePrefix="0" xfId="0"/>
    <xf numFmtId="0" fontId="1" fillId="0" borderId="1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164" fontId="2" fillId="0" borderId="1" applyAlignment="1" pivotButton="0" quotePrefix="0" xfId="0">
      <alignment horizontal="left"/>
    </xf>
    <xf numFmtId="0" fontId="2" fillId="0" borderId="1" pivotButton="0" quotePrefix="0" xfId="0"/>
    <xf numFmtId="0" fontId="1" fillId="0" borderId="0" pivotButton="0" quotePrefix="0" xfId="0"/>
    <xf numFmtId="0" fontId="2" fillId="0" borderId="1" applyAlignment="1" pivotButton="0" quotePrefix="0" xfId="0">
      <alignment horizontal="center"/>
    </xf>
    <xf numFmtId="1" fontId="2" fillId="0" borderId="1" applyAlignment="1" pivotButton="0" quotePrefix="0" xfId="0">
      <alignment horizontal="left"/>
    </xf>
    <xf numFmtId="164" fontId="1" fillId="3" borderId="1" pivotButton="0" quotePrefix="0" xfId="0"/>
    <xf numFmtId="0" fontId="1" fillId="3" borderId="1" pivotButton="0" quotePrefix="0" xfId="0"/>
    <xf numFmtId="0" fontId="1" fillId="3" borderId="1" applyAlignment="1" pivotButton="0" quotePrefix="0" xfId="0">
      <alignment horizontal="center"/>
    </xf>
    <xf numFmtId="0" fontId="1" fillId="3" borderId="2" pivotButton="0" quotePrefix="0" xfId="0"/>
    <xf numFmtId="0" fontId="1" fillId="3" borderId="3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1" fillId="3" borderId="5" pivotButton="0" quotePrefix="0" xfId="0"/>
    <xf numFmtId="0" fontId="1" fillId="3" borderId="6" pivotButton="0" quotePrefix="0" xfId="0"/>
    <xf numFmtId="0" fontId="1" fillId="3" borderId="5" applyAlignment="1" pivotButton="0" quotePrefix="0" xfId="0">
      <alignment horizontal="center"/>
    </xf>
    <xf numFmtId="0" fontId="1" fillId="3" borderId="7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2" fillId="4" borderId="1" applyAlignment="1" pivotButton="0" quotePrefix="0" xfId="0">
      <alignment horizontal="left"/>
    </xf>
    <xf numFmtId="0" fontId="1" fillId="4" borderId="1" applyAlignment="1" pivotButton="0" quotePrefix="0" xfId="0">
      <alignment horizontal="left"/>
    </xf>
    <xf numFmtId="0" fontId="9" fillId="0" borderId="1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2" fillId="2" borderId="1" applyAlignment="1" pivotButton="0" quotePrefix="0" xfId="0">
      <alignment horizontal="left"/>
    </xf>
    <xf numFmtId="0" fontId="1" fillId="2" borderId="1" applyAlignment="1" pivotButton="0" quotePrefix="0" xfId="0">
      <alignment horizontal="left"/>
    </xf>
    <xf numFmtId="0" fontId="1" fillId="5" borderId="0" applyAlignment="1" pivotButton="0" quotePrefix="0" xfId="0">
      <alignment horizontal="left"/>
    </xf>
    <xf numFmtId="0" fontId="1" fillId="5" borderId="0" applyAlignment="1" pivotButton="0" quotePrefix="0" xfId="0">
      <alignment horizontal="left" indent="2"/>
    </xf>
    <xf numFmtId="0" fontId="2" fillId="5" borderId="0" applyAlignment="1" pivotButton="0" quotePrefix="0" xfId="0">
      <alignment horizontal="left"/>
    </xf>
    <xf numFmtId="0" fontId="9" fillId="6" borderId="1" applyAlignment="1" pivotButton="0" quotePrefix="0" xfId="0">
      <alignment wrapText="1"/>
    </xf>
    <xf numFmtId="0" fontId="12" fillId="6" borderId="1" applyAlignment="1" pivotButton="0" quotePrefix="0" xfId="0">
      <alignment wrapText="1"/>
    </xf>
    <xf numFmtId="0" fontId="13" fillId="6" borderId="1" applyAlignment="1" pivotButton="0" quotePrefix="0" xfId="0">
      <alignment wrapText="1"/>
    </xf>
    <xf numFmtId="0" fontId="0" fillId="0" borderId="9" pivotButton="0" quotePrefix="0" xfId="0"/>
    <xf numFmtId="0" fontId="1" fillId="0" borderId="2" applyAlignment="1" pivotButton="0" quotePrefix="0" xfId="0">
      <alignment horizontal="center"/>
    </xf>
    <xf numFmtId="0" fontId="0" fillId="0" borderId="2" pivotButton="0" quotePrefix="0" xfId="0"/>
    <xf numFmtId="9" fontId="1" fillId="0" borderId="1" applyAlignment="1" pivotButton="0" quotePrefix="0" xfId="1">
      <alignment horizontal="center"/>
    </xf>
    <xf numFmtId="164" fontId="0" fillId="0" borderId="1" pivotButton="0" quotePrefix="0" xfId="0"/>
    <xf numFmtId="0" fontId="3" fillId="0" borderId="0" pivotButton="0" quotePrefix="0" xfId="0"/>
    <xf numFmtId="0" fontId="3" fillId="0" borderId="1" pivotButton="0" quotePrefix="0" xfId="0"/>
    <xf numFmtId="0" fontId="3" fillId="0" borderId="1" applyAlignment="1" pivotButton="0" quotePrefix="0" xfId="0">
      <alignment horizontal="right"/>
    </xf>
    <xf numFmtId="16" fontId="3" fillId="0" borderId="1" pivotButton="0" quotePrefix="0" xfId="0"/>
    <xf numFmtId="1" fontId="0" fillId="0" borderId="1" pivotButton="0" quotePrefix="0" xfId="0"/>
    <xf numFmtId="0" fontId="17" fillId="0" borderId="0" pivotButton="0" quotePrefix="0" xfId="0"/>
    <xf numFmtId="16" fontId="19" fillId="7" borderId="1" pivotButton="0" quotePrefix="0" xfId="0"/>
    <xf numFmtId="0" fontId="20" fillId="7" borderId="1" applyAlignment="1" pivotButton="0" quotePrefix="0" xfId="0">
      <alignment horizontal="center"/>
    </xf>
    <xf numFmtId="0" fontId="20" fillId="9" borderId="1" applyAlignment="1" pivotButton="0" quotePrefix="0" xfId="0">
      <alignment horizontal="center"/>
    </xf>
    <xf numFmtId="9" fontId="0" fillId="0" borderId="1" pivotButton="0" quotePrefix="0" xfId="0"/>
    <xf numFmtId="0" fontId="3" fillId="0" borderId="1" applyAlignment="1" pivotButton="0" quotePrefix="0" xfId="0">
      <alignment horizontal="left"/>
    </xf>
    <xf numFmtId="0" fontId="18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right"/>
    </xf>
    <xf numFmtId="164" fontId="1" fillId="8" borderId="1" pivotButton="0" quotePrefix="0" xfId="0"/>
    <xf numFmtId="0" fontId="2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3" borderId="1" applyAlignment="1" pivotButton="0" quotePrefix="0" xfId="0">
      <alignment horizontal="left"/>
    </xf>
    <xf numFmtId="0" fontId="19" fillId="7" borderId="1" applyAlignment="1" pivotButton="0" quotePrefix="0" xfId="0">
      <alignment horizontal="center"/>
    </xf>
    <xf numFmtId="0" fontId="19" fillId="9" borderId="1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4" fillId="0" borderId="10" applyAlignment="1" pivotButton="0" quotePrefix="0" xfId="0">
      <alignment horizontal="center"/>
    </xf>
    <xf numFmtId="0" fontId="1" fillId="0" borderId="17" pivotButton="0" quotePrefix="0" xfId="0"/>
    <xf numFmtId="0" fontId="0" fillId="0" borderId="11" pivotButton="0" quotePrefix="0" xfId="0"/>
    <xf numFmtId="0" fontId="2" fillId="0" borderId="18" applyAlignment="1" pivotButton="0" quotePrefix="0" xfId="0">
      <alignment horizontal="center"/>
    </xf>
    <xf numFmtId="0" fontId="2" fillId="0" borderId="19" applyAlignment="1" pivotButton="0" quotePrefix="0" xfId="0">
      <alignment horizontal="center"/>
    </xf>
    <xf numFmtId="0" fontId="2" fillId="0" borderId="12" applyAlignment="1" pivotButton="0" quotePrefix="0" xfId="0">
      <alignment horizontal="center"/>
    </xf>
    <xf numFmtId="0" fontId="1" fillId="0" borderId="15" pivotButton="0" quotePrefix="0" xfId="0"/>
    <xf numFmtId="9" fontId="1" fillId="0" borderId="16" applyAlignment="1" pivotButton="0" quotePrefix="0" xfId="1">
      <alignment horizontal="center"/>
    </xf>
    <xf numFmtId="9" fontId="1" fillId="3" borderId="16" applyAlignment="1" pivotButton="0" quotePrefix="0" xfId="1">
      <alignment horizontal="center"/>
    </xf>
    <xf numFmtId="0" fontId="1" fillId="0" borderId="13" pivotButton="0" quotePrefix="0" xfId="0"/>
    <xf numFmtId="0" fontId="1" fillId="3" borderId="20" applyAlignment="1" pivotButton="0" quotePrefix="0" xfId="0">
      <alignment horizontal="left"/>
    </xf>
    <xf numFmtId="0" fontId="1" fillId="3" borderId="20" applyAlignment="1" pivotButton="0" quotePrefix="0" xfId="0">
      <alignment horizontal="center"/>
    </xf>
    <xf numFmtId="0" fontId="0" fillId="3" borderId="21" pivotButton="0" quotePrefix="0" xfId="0"/>
    <xf numFmtId="9" fontId="1" fillId="0" borderId="14" applyAlignment="1" pivotButton="0" quotePrefix="0" xfId="1">
      <alignment horizontal="center"/>
    </xf>
    <xf numFmtId="0" fontId="1" fillId="3" borderId="2" applyAlignment="1" pivotButton="0" quotePrefix="0" xfId="0">
      <alignment horizontal="center"/>
    </xf>
    <xf numFmtId="0" fontId="0" fillId="3" borderId="2" pivotButton="0" quotePrefix="0" xfId="0"/>
    <xf numFmtId="0" fontId="19" fillId="10" borderId="1" applyAlignment="1" pivotButton="0" quotePrefix="0" xfId="0">
      <alignment horizontal="center"/>
    </xf>
    <xf numFmtId="0" fontId="21" fillId="7" borderId="1" applyAlignment="1" pivotButton="0" quotePrefix="0" xfId="0">
      <alignment horizontal="center"/>
    </xf>
    <xf numFmtId="0" fontId="21" fillId="10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1" fillId="2" borderId="15" pivotButton="0" quotePrefix="0" xfId="0"/>
    <xf numFmtId="0" fontId="2" fillId="2" borderId="1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1" fillId="2" borderId="2" applyAlignment="1" pivotButton="0" quotePrefix="0" xfId="0">
      <alignment horizontal="center"/>
    </xf>
    <xf numFmtId="9" fontId="1" fillId="2" borderId="16" applyAlignment="1" pivotButton="0" quotePrefix="0" xfId="1">
      <alignment horizontal="center"/>
    </xf>
    <xf numFmtId="0" fontId="1" fillId="11" borderId="15" pivotButton="0" quotePrefix="0" xfId="0"/>
    <xf numFmtId="0" fontId="2" fillId="11" borderId="1" applyAlignment="1" pivotButton="0" quotePrefix="0" xfId="0">
      <alignment horizontal="left"/>
    </xf>
    <xf numFmtId="0" fontId="2" fillId="11" borderId="1" applyAlignment="1" pivotButton="0" quotePrefix="0" xfId="0">
      <alignment horizontal="center"/>
    </xf>
    <xf numFmtId="0" fontId="1" fillId="11" borderId="1" applyAlignment="1" pivotButton="0" quotePrefix="0" xfId="0">
      <alignment horizontal="center"/>
    </xf>
    <xf numFmtId="0" fontId="1" fillId="11" borderId="2" applyAlignment="1" pivotButton="0" quotePrefix="0" xfId="0">
      <alignment horizontal="center"/>
    </xf>
    <xf numFmtId="9" fontId="1" fillId="11" borderId="16" applyAlignment="1" pivotButton="0" quotePrefix="0" xfId="1">
      <alignment horizontal="center"/>
    </xf>
    <xf numFmtId="0" fontId="1" fillId="12" borderId="15" pivotButton="0" quotePrefix="0" xfId="0"/>
    <xf numFmtId="0" fontId="2" fillId="12" borderId="1" applyAlignment="1" pivotButton="0" quotePrefix="0" xfId="0">
      <alignment horizontal="left"/>
    </xf>
    <xf numFmtId="0" fontId="2" fillId="12" borderId="1" applyAlignment="1" pivotButton="0" quotePrefix="0" xfId="0">
      <alignment horizontal="center"/>
    </xf>
    <xf numFmtId="0" fontId="1" fillId="12" borderId="1" applyAlignment="1" pivotButton="0" quotePrefix="0" xfId="0">
      <alignment horizontal="center"/>
    </xf>
    <xf numFmtId="0" fontId="1" fillId="12" borderId="2" applyAlignment="1" pivotButton="0" quotePrefix="0" xfId="0">
      <alignment horizontal="center"/>
    </xf>
    <xf numFmtId="9" fontId="1" fillId="12" borderId="16" applyAlignment="1" pivotButton="0" quotePrefix="0" xfId="1">
      <alignment horizontal="center"/>
    </xf>
    <xf numFmtId="0" fontId="22" fillId="0" borderId="0" pivotButton="0" quotePrefix="0" xfId="0"/>
    <xf numFmtId="0" fontId="22" fillId="0" borderId="0" applyAlignment="1" pivotButton="0" quotePrefix="0" xfId="0">
      <alignment horizontal="center"/>
    </xf>
    <xf numFmtId="0" fontId="8" fillId="0" borderId="0" pivotButton="0" quotePrefix="0" xfId="0"/>
    <xf numFmtId="164" fontId="2" fillId="3" borderId="1" pivotButton="0" quotePrefix="0" xfId="0"/>
    <xf numFmtId="0" fontId="1" fillId="0" borderId="0" pivotButton="0" quotePrefix="0" xfId="0"/>
    <xf numFmtId="0" fontId="2" fillId="0" borderId="0" applyAlignment="1" pivotButton="0" quotePrefix="0" xfId="0">
      <alignment horizontal="center"/>
    </xf>
    <xf numFmtId="0" fontId="0" fillId="0" borderId="0" pivotButton="0" quotePrefix="0" xfId="0"/>
    <xf numFmtId="164" fontId="0" fillId="0" borderId="0" pivotButton="0" quotePrefix="0" xfId="0"/>
    <xf numFmtId="0" fontId="9" fillId="6" borderId="1" applyAlignment="1" pivotButton="0" quotePrefix="0" xfId="0">
      <alignment horizontal="left" wrapText="1"/>
    </xf>
    <xf numFmtId="0" fontId="8" fillId="0" borderId="4" applyAlignment="1" pivotButton="0" quotePrefix="0" xfId="0">
      <alignment horizontal="center" wrapText="1"/>
    </xf>
    <xf numFmtId="0" fontId="9" fillId="6" borderId="2" applyAlignment="1" pivotButton="0" quotePrefix="0" xfId="0">
      <alignment horizontal="left" wrapText="1"/>
    </xf>
    <xf numFmtId="0" fontId="9" fillId="6" borderId="8" applyAlignment="1" pivotButton="0" quotePrefix="0" xfId="0">
      <alignment horizontal="left" wrapText="1"/>
    </xf>
    <xf numFmtId="0" fontId="9" fillId="6" borderId="3" applyAlignment="1" pivotButton="0" quotePrefix="0" xfId="0">
      <alignment horizontal="left" wrapText="1"/>
    </xf>
    <xf numFmtId="0" fontId="9" fillId="0" borderId="2" applyAlignment="1" pivotButton="0" quotePrefix="0" xfId="0">
      <alignment horizontal="left" wrapText="1"/>
    </xf>
    <xf numFmtId="0" fontId="9" fillId="0" borderId="8" applyAlignment="1" pivotButton="0" quotePrefix="0" xfId="0">
      <alignment horizontal="left" wrapText="1"/>
    </xf>
    <xf numFmtId="0" fontId="9" fillId="0" borderId="3" applyAlignment="1" pivotButton="0" quotePrefix="0" xfId="0">
      <alignment horizontal="left" wrapText="1"/>
    </xf>
    <xf numFmtId="0" fontId="9" fillId="0" borderId="1" applyAlignment="1" pivotButton="0" quotePrefix="0" xfId="0">
      <alignment horizontal="left" wrapText="1"/>
    </xf>
    <xf numFmtId="0" fontId="9" fillId="0" borderId="2" applyAlignment="1" pivotButton="0" quotePrefix="0" xfId="0">
      <alignment horizontal="left" vertical="top" wrapText="1"/>
    </xf>
    <xf numFmtId="0" fontId="9" fillId="0" borderId="8" applyAlignment="1" pivotButton="0" quotePrefix="0" xfId="0">
      <alignment horizontal="left" vertical="top" wrapText="1"/>
    </xf>
    <xf numFmtId="0" fontId="9" fillId="0" borderId="3" applyAlignment="1" pivotButton="0" quotePrefix="0" xfId="0">
      <alignment horizontal="left" vertical="top" wrapText="1"/>
    </xf>
    <xf numFmtId="0" fontId="2" fillId="0" borderId="4" applyAlignment="1" pivotButton="0" quotePrefix="0" xfId="0">
      <alignment horizontal="center"/>
    </xf>
    <xf numFmtId="0" fontId="15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0" fontId="2" fillId="0" borderId="2" applyAlignment="1" pivotButton="0" quotePrefix="0" xfId="0">
      <alignment horizontal="center"/>
    </xf>
    <xf numFmtId="0" fontId="2" fillId="0" borderId="3" applyAlignment="1" pivotButton="0" quotePrefix="0" xfId="0">
      <alignment horizontal="center"/>
    </xf>
    <xf numFmtId="0" fontId="5" fillId="2" borderId="6" applyAlignment="1" pivotButton="0" quotePrefix="0" xfId="0">
      <alignment horizontal="center" vertical="center"/>
    </xf>
    <xf numFmtId="0" fontId="5" fillId="2" borderId="22" applyAlignment="1" pivotButton="0" quotePrefix="0" xfId="0">
      <alignment horizontal="center" vertical="center"/>
    </xf>
    <xf numFmtId="0" fontId="5" fillId="2" borderId="7" applyAlignment="1" pivotButton="0" quotePrefix="0" xfId="0">
      <alignment horizontal="center" vertical="center"/>
    </xf>
    <xf numFmtId="0" fontId="5" fillId="2" borderId="23" applyAlignment="1" pivotButton="0" quotePrefix="0" xfId="0">
      <alignment horizontal="center" vertical="center"/>
    </xf>
    <xf numFmtId="0" fontId="5" fillId="2" borderId="4" applyAlignment="1" pivotButton="0" quotePrefix="0" xfId="0">
      <alignment horizontal="center" vertical="center"/>
    </xf>
    <xf numFmtId="0" fontId="5" fillId="2" borderId="24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horizontal="center"/>
    </xf>
    <xf numFmtId="165" fontId="19" fillId="7" borderId="1" applyAlignment="1" pivotButton="0" quotePrefix="0" xfId="0">
      <alignment horizontal="center"/>
    </xf>
    <xf numFmtId="0" fontId="0" fillId="0" borderId="4" pivotButton="0" quotePrefix="0" xfId="0"/>
    <xf numFmtId="0" fontId="0" fillId="0" borderId="8" pivotButton="0" quotePrefix="0" xfId="0"/>
    <xf numFmtId="0" fontId="0" fillId="0" borderId="3" pivotButton="0" quotePrefix="0" xfId="0"/>
    <xf numFmtId="0" fontId="9" fillId="0" borderId="1" applyAlignment="1" pivotButton="0" quotePrefix="0" xfId="0">
      <alignment horizontal="left" vertical="top" wrapText="1"/>
    </xf>
    <xf numFmtId="0" fontId="0" fillId="0" borderId="17" pivotButton="0" quotePrefix="0" xfId="0"/>
    <xf numFmtId="0" fontId="5" fillId="2" borderId="1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7" pivotButton="0" quotePrefix="0" xfId="0"/>
    <xf numFmtId="0" fontId="0" fillId="0" borderId="23" pivotButton="0" quotePrefix="0" xfId="0"/>
    <xf numFmtId="0" fontId="0" fillId="0" borderId="24" pivotButton="0" quotePrefix="0" xfId="0"/>
  </cellXfs>
  <cellStyles count="2">
    <cellStyle name="Normal" xfId="0" builtinId="0"/>
    <cellStyle name="Percent" xfId="1" builtinId="5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 val="1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Deepesh Shrestha</author>
  </authors>
  <commentList>
    <comment ref="AB2" authorId="0" shapeId="0">
      <text>
        <t>Deepesh Shrestha:
Net Point Difference</t>
      </text>
    </comment>
    <comment ref="AC2" authorId="0" shapeId="0">
      <text>
        <t>Deepesh Shrestha:
Non-Attendance Penalty</t>
      </text>
    </comment>
    <comment ref="R3" authorId="0" shapeId="0">
      <text>
        <t>Deepesh Shrestha:
Unique Match ID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3">
    <outlinePr summaryBelow="1" summaryRight="1"/>
    <pageSetUpPr/>
  </sheetPr>
  <dimension ref="A1:F21"/>
  <sheetViews>
    <sheetView zoomScale="90" zoomScaleNormal="90" workbookViewId="0">
      <selection activeCell="A2" sqref="A2"/>
    </sheetView>
  </sheetViews>
  <sheetFormatPr baseColWidth="8" defaultRowHeight="12.75"/>
  <cols>
    <col width="5.28515625" bestFit="1" customWidth="1" style="29" min="1" max="1"/>
    <col width="4.85546875" customWidth="1" style="29" min="2" max="2"/>
    <col width="54" customWidth="1" style="29" min="3" max="3"/>
    <col width="4.28515625" customWidth="1" style="29" min="4" max="4"/>
    <col width="48.85546875" customWidth="1" style="29" min="5" max="5"/>
    <col width="48.28515625" customWidth="1" style="29" min="6" max="6"/>
  </cols>
  <sheetData>
    <row r="1" ht="26.25" customHeight="1" s="106">
      <c r="A1" s="109" t="inlineStr">
        <is>
          <t>MATCH RULES - HHB PREMIER RANKING LEAGUE</t>
        </is>
      </c>
      <c r="B1" s="134" t="n"/>
      <c r="C1" s="134" t="n"/>
      <c r="D1" s="134" t="n"/>
      <c r="E1" s="134" t="n"/>
      <c r="F1" s="134" t="n"/>
    </row>
    <row r="2" ht="22.5" customHeight="1" s="106">
      <c r="A2" s="35" t="n">
        <v>1</v>
      </c>
      <c r="B2" s="108" t="inlineStr">
        <is>
          <t>All participants will be split into Group A (Tier 1) and Group B (Tier 2)</t>
        </is>
      </c>
      <c r="C2" s="135" t="n"/>
      <c r="D2" s="135" t="n"/>
      <c r="E2" s="135" t="n"/>
      <c r="F2" s="136" t="n"/>
    </row>
    <row r="3" ht="54" customHeight="1" s="106">
      <c r="A3" s="35" t="n">
        <v>2</v>
      </c>
      <c r="B3" s="108" t="inlineStr">
        <is>
          <t>The committee can decide which players go into Group A and Group B this time but next season onwards it will be based on rankings of the last season.</t>
        </is>
      </c>
      <c r="C3" s="135" t="n"/>
      <c r="D3" s="135" t="n"/>
      <c r="E3" s="135" t="n"/>
      <c r="F3" s="136" t="n"/>
    </row>
    <row r="4" ht="74.25" customHeight="1" s="106">
      <c r="A4" s="35" t="n">
        <v>3</v>
      </c>
      <c r="B4" s="108" t="inlineStr">
        <is>
          <t xml:space="preserve">For any match to be official and recorded either all 
      Option X: Both teams should have a combination of  a player from Group A and B each.
OR Option Y: All 4 players must be from same group </t>
        </is>
      </c>
      <c r="C4" s="135" t="n"/>
      <c r="D4" s="135" t="n"/>
      <c r="E4" s="135" t="n"/>
      <c r="F4" s="136" t="n"/>
    </row>
    <row r="5" ht="20.25" customHeight="1" s="106">
      <c r="A5" s="35" t="n">
        <v>4</v>
      </c>
      <c r="B5" s="108" t="inlineStr">
        <is>
          <t>Only the following matches will be official and will be recorded:</t>
        </is>
      </c>
      <c r="C5" s="135" t="n"/>
      <c r="D5" s="135" t="n"/>
      <c r="E5" s="135" t="n"/>
      <c r="F5" s="136" t="n"/>
    </row>
    <row r="6" ht="21.75" customHeight="1" s="106">
      <c r="A6" s="35" t="n"/>
      <c r="B6" s="35" t="n">
        <v>1</v>
      </c>
      <c r="C6" s="35" t="inlineStr">
        <is>
          <t xml:space="preserve">Team A player + Team B Player </t>
        </is>
      </c>
      <c r="D6" s="35" t="inlineStr">
        <is>
          <t>vs</t>
        </is>
      </c>
      <c r="E6" s="35" t="inlineStr">
        <is>
          <t>Team A player + Team B player</t>
        </is>
      </c>
      <c r="F6" s="36" t="inlineStr">
        <is>
          <t>Valid (Option X)</t>
        </is>
      </c>
    </row>
    <row r="7" ht="21.75" customHeight="1" s="106">
      <c r="A7" s="35" t="n"/>
      <c r="B7" s="35" t="n">
        <v>2</v>
      </c>
      <c r="C7" s="35" t="inlineStr">
        <is>
          <t>Team A player + Team A Player</t>
        </is>
      </c>
      <c r="D7" s="35" t="inlineStr">
        <is>
          <t>vs</t>
        </is>
      </c>
      <c r="E7" s="35" t="inlineStr">
        <is>
          <t>Team A player + Team A player</t>
        </is>
      </c>
      <c r="F7" s="36" t="inlineStr">
        <is>
          <t>Valid (Option Y)</t>
        </is>
      </c>
    </row>
    <row r="8" ht="21.75" customHeight="1" s="106">
      <c r="A8" s="35" t="n"/>
      <c r="B8" s="35" t="n">
        <v>3</v>
      </c>
      <c r="C8" s="35" t="inlineStr">
        <is>
          <t>Team B player + Team B Player</t>
        </is>
      </c>
      <c r="D8" s="35" t="inlineStr">
        <is>
          <t>vs</t>
        </is>
      </c>
      <c r="E8" s="35" t="inlineStr">
        <is>
          <t>Team B player + Team B player</t>
        </is>
      </c>
      <c r="F8" s="36" t="inlineStr">
        <is>
          <t>Valid (Option Y)</t>
        </is>
      </c>
    </row>
    <row r="9" ht="23.25" customHeight="1" s="106">
      <c r="A9" s="35" t="n">
        <v>5</v>
      </c>
      <c r="B9" s="108" t="inlineStr">
        <is>
          <t>The following matches are invalid and will not be counted as official</t>
        </is>
      </c>
      <c r="C9" s="135" t="n"/>
      <c r="D9" s="135" t="n"/>
      <c r="E9" s="136" t="n"/>
      <c r="F9" s="35" t="n"/>
    </row>
    <row r="10" ht="21.75" customHeight="1" s="106">
      <c r="A10" s="35" t="n"/>
      <c r="B10" s="35" t="n">
        <v>1</v>
      </c>
      <c r="C10" s="35" t="inlineStr">
        <is>
          <t>Team A player + Team A Player</t>
        </is>
      </c>
      <c r="D10" s="35" t="inlineStr">
        <is>
          <t>vs</t>
        </is>
      </c>
      <c r="E10" s="35" t="inlineStr">
        <is>
          <t>Team B player + Team B player</t>
        </is>
      </c>
      <c r="F10" s="37" t="inlineStr">
        <is>
          <t>Invalid</t>
        </is>
      </c>
    </row>
    <row r="11" ht="21.75" customHeight="1" s="106">
      <c r="A11" s="35" t="n"/>
      <c r="B11" s="35" t="n">
        <v>2</v>
      </c>
      <c r="C11" s="35" t="inlineStr">
        <is>
          <t>Team A player + Team A Player</t>
        </is>
      </c>
      <c r="D11" s="35" t="inlineStr">
        <is>
          <t>vs</t>
        </is>
      </c>
      <c r="E11" s="35" t="inlineStr">
        <is>
          <t>Team A player + Team B player</t>
        </is>
      </c>
      <c r="F11" s="37" t="inlineStr">
        <is>
          <t>Invalid ??</t>
        </is>
      </c>
    </row>
    <row r="12" ht="21.75" customHeight="1" s="106">
      <c r="A12" s="35" t="n"/>
      <c r="B12" s="35" t="n">
        <v>3</v>
      </c>
      <c r="C12" s="35" t="inlineStr">
        <is>
          <t xml:space="preserve">Team A player + Team B Player </t>
        </is>
      </c>
      <c r="D12" s="35" t="inlineStr">
        <is>
          <t>vs</t>
        </is>
      </c>
      <c r="E12" s="35" t="inlineStr">
        <is>
          <t>Team B player + Team B player</t>
        </is>
      </c>
      <c r="F12" s="37" t="inlineStr">
        <is>
          <t>Invalid ??</t>
        </is>
      </c>
    </row>
    <row r="13" ht="23.25" customHeight="1" s="106">
      <c r="A13" s="35" t="n">
        <v>6</v>
      </c>
      <c r="B13" s="108" t="inlineStr">
        <is>
          <t>If we assume 8 players in each group then basically each player has 8 partnering options via Option X.</t>
        </is>
      </c>
      <c r="C13" s="135" t="n"/>
      <c r="D13" s="135" t="n"/>
      <c r="E13" s="135" t="n"/>
      <c r="F13" s="136" t="n"/>
    </row>
    <row r="14" ht="23.25" customHeight="1" s="106">
      <c r="A14" s="35" t="n">
        <v>7</v>
      </c>
      <c r="B14" s="108" t="inlineStr">
        <is>
          <t>With each partner he can play a total of 49 (7x7) unique opponents via Option X.</t>
        </is>
      </c>
      <c r="C14" s="135" t="n"/>
      <c r="D14" s="135" t="n"/>
      <c r="E14" s="135" t="n"/>
      <c r="F14" s="136" t="n"/>
    </row>
    <row r="15" ht="23.25" customHeight="1" s="106">
      <c r="A15" s="35" t="n">
        <v>8</v>
      </c>
      <c r="B15" s="108" t="inlineStr">
        <is>
          <t>If we assume 8 players in each group then basically each player has 7 partnering options via Option Y.</t>
        </is>
      </c>
      <c r="C15" s="135" t="n"/>
      <c r="D15" s="135" t="n"/>
      <c r="E15" s="135" t="n"/>
      <c r="F15" s="136" t="n"/>
    </row>
    <row r="16" ht="23.25" customHeight="1" s="106">
      <c r="A16" s="35" t="n">
        <v>9</v>
      </c>
      <c r="B16" s="108" t="inlineStr">
        <is>
          <t>With each partner he can play a total of 15 (6 combination 2) via Option Y.</t>
        </is>
      </c>
      <c r="C16" s="135" t="n"/>
      <c r="D16" s="135" t="n"/>
      <c r="E16" s="135" t="n"/>
      <c r="F16" s="136" t="n"/>
    </row>
    <row r="17" ht="23.25" customHeight="1" s="106">
      <c r="A17" s="35" t="n">
        <v>10</v>
      </c>
      <c r="B17" s="108" t="inlineStr">
        <is>
          <t>A player can play a total of 392(49*8) unique Option X matches.</t>
        </is>
      </c>
      <c r="C17" s="135" t="n"/>
      <c r="D17" s="135" t="n"/>
      <c r="E17" s="135" t="n"/>
      <c r="F17" s="136" t="n"/>
    </row>
    <row r="18" ht="23.25" customHeight="1" s="106">
      <c r="A18" s="35" t="n">
        <v>11</v>
      </c>
      <c r="B18" s="108" t="inlineStr">
        <is>
          <t>A player can play a total of 135(15x7) unique Option Y matches.</t>
        </is>
      </c>
      <c r="C18" s="135" t="n"/>
      <c r="D18" s="135" t="n"/>
      <c r="E18" s="135" t="n"/>
      <c r="F18" s="136" t="n"/>
    </row>
    <row r="19" ht="23.25" customHeight="1" s="106">
      <c r="A19" s="35" t="n">
        <v>12</v>
      </c>
      <c r="B19" s="108" t="inlineStr">
        <is>
          <t>So one player can play a total of 527 unique matches (enough for lifetime, leave alone a season !)</t>
        </is>
      </c>
      <c r="C19" s="135" t="n"/>
      <c r="D19" s="135" t="n"/>
      <c r="E19" s="135" t="n"/>
      <c r="F19" s="136" t="n"/>
    </row>
    <row r="20" ht="23.25" customHeight="1" s="106">
      <c r="A20" s="35" t="n">
        <v>13</v>
      </c>
      <c r="B20" s="108" t="inlineStr">
        <is>
          <t>Point here is that there is ENOUGH to choose from and every match can be very easily unique.</t>
        </is>
      </c>
      <c r="C20" s="135" t="n"/>
      <c r="D20" s="135" t="n"/>
      <c r="E20" s="135" t="n"/>
      <c r="F20" s="136" t="n"/>
    </row>
    <row r="21" ht="20.25" customHeight="1" s="106">
      <c r="A21" s="35" t="n">
        <v>14</v>
      </c>
      <c r="B21" s="108" t="inlineStr">
        <is>
          <t>No duplicate match will be recorded in a season with the same set of 4 players.</t>
        </is>
      </c>
      <c r="C21" s="135" t="n"/>
      <c r="D21" s="135" t="n"/>
      <c r="E21" s="135" t="n"/>
      <c r="F21" s="136" t="n"/>
    </row>
    <row r="22" ht="39" customHeight="1" s="106"/>
    <row r="23" ht="20.25" customHeight="1" s="106"/>
    <row r="24" ht="20.25" customHeight="1" s="106"/>
    <row r="25" ht="20.25" customHeight="1" s="106"/>
    <row r="28" ht="42" customHeight="1" s="106"/>
    <row r="32" ht="39.75" customHeight="1" s="106"/>
    <row r="33" ht="33" customHeight="1" s="106"/>
    <row r="34" s="106"/>
    <row r="35" s="106"/>
    <row r="36" s="106"/>
    <row r="37" s="106"/>
    <row r="38" s="106"/>
    <row r="39" s="106"/>
    <row r="40" s="106"/>
    <row r="41" s="106"/>
    <row r="42" s="106"/>
  </sheetData>
  <mergeCells count="15">
    <mergeCell ref="B21:F21"/>
    <mergeCell ref="B4:F4"/>
    <mergeCell ref="B9:E9"/>
    <mergeCell ref="B16:F16"/>
    <mergeCell ref="B20:F20"/>
    <mergeCell ref="B15:F15"/>
    <mergeCell ref="B2:F2"/>
    <mergeCell ref="A1:F1"/>
    <mergeCell ref="B3:F3"/>
    <mergeCell ref="B19:F19"/>
    <mergeCell ref="B5:F5"/>
    <mergeCell ref="B14:F14"/>
    <mergeCell ref="B17:F17"/>
    <mergeCell ref="B18:F18"/>
    <mergeCell ref="B13:F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F19"/>
  <sheetViews>
    <sheetView tabSelected="1" zoomScale="85" zoomScaleNormal="85" workbookViewId="0">
      <selection activeCell="I10" sqref="I10"/>
    </sheetView>
  </sheetViews>
  <sheetFormatPr baseColWidth="8" defaultRowHeight="12.75"/>
  <cols>
    <col width="5.28515625" bestFit="1" customWidth="1" style="106" min="1" max="1"/>
    <col width="39.28515625" customWidth="1" style="106" min="3" max="3"/>
    <col width="31.85546875" customWidth="1" style="106" min="5" max="5"/>
    <col width="63.28515625" customWidth="1" style="106" min="6" max="6"/>
  </cols>
  <sheetData>
    <row r="1" ht="26.25" customHeight="1" s="106">
      <c r="A1" s="109" t="inlineStr">
        <is>
          <t>HHB ANNUAL PLAYERS LEAGUE - 2026</t>
        </is>
      </c>
      <c r="B1" s="134" t="n"/>
      <c r="C1" s="134" t="n"/>
      <c r="D1" s="134" t="n"/>
      <c r="E1" s="134" t="n"/>
      <c r="F1" s="134" t="n"/>
    </row>
    <row r="2" ht="23.25" customHeight="1" s="106">
      <c r="A2" s="28" t="n">
        <v>1</v>
      </c>
      <c r="B2" s="116" t="inlineStr">
        <is>
          <t>Season lasts for 10 weeks starting 6th Sep, Sunday with a break for 2 Sundays(11 and 18) during Oct Holidays</t>
        </is>
      </c>
      <c r="C2" s="135" t="n"/>
      <c r="D2" s="135" t="n"/>
      <c r="E2" s="135" t="n"/>
      <c r="F2" s="136" t="n"/>
    </row>
    <row r="3" ht="48" customHeight="1" s="106">
      <c r="A3" s="28" t="n">
        <v>2</v>
      </c>
      <c r="B3" s="116" t="inlineStr">
        <is>
          <t xml:space="preserve">Only matches played on Sundays are counted towards the League and they have to be played between 9 am to 11 am. </t>
        </is>
      </c>
      <c r="C3" s="135" t="n"/>
      <c r="D3" s="135" t="n"/>
      <c r="E3" s="135" t="n"/>
      <c r="F3" s="136" t="n"/>
    </row>
    <row r="4" ht="45.75" customHeight="1" s="106">
      <c r="A4" s="28" t="n">
        <v>3</v>
      </c>
      <c r="B4" s="116" t="inlineStr">
        <is>
          <t>The winning team should upload the score after every match for it to be considered to be registered for the league - https://www.hhbclub.co.uk/weekly-scores</t>
        </is>
      </c>
      <c r="C4" s="135" t="n"/>
      <c r="D4" s="135" t="n"/>
      <c r="E4" s="135" t="n"/>
      <c r="F4" s="136" t="n"/>
    </row>
    <row r="5" ht="23.25" customHeight="1" s="106">
      <c r="A5" s="28" t="n">
        <v>4</v>
      </c>
      <c r="B5" s="116" t="inlineStr">
        <is>
          <t>If you have connectivity issues in the Hall, you can note down your matches on your phone and upload them later once you have connectivity.</t>
        </is>
      </c>
      <c r="C5" s="135" t="n"/>
      <c r="D5" s="135" t="n"/>
      <c r="E5" s="135" t="n"/>
      <c r="F5" s="136" t="n"/>
    </row>
    <row r="6" ht="46.5" customHeight="1" s="106">
      <c r="A6" s="28" t="n">
        <v>5</v>
      </c>
      <c r="B6" s="116" t="inlineStr">
        <is>
          <t>Only scores reported on the same day will be considered and recorded.</t>
        </is>
      </c>
      <c r="C6" s="135" t="n"/>
      <c r="D6" s="135" t="n"/>
      <c r="E6" s="135" t="n"/>
      <c r="F6" s="136" t="n"/>
    </row>
    <row r="7" ht="23.25" customHeight="1" s="106">
      <c r="A7" s="28" t="n">
        <v>6</v>
      </c>
      <c r="B7" s="116" t="inlineStr">
        <is>
          <t xml:space="preserve">You can record only ONE win with a specific partner on a given Sunday. </t>
        </is>
      </c>
      <c r="C7" s="135" t="n"/>
      <c r="D7" s="135" t="n"/>
      <c r="E7" s="135" t="n"/>
      <c r="F7" s="136" t="n"/>
    </row>
    <row r="8" ht="44.25" customHeight="1" s="106">
      <c r="A8" s="28" t="n">
        <v>7</v>
      </c>
      <c r="B8" s="116" t="inlineStr">
        <is>
          <t>Please also report the Court number where the matches take place; this is only for data and analytics purposes. Court Number will have no bearing in the League Standings.</t>
        </is>
      </c>
      <c r="C8" s="135" t="n"/>
      <c r="D8" s="135" t="n"/>
      <c r="E8" s="135" t="n"/>
      <c r="F8" s="136" t="n"/>
    </row>
    <row r="9" ht="47.25" customHeight="1" s="106">
      <c r="A9" s="28" t="n">
        <v>8</v>
      </c>
      <c r="B9" s="137" t="inlineStr">
        <is>
          <t>Rankings will be based on number of WINS,then NPD and then WIN %.</t>
        </is>
      </c>
      <c r="C9" s="135" t="n"/>
      <c r="D9" s="135" t="n"/>
      <c r="E9" s="135" t="n"/>
      <c r="F9" s="136" t="n"/>
    </row>
    <row r="10" ht="23.25" customHeight="1" s="106">
      <c r="A10" s="28" t="n">
        <v>9</v>
      </c>
      <c r="B10" s="116" t="inlineStr">
        <is>
          <t>If players are tied on ALL three (extremely rare), then basically they can play a 'first to 10 points' singles game, to decide who comes on top at the end of the League ! [This is only required if a Top 3 position is at stake]</t>
        </is>
      </c>
      <c r="C10" s="135" t="n"/>
      <c r="D10" s="135" t="n"/>
      <c r="E10" s="135" t="n"/>
      <c r="F10" s="136" t="n"/>
    </row>
    <row r="11" ht="67.5" customHeight="1" s="106">
      <c r="A11" s="28" t="n">
        <v>10</v>
      </c>
      <c r="B11" s="116" t="inlineStr">
        <is>
          <t xml:space="preserve">All Matches will be only 1 game of 21 points. </t>
        </is>
      </c>
      <c r="C11" s="135" t="n"/>
      <c r="D11" s="135" t="n"/>
      <c r="E11" s="135" t="n"/>
      <c r="F11" s="136" t="n"/>
    </row>
    <row r="12" ht="23.25" customHeight="1" s="106">
      <c r="A12" s="28" t="n">
        <v>11</v>
      </c>
      <c r="B12" s="116" t="inlineStr">
        <is>
          <t>At 20 all, the side which gains a 1st point, wins that game. [Sudden Death]</t>
        </is>
      </c>
      <c r="C12" s="135" t="n"/>
      <c r="D12" s="135" t="n"/>
      <c r="E12" s="135" t="n"/>
      <c r="F12" s="136" t="n"/>
    </row>
    <row r="13" ht="27" customHeight="1" s="106">
      <c r="A13" s="28" t="n">
        <v>12</v>
      </c>
      <c r="B13" s="116" t="inlineStr">
        <is>
          <t>If sometimes matches are cut short by the buzzer and can't be played till 21 - then the team leading at buzzer wins automatically as long as they have scored a minimum of 15 points.</t>
        </is>
      </c>
      <c r="C13" s="135" t="n"/>
      <c r="D13" s="135" t="n"/>
      <c r="E13" s="135" t="n"/>
      <c r="F13" s="136" t="n"/>
    </row>
    <row r="14" ht="51.75" customHeight="1" s="106">
      <c r="A14" s="28" t="n">
        <v>13</v>
      </c>
      <c r="B14" s="116" t="inlineStr">
        <is>
          <t>If at buzzer - both teams are below 15 then that game is void and cannot be counted.</t>
        </is>
      </c>
      <c r="C14" s="135" t="n"/>
      <c r="D14" s="135" t="n"/>
      <c r="E14" s="135" t="n"/>
      <c r="F14" s="136" t="n"/>
    </row>
    <row r="15" ht="23.25" customHeight="1" s="106">
      <c r="A15" s="28" t="n">
        <v>14</v>
      </c>
      <c r="B15" s="116" t="inlineStr">
        <is>
          <t>If at buzzer - both teams are tied at same score e.g. 17-17; then they should play 1 last point to decide winner</t>
        </is>
      </c>
      <c r="C15" s="135" t="n"/>
      <c r="D15" s="135" t="n"/>
      <c r="E15" s="135" t="n"/>
      <c r="F15" s="136" t="n"/>
    </row>
    <row r="16" ht="48" customHeight="1" s="106">
      <c r="A16" s="28" t="n">
        <v>15</v>
      </c>
      <c r="B16" s="116" t="inlineStr">
        <is>
          <t>In case of injury, the team with injured player will forefeit the match. No official score will be recorded but a WIN will be awarded to the winning team.</t>
        </is>
      </c>
      <c r="C16" s="135" t="n"/>
      <c r="D16" s="135" t="n"/>
      <c r="E16" s="135" t="n"/>
      <c r="F16" s="136" t="n"/>
    </row>
    <row r="17" ht="23.25" customHeight="1" s="106">
      <c r="A17" s="28" t="n">
        <v>16</v>
      </c>
      <c r="B17" s="116" t="inlineStr">
        <is>
          <t>Trophies will be awarded to Top 3 players in the League.</t>
        </is>
      </c>
      <c r="C17" s="135" t="n"/>
      <c r="D17" s="135" t="n"/>
      <c r="E17" s="135" t="n"/>
      <c r="F17" s="136" t="n"/>
    </row>
    <row r="18" ht="23.25" customHeight="1" s="106">
      <c r="A18" s="28" t="n">
        <v>17</v>
      </c>
      <c r="B18" s="116" t="inlineStr">
        <is>
          <t>In case of any disputes - the decision of the HHB Selection Committee (Rukhsar, Deepak, Prasanna, Jalal, Deepesh, Thomas) will be final.</t>
        </is>
      </c>
      <c r="C18" s="135" t="n"/>
      <c r="D18" s="135" t="n"/>
      <c r="E18" s="135" t="n"/>
      <c r="F18" s="136" t="n"/>
    </row>
    <row r="19" ht="44.25" customHeight="1" s="106">
      <c r="A19" s="28" t="n"/>
      <c r="B19" s="116" t="n"/>
      <c r="C19" s="135" t="n"/>
      <c r="D19" s="135" t="n"/>
      <c r="E19" s="135" t="n"/>
      <c r="F19" s="136" t="n"/>
    </row>
  </sheetData>
  <mergeCells count="19">
    <mergeCell ref="B4:F4"/>
    <mergeCell ref="B7:F7"/>
    <mergeCell ref="B16:F16"/>
    <mergeCell ref="B3:F3"/>
    <mergeCell ref="B18:F18"/>
    <mergeCell ref="B12:F12"/>
    <mergeCell ref="B2:F2"/>
    <mergeCell ref="B11:F11"/>
    <mergeCell ref="B14:F14"/>
    <mergeCell ref="B8:F8"/>
    <mergeCell ref="B17:F17"/>
    <mergeCell ref="B13:F13"/>
    <mergeCell ref="B10:F10"/>
    <mergeCell ref="B19:F19"/>
    <mergeCell ref="B9:F9"/>
    <mergeCell ref="B6:F6"/>
    <mergeCell ref="B15:F15"/>
    <mergeCell ref="A1:F1"/>
    <mergeCell ref="B5:F5"/>
  </mergeCells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H11"/>
  <sheetViews>
    <sheetView workbookViewId="0">
      <selection activeCell="B8" sqref="B8"/>
    </sheetView>
  </sheetViews>
  <sheetFormatPr baseColWidth="8" defaultColWidth="9.140625" defaultRowHeight="20.25"/>
  <cols>
    <col width="4.7109375" bestFit="1" customWidth="1" style="104" min="1" max="1"/>
    <col width="18.140625" customWidth="1" style="1" min="2" max="2"/>
    <col width="4.42578125" customWidth="1" style="1" min="3" max="3"/>
    <col width="4.7109375" bestFit="1" customWidth="1" style="1" min="4" max="4"/>
    <col width="20.42578125" customWidth="1" style="1" min="5" max="5"/>
    <col width="5" customWidth="1" style="1" min="6" max="6"/>
    <col width="36" bestFit="1" customWidth="1" style="1" min="7" max="7"/>
    <col width="19.28515625" bestFit="1" customWidth="1" style="1" min="8" max="8"/>
    <col width="22.140625" customWidth="1" style="1" min="9" max="9"/>
    <col width="7.42578125" bestFit="1" customWidth="1" style="1" min="10" max="10"/>
    <col width="21.5703125" customWidth="1" style="1" min="11" max="11"/>
    <col width="21.85546875" bestFit="1" customWidth="1" style="1" min="12" max="12"/>
    <col width="9.140625" customWidth="1" style="1" min="13" max="16384"/>
  </cols>
  <sheetData>
    <row r="1">
      <c r="A1" s="2" t="n"/>
      <c r="B1" s="8" t="inlineStr">
        <is>
          <t>Group A</t>
        </is>
      </c>
      <c r="C1" s="34" t="n"/>
      <c r="D1" s="8" t="n"/>
      <c r="E1" s="8" t="inlineStr">
        <is>
          <t>Group B</t>
        </is>
      </c>
      <c r="F1" s="32" t="n"/>
      <c r="G1" s="120" t="inlineStr">
        <is>
          <t>Important Dates</t>
        </is>
      </c>
      <c r="H1" s="134" t="n"/>
    </row>
    <row r="2">
      <c r="A2" s="2" t="n">
        <v>1</v>
      </c>
      <c r="B2" s="27" t="inlineStr">
        <is>
          <t>Deepesh</t>
        </is>
      </c>
      <c r="C2" s="32" t="n"/>
      <c r="D2" s="6" t="n">
        <v>1</v>
      </c>
      <c r="E2" s="31" t="inlineStr">
        <is>
          <t>Nawaz</t>
        </is>
      </c>
      <c r="F2" s="32" t="n"/>
      <c r="G2" s="8" t="inlineStr">
        <is>
          <t>Season Kickoff</t>
        </is>
      </c>
      <c r="H2" s="9" t="n">
        <v>44598</v>
      </c>
    </row>
    <row r="3">
      <c r="A3" s="2" t="n">
        <v>2</v>
      </c>
      <c r="B3" s="27" t="inlineStr">
        <is>
          <t>Rukhsar</t>
        </is>
      </c>
      <c r="C3" s="32" t="n"/>
      <c r="D3" s="6" t="n">
        <v>2</v>
      </c>
      <c r="E3" s="31" t="inlineStr">
        <is>
          <t>Asim</t>
        </is>
      </c>
      <c r="F3" s="32" t="n"/>
      <c r="G3" s="8" t="inlineStr">
        <is>
          <t>Season End</t>
        </is>
      </c>
      <c r="H3" s="9">
        <f>H2+(30*7)</f>
        <v/>
      </c>
    </row>
    <row r="4">
      <c r="A4" s="2" t="n">
        <v>3</v>
      </c>
      <c r="B4" s="27" t="inlineStr">
        <is>
          <t>Faiyaz</t>
        </is>
      </c>
      <c r="C4" s="32" t="n"/>
      <c r="D4" s="6" t="n">
        <v>3</v>
      </c>
      <c r="E4" s="31" t="inlineStr">
        <is>
          <t>Vasu</t>
        </is>
      </c>
      <c r="F4" s="32" t="n"/>
      <c r="G4" s="8" t="inlineStr">
        <is>
          <t>Total Weeks</t>
        </is>
      </c>
      <c r="H4" s="13">
        <f>(H3-H2)/7</f>
        <v/>
      </c>
    </row>
    <row r="5">
      <c r="A5" s="2" t="n">
        <v>4</v>
      </c>
      <c r="B5" s="27" t="inlineStr">
        <is>
          <t>Santosh</t>
        </is>
      </c>
      <c r="C5" s="32" t="n"/>
      <c r="D5" s="6" t="n">
        <v>4</v>
      </c>
      <c r="E5" s="31" t="inlineStr">
        <is>
          <t>Samir</t>
        </is>
      </c>
      <c r="F5" s="32" t="n"/>
      <c r="G5" s="8" t="n"/>
      <c r="H5" s="9" t="n"/>
    </row>
    <row r="6">
      <c r="A6" s="2" t="n">
        <v>5</v>
      </c>
      <c r="B6" s="27" t="inlineStr">
        <is>
          <t>Sandip</t>
        </is>
      </c>
      <c r="C6" s="32" t="n"/>
      <c r="D6" s="6" t="n">
        <v>5</v>
      </c>
      <c r="E6" s="31" t="inlineStr">
        <is>
          <t>Purvaiz Snr</t>
        </is>
      </c>
      <c r="F6" s="32" t="n"/>
      <c r="G6" s="8" t="n"/>
      <c r="H6" s="9" t="n"/>
    </row>
    <row r="7">
      <c r="A7" s="2" t="n">
        <v>6</v>
      </c>
      <c r="B7" s="27" t="inlineStr">
        <is>
          <t>Rahul J</t>
        </is>
      </c>
      <c r="C7" s="32" t="n"/>
      <c r="D7" s="6" t="n">
        <v>6</v>
      </c>
      <c r="E7" s="31" t="inlineStr">
        <is>
          <t>Vishal</t>
        </is>
      </c>
      <c r="F7" s="32" t="n"/>
      <c r="G7" s="7" t="n"/>
      <c r="H7" s="7" t="n"/>
    </row>
    <row r="8">
      <c r="A8" s="2" t="n">
        <v>7</v>
      </c>
      <c r="B8" s="27" t="inlineStr">
        <is>
          <t>Kalyan</t>
        </is>
      </c>
      <c r="C8" s="32" t="n"/>
      <c r="D8" s="6" t="n">
        <v>7</v>
      </c>
      <c r="E8" s="31" t="inlineStr">
        <is>
          <t>Shiva</t>
        </is>
      </c>
      <c r="F8" s="32" t="n"/>
      <c r="G8" s="7" t="n"/>
      <c r="H8" s="7" t="n"/>
    </row>
    <row r="9">
      <c r="A9" s="2" t="n">
        <v>8</v>
      </c>
      <c r="B9" s="27" t="inlineStr">
        <is>
          <t>Zaheer</t>
        </is>
      </c>
      <c r="C9" s="32" t="n"/>
      <c r="D9" s="6" t="n">
        <v>8</v>
      </c>
      <c r="E9" s="31" t="inlineStr">
        <is>
          <t>Jalal</t>
        </is>
      </c>
      <c r="F9" s="32" t="n"/>
      <c r="G9" s="7" t="n"/>
      <c r="H9" s="7" t="n"/>
    </row>
    <row r="10">
      <c r="A10" s="2" t="n">
        <v>9</v>
      </c>
      <c r="B10" s="27" t="inlineStr">
        <is>
          <t>Altamash</t>
        </is>
      </c>
      <c r="C10" s="33" t="n"/>
      <c r="D10" s="6" t="n">
        <v>9</v>
      </c>
      <c r="E10" s="31" t="inlineStr">
        <is>
          <t>Deepak</t>
        </is>
      </c>
      <c r="F10" s="33" t="n"/>
    </row>
    <row r="11">
      <c r="A11" s="2" t="n">
        <v>10</v>
      </c>
      <c r="B11" s="27" t="inlineStr">
        <is>
          <t>Prasanna</t>
        </is>
      </c>
      <c r="C11" s="33" t="n"/>
      <c r="D11" s="6" t="n">
        <v>10</v>
      </c>
      <c r="E11" s="31" t="inlineStr">
        <is>
          <t>Usman</t>
        </is>
      </c>
      <c r="F11" s="33" t="n"/>
    </row>
  </sheetData>
  <mergeCells count="1">
    <mergeCell ref="G1:H1"/>
  </mergeCells>
  <pageMargins left="0.7" right="0.7" top="0.75" bottom="0.75" header="0.3" footer="0.3"/>
  <pageSetup orientation="portrait" paperSize="9" horizontalDpi="200" verticalDpi="200"/>
</worksheet>
</file>

<file path=xl/worksheets/sheet4.xml><?xml version="1.0" encoding="utf-8"?>
<worksheet xmlns="http://schemas.openxmlformats.org/spreadsheetml/2006/main">
  <sheetPr codeName="Sheet10">
    <outlinePr summaryBelow="1" summaryRight="1"/>
    <pageSetUpPr/>
  </sheetPr>
  <dimension ref="A1:AE660"/>
  <sheetViews>
    <sheetView zoomScale="80" zoomScaleNormal="80" workbookViewId="0">
      <pane ySplit="4" topLeftCell="A5" activePane="bottomLeft" state="frozen"/>
      <selection pane="bottomLeft" activeCell="K5" sqref="K5"/>
    </sheetView>
  </sheetViews>
  <sheetFormatPr baseColWidth="8" defaultRowHeight="12.75"/>
  <cols>
    <col width="18.5703125" bestFit="1" customWidth="1" style="106" min="1" max="1"/>
    <col width="7.140625" customWidth="1" style="106" min="2" max="2"/>
    <col width="21.28515625" bestFit="1" customWidth="1" style="106" min="3" max="3"/>
    <col width="16.7109375" bestFit="1" customWidth="1" style="106" min="4" max="4"/>
    <col width="6.5703125" bestFit="1" customWidth="1" style="4" min="5" max="5"/>
    <col width="16.7109375" bestFit="1" customWidth="1" style="106" min="6" max="6"/>
    <col width="21.28515625" bestFit="1" customWidth="1" style="106" min="7" max="7"/>
    <col width="6" bestFit="1" customWidth="1" style="4" min="8" max="8"/>
    <col width="17.140625" bestFit="1" customWidth="1" style="4" min="9" max="9"/>
    <col width="17.140625" customWidth="1" style="106" min="10" max="11"/>
    <col width="7.140625" customWidth="1" style="106" min="12" max="12"/>
    <col width="14.42578125" bestFit="1" customWidth="1" style="106" min="13" max="13"/>
    <col width="5.5703125" customWidth="1" style="20" min="14" max="15"/>
    <col width="7" customWidth="1" style="106" min="16" max="16"/>
    <col width="6.42578125" customWidth="1" style="106" min="17" max="17"/>
    <col width="14.140625" customWidth="1" style="106" min="18" max="18"/>
    <col width="4.7109375" bestFit="1" customWidth="1" style="106" min="20" max="20"/>
    <col width="14.5703125" bestFit="1" customWidth="1" style="106" min="21" max="21"/>
    <col width="10.42578125" bestFit="1" customWidth="1" style="106" min="22" max="22"/>
    <col width="7.5703125" bestFit="1" customWidth="1" style="106" min="23" max="23"/>
    <col width="7.140625" bestFit="1" customWidth="1" style="106" min="24" max="24"/>
    <col hidden="1" width="9.7109375" customWidth="1" style="106" min="25" max="25"/>
    <col width="8.85546875" customWidth="1" style="106" min="26" max="26"/>
    <col width="8.7109375" customWidth="1" style="106" min="27" max="27"/>
    <col width="8.28515625" customWidth="1" style="106" min="28" max="28"/>
    <col hidden="1" width="13" customWidth="1" style="106" min="29" max="29"/>
    <col width="9.7109375" customWidth="1" style="106" min="30" max="30"/>
    <col width="23.140625" bestFit="1" customWidth="1" style="106" min="31" max="31"/>
  </cols>
  <sheetData>
    <row r="1" ht="36" customHeight="1" s="106" thickBot="1">
      <c r="A1" s="102" t="inlineStr">
        <is>
          <t>STARTS</t>
        </is>
      </c>
      <c r="B1" s="100" t="n"/>
      <c r="C1" s="103" t="n">
        <v>46271</v>
      </c>
      <c r="D1" s="100" t="n"/>
      <c r="E1" s="101" t="n"/>
      <c r="F1" s="102" t="inlineStr">
        <is>
          <t>ENDS</t>
        </is>
      </c>
      <c r="G1" s="103" t="n">
        <v>46348</v>
      </c>
      <c r="U1" s="121" t="inlineStr">
        <is>
          <t>ANNUAL PLAYERS LEAGUE - 2026</t>
        </is>
      </c>
    </row>
    <row r="2" ht="20.25" customHeight="1" s="106">
      <c r="A2" s="5" t="n"/>
      <c r="B2" s="122" t="n"/>
      <c r="C2" s="136" t="n"/>
      <c r="D2" s="122" t="n"/>
      <c r="E2" s="3" t="n"/>
      <c r="F2" s="2" t="n"/>
      <c r="G2" s="2" t="n"/>
      <c r="H2" s="3" t="n"/>
      <c r="I2" s="3" t="n"/>
      <c r="J2" s="2" t="n"/>
      <c r="K2" s="104" t="n"/>
      <c r="L2" s="104" t="n"/>
      <c r="T2" s="65" t="n"/>
      <c r="U2" s="66" t="inlineStr">
        <is>
          <t>Name</t>
        </is>
      </c>
      <c r="V2" s="66" t="inlineStr">
        <is>
          <t>Played</t>
        </is>
      </c>
      <c r="W2" s="66" t="inlineStr">
        <is>
          <t>Won</t>
        </is>
      </c>
      <c r="X2" s="66" t="inlineStr">
        <is>
          <t>Lost</t>
        </is>
      </c>
      <c r="Y2" s="66" t="inlineStr">
        <is>
          <t>Points</t>
        </is>
      </c>
      <c r="Z2" s="66" t="inlineStr">
        <is>
          <t>PF</t>
        </is>
      </c>
      <c r="AA2" s="66" t="inlineStr">
        <is>
          <t>PA</t>
        </is>
      </c>
      <c r="AB2" s="66" t="inlineStr">
        <is>
          <t>NPD</t>
        </is>
      </c>
      <c r="AC2" s="67" t="inlineStr">
        <is>
          <t>NAP</t>
        </is>
      </c>
      <c r="AD2" s="68" t="inlineStr">
        <is>
          <t>Win %</t>
        </is>
      </c>
      <c r="AE2" s="63" t="inlineStr">
        <is>
          <t>Total Points Played</t>
        </is>
      </c>
    </row>
    <row r="3" ht="20.25" customHeight="1" s="106">
      <c r="A3" s="5" t="n"/>
      <c r="B3" s="122" t="n"/>
      <c r="C3" s="122" t="inlineStr">
        <is>
          <t>Team 1</t>
        </is>
      </c>
      <c r="D3" s="136" t="n"/>
      <c r="E3" s="3" t="n"/>
      <c r="F3" s="122" t="inlineStr">
        <is>
          <t>Team 2</t>
        </is>
      </c>
      <c r="G3" s="136" t="n"/>
      <c r="H3" s="3" t="n"/>
      <c r="I3" s="122" t="inlineStr">
        <is>
          <t>Winner</t>
        </is>
      </c>
      <c r="J3" s="136" t="n"/>
      <c r="K3" s="105" t="n"/>
      <c r="L3" s="105" t="n"/>
      <c r="M3" t="inlineStr">
        <is>
          <t>Winner Team ID</t>
        </is>
      </c>
      <c r="N3" s="19" t="inlineStr">
        <is>
          <t>No.</t>
        </is>
      </c>
      <c r="O3" s="19" t="inlineStr">
        <is>
          <t>Pts</t>
        </is>
      </c>
      <c r="P3" s="19" t="inlineStr">
        <is>
          <t>1-ID</t>
        </is>
      </c>
      <c r="Q3" s="19" t="inlineStr">
        <is>
          <t>2-ID</t>
        </is>
      </c>
      <c r="R3" s="19" t="inlineStr">
        <is>
          <t>MID</t>
        </is>
      </c>
      <c r="T3" s="83" t="n">
        <v>1</v>
      </c>
      <c r="U3" s="30" t="inlineStr">
        <is>
          <t>Rukhsar</t>
        </is>
      </c>
      <c r="V3" s="84" t="n">
        <v>32</v>
      </c>
      <c r="W3" s="85" t="n">
        <v>20</v>
      </c>
      <c r="X3" s="85" t="n">
        <v>12</v>
      </c>
      <c r="Y3" s="85" t="n">
        <v>400</v>
      </c>
      <c r="Z3" s="85" t="n">
        <v>601</v>
      </c>
      <c r="AA3" s="85">
        <f>SUMIF($C$5:$C$696,$U3,$H$5:$H$696)+SUMIF($F$5:$F$696,$U3,$E$5:$E$696)+SUMIF($D$5:$D$696,$U3,$H$5:$H$696)+SUMIF($G$5:$G$696,$U3,$E$5:$E$696)</f>
        <v/>
      </c>
      <c r="AB3" s="85">
        <f>Z3-AA3</f>
        <v/>
      </c>
      <c r="AC3" s="86" t="n"/>
      <c r="AD3" s="87">
        <f>IFERROR($W3/$V3,"")</f>
        <v/>
      </c>
      <c r="AE3" s="48">
        <f>SUM(Z3:AA3)</f>
        <v/>
      </c>
    </row>
    <row r="4" ht="20.25" customHeight="1" s="106">
      <c r="A4" s="10" t="inlineStr">
        <is>
          <t>Date</t>
        </is>
      </c>
      <c r="B4" s="10" t="inlineStr">
        <is>
          <t>No.</t>
        </is>
      </c>
      <c r="C4" s="10" t="inlineStr">
        <is>
          <t>Player 1</t>
        </is>
      </c>
      <c r="D4" s="10" t="inlineStr">
        <is>
          <t>Player 2</t>
        </is>
      </c>
      <c r="E4" s="122" t="inlineStr">
        <is>
          <t>Pt</t>
        </is>
      </c>
      <c r="F4" s="10" t="inlineStr">
        <is>
          <t>Player 3</t>
        </is>
      </c>
      <c r="G4" s="10" t="inlineStr">
        <is>
          <t>Player 4</t>
        </is>
      </c>
      <c r="H4" s="122" t="inlineStr">
        <is>
          <t>Pt</t>
        </is>
      </c>
      <c r="I4" s="122" t="inlineStr">
        <is>
          <t>Player 1</t>
        </is>
      </c>
      <c r="J4" s="10" t="inlineStr">
        <is>
          <t>Player 2</t>
        </is>
      </c>
      <c r="K4" s="10" t="inlineStr">
        <is>
          <t xml:space="preserve">Court No. </t>
        </is>
      </c>
      <c r="L4" s="10" t="inlineStr">
        <is>
          <t>Difference</t>
        </is>
      </c>
      <c r="M4" s="5" t="n"/>
      <c r="N4" s="25" t="n"/>
      <c r="O4" s="25" t="n"/>
      <c r="P4" s="5" t="n"/>
      <c r="Q4" s="5" t="n"/>
      <c r="R4" s="5" t="n"/>
      <c r="T4" s="88" t="n">
        <v>2</v>
      </c>
      <c r="U4" s="89" t="inlineStr">
        <is>
          <t>Yogi</t>
        </is>
      </c>
      <c r="V4" s="90" t="n">
        <v>0</v>
      </c>
      <c r="W4" s="91" t="n">
        <v>0</v>
      </c>
      <c r="X4" s="91" t="n">
        <v>0</v>
      </c>
      <c r="Y4" s="91" t="n">
        <v>100</v>
      </c>
      <c r="Z4" s="91" t="n">
        <v>0</v>
      </c>
      <c r="AA4" s="91">
        <f>SUMIF($C$5:$C$696,$U4,$H$5:$H$696)+SUMIF($F$5:$F$696,$U4,$E$5:$E$696)+SUMIF($D$5:$D$696,$U4,$H$5:$H$696)+SUMIF($G$5:$G$696,$U4,$E$5:$E$696)</f>
        <v/>
      </c>
      <c r="AB4" s="91">
        <f>Z4-AA4</f>
        <v/>
      </c>
      <c r="AC4" s="92" t="n"/>
      <c r="AD4" s="93">
        <f>IFERROR($W4/$V4,"")</f>
        <v/>
      </c>
      <c r="AE4" s="48">
        <f>SUM(Z4:AA4)</f>
        <v/>
      </c>
    </row>
    <row r="5" ht="20.25" customHeight="1" s="106">
      <c r="A5" s="14" t="n">
        <v>46271</v>
      </c>
      <c r="B5" s="15" t="n">
        <v>1</v>
      </c>
      <c r="C5" s="15" t="inlineStr">
        <is>
          <t>Rukhsar</t>
        </is>
      </c>
      <c r="D5" s="15" t="inlineStr">
        <is>
          <t>Vasu</t>
        </is>
      </c>
      <c r="E5" s="16" t="n">
        <v>21</v>
      </c>
      <c r="F5" s="15" t="inlineStr">
        <is>
          <t>Santosh</t>
        </is>
      </c>
      <c r="G5" s="15" t="inlineStr">
        <is>
          <t>Jalal</t>
        </is>
      </c>
      <c r="H5" s="16" t="n">
        <v>19</v>
      </c>
      <c r="I5" s="15" t="inlineStr">
        <is>
          <t>Rukhsar</t>
        </is>
      </c>
      <c r="J5" s="15" t="inlineStr">
        <is>
          <t>Vasu</t>
        </is>
      </c>
      <c r="K5" s="15" t="n">
        <v>3</v>
      </c>
      <c r="L5" s="15" t="n">
        <v>2</v>
      </c>
      <c r="M5" s="5">
        <f>IF(ISBLANK($E5),"",VLOOKUP($I5,PLAYERS_IDS,2,FALSE)*VLOOKUP($J5,PLAYERS_IDS,2,FALSE))</f>
        <v/>
      </c>
      <c r="N5" s="25">
        <f>IF(ISBLANK($E5)," ", COUNTIF($M$4:$M5,$M5))</f>
        <v/>
      </c>
      <c r="O5" s="25" t="n">
        <v>15</v>
      </c>
      <c r="P5" s="5">
        <f>IF(ISBLANK($F5),"",VLOOKUP($C5,PLAYERS_IDS,2,FALSE)*VLOOKUP($D5,PLAYERS_IDS,2,FALSE))</f>
        <v/>
      </c>
      <c r="Q5" s="5">
        <f>IF(ISBLANK($F5), "",VLOOKUP($F5,PLAYERS_IDS,2,FALSE)*VLOOKUP($G5,PLAYERS_IDS,2,FALSE))</f>
        <v/>
      </c>
      <c r="R5" s="5">
        <f>IFERROR((P5*100000)+Q5,"")</f>
        <v/>
      </c>
      <c r="T5" s="94" t="n">
        <v>3</v>
      </c>
      <c r="U5" s="95" t="inlineStr">
        <is>
          <t>Santosh</t>
        </is>
      </c>
      <c r="V5" s="96" t="n">
        <v>31</v>
      </c>
      <c r="W5" s="97" t="n">
        <v>23</v>
      </c>
      <c r="X5" s="97" t="n">
        <v>8</v>
      </c>
      <c r="Y5" s="97" t="n">
        <v>445</v>
      </c>
      <c r="Z5" s="97" t="n">
        <v>597</v>
      </c>
      <c r="AA5" s="97">
        <f>SUMIF($C$5:$C$696,$U5,$H$5:$H$696)+SUMIF($F$5:$F$696,$U5,$E$5:$E$696)+SUMIF($D$5:$D$696,$U5,$H$5:$H$696)+SUMIF($G$5:$G$696,$U5,$E$5:$E$696)</f>
        <v/>
      </c>
      <c r="AB5" s="97">
        <f>Z5-AA5</f>
        <v/>
      </c>
      <c r="AC5" s="98" t="n"/>
      <c r="AD5" s="99">
        <f>IFERROR($W5/$V5,"")</f>
        <v/>
      </c>
      <c r="AE5" s="48">
        <f>SUM(Z5:AA5)</f>
        <v/>
      </c>
    </row>
    <row r="6" ht="20.25" customHeight="1" s="106">
      <c r="A6" s="14" t="n">
        <v>46271</v>
      </c>
      <c r="B6" s="15" t="n">
        <v>2</v>
      </c>
      <c r="C6" s="15" t="inlineStr">
        <is>
          <t>Rukhsar</t>
        </is>
      </c>
      <c r="D6" s="15" t="inlineStr">
        <is>
          <t>Nawaz</t>
        </is>
      </c>
      <c r="E6" s="16" t="n">
        <v>21</v>
      </c>
      <c r="F6" s="15" t="inlineStr">
        <is>
          <t>Faiyaz</t>
        </is>
      </c>
      <c r="G6" s="15" t="inlineStr">
        <is>
          <t>Deepak</t>
        </is>
      </c>
      <c r="H6" s="16" t="n">
        <v>11</v>
      </c>
      <c r="I6" s="15" t="inlineStr">
        <is>
          <t>Rukhsar</t>
        </is>
      </c>
      <c r="J6" s="15" t="inlineStr">
        <is>
          <t>Nawaz</t>
        </is>
      </c>
      <c r="K6" s="15" t="n">
        <v>3</v>
      </c>
      <c r="L6" s="15" t="n">
        <v>10</v>
      </c>
      <c r="M6" s="5">
        <f>IF(ISBLANK($E6),"",VLOOKUP($I6,PLAYERS_IDS,2,FALSE)*VLOOKUP($J6,PLAYERS_IDS,2,FALSE))</f>
        <v/>
      </c>
      <c r="N6" s="25">
        <f>IF(ISBLANK($E6)," ", COUNTIF($M$4:$M6,$M6))</f>
        <v/>
      </c>
      <c r="O6" s="25" t="n">
        <v>15</v>
      </c>
      <c r="P6" s="5">
        <f>IF(ISBLANK($F6),"",VLOOKUP($C6,PLAYERS_IDS,2,FALSE)*VLOOKUP($D6,PLAYERS_IDS,2,FALSE))</f>
        <v/>
      </c>
      <c r="Q6" s="5">
        <f>IF(ISBLANK($F6), "",VLOOKUP($F6,PLAYERS_IDS,2,FALSE)*VLOOKUP($G6,PLAYERS_IDS,2,FALSE))</f>
        <v/>
      </c>
      <c r="R6" s="5">
        <f>IFERROR((P6*100000)+Q6,"")</f>
        <v/>
      </c>
      <c r="T6" s="69" t="n">
        <v>4</v>
      </c>
      <c r="U6" s="6" t="inlineStr">
        <is>
          <t>Thomas</t>
        </is>
      </c>
      <c r="V6" s="122" t="n">
        <v>26</v>
      </c>
      <c r="W6" s="3" t="n">
        <v>18</v>
      </c>
      <c r="X6" s="3" t="n">
        <v>8</v>
      </c>
      <c r="Y6" s="3" t="n">
        <v>370</v>
      </c>
      <c r="Z6" s="3" t="n">
        <v>519</v>
      </c>
      <c r="AA6" s="3">
        <f>SUMIF($C$5:$C$696,$U6,$H$5:$H$696)+SUMIF($F$5:$F$696,$U6,$E$5:$E$696)+SUMIF($D$5:$D$696,$U6,$H$5:$H$696)+SUMIF($G$5:$G$696,$U6,$E$5:$E$696)</f>
        <v/>
      </c>
      <c r="AB6" s="3">
        <f>Z6-AA6</f>
        <v/>
      </c>
      <c r="AC6" s="39" t="n"/>
      <c r="AD6" s="71">
        <f>IFERROR($W6/$V6,"")</f>
        <v/>
      </c>
      <c r="AE6" s="48">
        <f>SUM(Z6:AA6)</f>
        <v/>
      </c>
    </row>
    <row r="7" ht="20.25" customHeight="1" s="106">
      <c r="A7" s="14" t="n">
        <v>46271</v>
      </c>
      <c r="B7" s="15" t="n">
        <v>3</v>
      </c>
      <c r="C7" s="15" t="inlineStr">
        <is>
          <t>Rukhsar</t>
        </is>
      </c>
      <c r="D7" s="15" t="inlineStr">
        <is>
          <t>Faiyaz</t>
        </is>
      </c>
      <c r="E7" s="16" t="n">
        <v>21</v>
      </c>
      <c r="F7" s="15" t="inlineStr">
        <is>
          <t>Vivek</t>
        </is>
      </c>
      <c r="G7" s="15" t="inlineStr">
        <is>
          <t>Thomas</t>
        </is>
      </c>
      <c r="H7" s="16" t="n">
        <v>19</v>
      </c>
      <c r="I7" s="15" t="inlineStr">
        <is>
          <t>Rukhsar</t>
        </is>
      </c>
      <c r="J7" s="15" t="inlineStr">
        <is>
          <t>Faiyaz</t>
        </is>
      </c>
      <c r="K7" s="15" t="n">
        <v>3</v>
      </c>
      <c r="L7" s="15" t="n">
        <v>2</v>
      </c>
      <c r="M7" s="5">
        <f>IF(ISBLANK($E7),"",VLOOKUP($I7,PLAYERS_IDS,2,FALSE)*VLOOKUP($J7,PLAYERS_IDS,2,FALSE))</f>
        <v/>
      </c>
      <c r="N7" s="25">
        <f>IF(ISBLANK($E7)," ", COUNTIF($M$4:$M7,$M7))</f>
        <v/>
      </c>
      <c r="O7" s="25" t="n">
        <v>15</v>
      </c>
      <c r="P7" s="5">
        <f>IF(ISBLANK($F7),"",VLOOKUP($C7,PLAYERS_IDS,2,FALSE)*VLOOKUP($D7,PLAYERS_IDS,2,FALSE))</f>
        <v/>
      </c>
      <c r="Q7" s="5">
        <f>IF(ISBLANK($F7), "",VLOOKUP($F7,PLAYERS_IDS,2,FALSE)*VLOOKUP($G7,PLAYERS_IDS,2,FALSE))</f>
        <v/>
      </c>
      <c r="R7" s="5">
        <f>IFERROR((P7*100000)+Q7,"")</f>
        <v/>
      </c>
      <c r="T7" s="69" t="n">
        <v>5</v>
      </c>
      <c r="U7" s="6" t="inlineStr">
        <is>
          <t>Waqas</t>
        </is>
      </c>
      <c r="V7" s="3" t="n">
        <v>27</v>
      </c>
      <c r="W7" s="3" t="n">
        <v>18</v>
      </c>
      <c r="X7" s="3" t="n">
        <v>9</v>
      </c>
      <c r="Y7" s="3" t="n">
        <v>370</v>
      </c>
      <c r="Z7" s="3" t="n">
        <v>514</v>
      </c>
      <c r="AA7" s="3">
        <f>SUMIF($C$5:$C$696,$U7,$H$5:$H$696)+SUMIF($F$5:$F$696,$U7,$E$5:$E$696)+SUMIF($D$5:$D$696,$U7,$H$5:$H$696)+SUMIF($G$5:$G$696,$U7,$E$5:$E$696)</f>
        <v/>
      </c>
      <c r="AB7" s="3">
        <f>Z7-AA7</f>
        <v/>
      </c>
      <c r="AC7" s="40" t="n"/>
      <c r="AD7" s="70">
        <f>IFERROR($W7/$V7,"")</f>
        <v/>
      </c>
      <c r="AE7" s="48">
        <f>SUM(Z7:AA7)</f>
        <v/>
      </c>
    </row>
    <row r="8" ht="20.25" customHeight="1" s="106">
      <c r="A8" s="14" t="n">
        <v>46271</v>
      </c>
      <c r="B8" s="15" t="n">
        <v>4</v>
      </c>
      <c r="C8" s="17" t="inlineStr">
        <is>
          <t>Rukhsar</t>
        </is>
      </c>
      <c r="D8" s="15" t="inlineStr">
        <is>
          <t>Tousif</t>
        </is>
      </c>
      <c r="E8" s="16" t="n">
        <v>21</v>
      </c>
      <c r="F8" s="15" t="inlineStr">
        <is>
          <t>Altamash</t>
        </is>
      </c>
      <c r="G8" s="15" t="inlineStr">
        <is>
          <t>Mansoor</t>
        </is>
      </c>
      <c r="H8" s="16" t="n">
        <v>14</v>
      </c>
      <c r="I8" s="15" t="inlineStr">
        <is>
          <t>Rukhsar</t>
        </is>
      </c>
      <c r="J8" s="15" t="inlineStr">
        <is>
          <t>Tousif</t>
        </is>
      </c>
      <c r="K8" s="15" t="n">
        <v>2</v>
      </c>
      <c r="L8" s="15" t="n">
        <v>7</v>
      </c>
      <c r="M8" s="5">
        <f>IF(ISBLANK($E8),"",VLOOKUP($I8,PLAYERS_IDS,2,FALSE)*VLOOKUP($J8,PLAYERS_IDS,2,FALSE))</f>
        <v/>
      </c>
      <c r="N8" s="25">
        <f>IF(ISBLANK($E8)," ", COUNTIF($M$4:$M8,$M8))</f>
        <v/>
      </c>
      <c r="O8" s="25" t="n">
        <v>15</v>
      </c>
      <c r="P8" s="5">
        <f>IF(ISBLANK($F8),"",VLOOKUP($C8,PLAYERS_IDS,2,FALSE)*VLOOKUP($D8,PLAYERS_IDS,2,FALSE))</f>
        <v/>
      </c>
      <c r="Q8" s="5">
        <f>IF(ISBLANK($F8), "",VLOOKUP($F8,PLAYERS_IDS,2,FALSE)*VLOOKUP($G8,PLAYERS_IDS,2,FALSE))</f>
        <v/>
      </c>
      <c r="R8" s="5">
        <f>IFERROR((P8*100000)+Q8,"")</f>
        <v/>
      </c>
      <c r="T8" s="69" t="n">
        <v>6</v>
      </c>
      <c r="U8" s="59" t="inlineStr">
        <is>
          <t>Farooq</t>
        </is>
      </c>
      <c r="V8" s="16" t="n">
        <v>0</v>
      </c>
      <c r="W8" s="16" t="n">
        <v>0</v>
      </c>
      <c r="X8" s="16" t="n">
        <v>0</v>
      </c>
      <c r="Y8" s="16" t="n">
        <v>100</v>
      </c>
      <c r="Z8" s="16" t="n">
        <v>0</v>
      </c>
      <c r="AA8" s="16">
        <f>SUMIF($C$5:$C$696,$U8,$H$5:$H$696)+SUMIF($F$5:$F$696,$U8,$E$5:$E$696)+SUMIF($D$5:$D$696,$U8,$H$5:$H$696)+SUMIF($G$5:$G$696,$U8,$E$5:$E$696)</f>
        <v/>
      </c>
      <c r="AB8" s="16">
        <f>Z8-AA8</f>
        <v/>
      </c>
      <c r="AC8" s="77" t="n"/>
      <c r="AD8" s="71">
        <f>IFERROR($W8/$V8,"")</f>
        <v/>
      </c>
      <c r="AE8" s="48">
        <f>SUM(Z8:AA8)</f>
        <v/>
      </c>
    </row>
    <row r="9" ht="20.25" customHeight="1" s="106">
      <c r="A9" s="14" t="n">
        <v>46271</v>
      </c>
      <c r="B9" s="15" t="n">
        <v>5</v>
      </c>
      <c r="C9" s="15" t="inlineStr">
        <is>
          <t>Rukhsar</t>
        </is>
      </c>
      <c r="D9" s="15" t="inlineStr">
        <is>
          <t>Deepak</t>
        </is>
      </c>
      <c r="E9" s="16" t="n">
        <v>22</v>
      </c>
      <c r="F9" s="15" t="inlineStr">
        <is>
          <t>Faiyaz</t>
        </is>
      </c>
      <c r="G9" s="15" t="inlineStr">
        <is>
          <t>Vasu</t>
        </is>
      </c>
      <c r="H9" s="16" t="n">
        <v>20</v>
      </c>
      <c r="I9" s="15" t="inlineStr">
        <is>
          <t>Rukhsar</t>
        </is>
      </c>
      <c r="J9" s="15" t="inlineStr">
        <is>
          <t>Deepak</t>
        </is>
      </c>
      <c r="K9" s="15" t="n">
        <v>2</v>
      </c>
      <c r="L9" s="15" t="n">
        <v>2</v>
      </c>
      <c r="M9" s="5">
        <f>IF(ISBLANK($E9),"",VLOOKUP($I9,PLAYERS_IDS,2,FALSE)*VLOOKUP($J9,PLAYERS_IDS,2,FALSE))</f>
        <v/>
      </c>
      <c r="N9" s="25">
        <f>IF(ISBLANK($E9)," ", COUNTIF($M$4:$M9,$M9))</f>
        <v/>
      </c>
      <c r="O9" s="25" t="n">
        <v>15</v>
      </c>
      <c r="P9" s="5">
        <f>IF(ISBLANK($F9),"",VLOOKUP($C9,PLAYERS_IDS,2,FALSE)*VLOOKUP($D9,PLAYERS_IDS,2,FALSE))</f>
        <v/>
      </c>
      <c r="Q9" s="5">
        <f>IF(ISBLANK($F9), "",VLOOKUP($F9,PLAYERS_IDS,2,FALSE)*VLOOKUP($G9,PLAYERS_IDS,2,FALSE))</f>
        <v/>
      </c>
      <c r="R9" s="5">
        <f>IFERROR((P9*100000)+Q9,"")</f>
        <v/>
      </c>
      <c r="T9" s="69" t="n">
        <v>7</v>
      </c>
      <c r="U9" s="59" t="inlineStr">
        <is>
          <t>Sandip</t>
        </is>
      </c>
      <c r="V9" s="82" t="n">
        <v>28</v>
      </c>
      <c r="W9" s="16" t="n">
        <v>10</v>
      </c>
      <c r="X9" s="16" t="n">
        <v>18</v>
      </c>
      <c r="Y9" s="16" t="n">
        <v>250</v>
      </c>
      <c r="Z9" s="16" t="n">
        <v>480</v>
      </c>
      <c r="AA9" s="16">
        <f>SUMIF($C$5:$C$696,$U9,$H$5:$H$696)+SUMIF($F$5:$F$696,$U9,$E$5:$E$696)+SUMIF($D$5:$D$696,$U9,$H$5:$H$696)+SUMIF($G$5:$G$696,$U9,$E$5:$E$696)</f>
        <v/>
      </c>
      <c r="AB9" s="16">
        <f>Z9-AA9</f>
        <v/>
      </c>
      <c r="AC9" s="78" t="n"/>
      <c r="AD9" s="70">
        <f>IFERROR($W9/$V9,"")</f>
        <v/>
      </c>
      <c r="AE9" s="48">
        <f>SUM(Z9:AA9)</f>
        <v/>
      </c>
    </row>
    <row r="10" ht="20.25" customHeight="1" s="106">
      <c r="A10" s="14" t="n">
        <v>46271</v>
      </c>
      <c r="B10" s="15" t="n">
        <v>6</v>
      </c>
      <c r="C10" s="15" t="inlineStr">
        <is>
          <t>Vivek</t>
        </is>
      </c>
      <c r="D10" s="15" t="inlineStr">
        <is>
          <t>Shiva</t>
        </is>
      </c>
      <c r="E10" s="16" t="n">
        <v>21</v>
      </c>
      <c r="F10" s="15" t="inlineStr">
        <is>
          <t>Sandip</t>
        </is>
      </c>
      <c r="G10" s="15" t="inlineStr">
        <is>
          <t>Jalal</t>
        </is>
      </c>
      <c r="H10" s="16" t="n">
        <v>11</v>
      </c>
      <c r="I10" s="15" t="inlineStr">
        <is>
          <t>Vivek</t>
        </is>
      </c>
      <c r="J10" s="15" t="inlineStr">
        <is>
          <t>Shiva</t>
        </is>
      </c>
      <c r="K10" s="15" t="n">
        <v>2</v>
      </c>
      <c r="L10" s="15" t="n">
        <v>10</v>
      </c>
      <c r="M10" s="5">
        <f>IF(ISBLANK($E10),"",VLOOKUP($I10,PLAYERS_IDS,2,FALSE)*VLOOKUP($J10,PLAYERS_IDS,2,FALSE))</f>
        <v/>
      </c>
      <c r="N10" s="25">
        <f>IF(ISBLANK($E10)," ", COUNTIF($M$4:$M10,$M10))</f>
        <v/>
      </c>
      <c r="O10" s="25" t="n">
        <v>15</v>
      </c>
      <c r="P10" s="5">
        <f>IF(ISBLANK($F10),"",VLOOKUP($C10,PLAYERS_IDS,2,FALSE)*VLOOKUP($D10,PLAYERS_IDS,2,FALSE))</f>
        <v/>
      </c>
      <c r="Q10" s="5">
        <f>IF(ISBLANK($F10), "",VLOOKUP($F10,PLAYERS_IDS,2,FALSE)*VLOOKUP($G10,PLAYERS_IDS,2,FALSE))</f>
        <v/>
      </c>
      <c r="R10" s="5">
        <f>IFERROR((P10*100000)+Q10,"")</f>
        <v/>
      </c>
      <c r="T10" s="69" t="n">
        <v>8</v>
      </c>
      <c r="U10" s="59" t="inlineStr">
        <is>
          <t>Tousif</t>
        </is>
      </c>
      <c r="V10" s="16" t="n">
        <v>27</v>
      </c>
      <c r="W10" s="16" t="n">
        <v>16</v>
      </c>
      <c r="X10" s="16" t="n">
        <v>11</v>
      </c>
      <c r="Y10" s="16" t="n">
        <v>340</v>
      </c>
      <c r="Z10" s="16" t="n">
        <v>500</v>
      </c>
      <c r="AA10" s="16">
        <f>SUMIF($C$5:$C$696,$U10,$H$5:$H$696)+SUMIF($F$5:$F$696,$U10,$E$5:$E$696)+SUMIF($D$5:$D$696,$U10,$H$5:$H$696)+SUMIF($G$5:$G$696,$U10,$E$5:$E$696)</f>
        <v/>
      </c>
      <c r="AB10" s="16">
        <f>Z10-AA10</f>
        <v/>
      </c>
      <c r="AC10" s="78" t="n"/>
      <c r="AD10" s="71">
        <f>IFERROR($W10/$V10,"")</f>
        <v/>
      </c>
      <c r="AE10" s="48">
        <f>SUM(Z10:AA10)</f>
        <v/>
      </c>
    </row>
    <row r="11" ht="20.25" customHeight="1" s="106">
      <c r="A11" s="14" t="n">
        <v>46271</v>
      </c>
      <c r="B11" s="15" t="n">
        <v>7</v>
      </c>
      <c r="C11" s="17" t="inlineStr">
        <is>
          <t>Vivek</t>
        </is>
      </c>
      <c r="D11" s="15" t="inlineStr">
        <is>
          <t>Waqas</t>
        </is>
      </c>
      <c r="E11" s="16" t="n">
        <v>21</v>
      </c>
      <c r="F11" s="15" t="inlineStr">
        <is>
          <t>Altamash</t>
        </is>
      </c>
      <c r="G11" s="15" t="inlineStr">
        <is>
          <t>Mansoor</t>
        </is>
      </c>
      <c r="H11" s="16" t="n">
        <v>13</v>
      </c>
      <c r="I11" s="15" t="inlineStr">
        <is>
          <t>Vivek</t>
        </is>
      </c>
      <c r="J11" s="15" t="inlineStr">
        <is>
          <t>Waqas</t>
        </is>
      </c>
      <c r="K11" s="15" t="n">
        <v>4</v>
      </c>
      <c r="L11" s="15" t="n">
        <v>8</v>
      </c>
      <c r="M11" s="5">
        <f>IF(ISBLANK($E11),"",VLOOKUP($I11,PLAYERS_IDS,2,FALSE)*VLOOKUP($J11,PLAYERS_IDS,2,FALSE))</f>
        <v/>
      </c>
      <c r="N11" s="25">
        <f>IF(ISBLANK($E11)," ", COUNTIF($M$4:$M11,$M11))</f>
        <v/>
      </c>
      <c r="O11" s="25" t="n">
        <v>15</v>
      </c>
      <c r="P11" s="5">
        <f>IF(ISBLANK($F11),"",VLOOKUP($C11,PLAYERS_IDS,2,FALSE)*VLOOKUP($D11,PLAYERS_IDS,2,FALSE))</f>
        <v/>
      </c>
      <c r="Q11" s="5">
        <f>IF(ISBLANK($F11), "",VLOOKUP($F11,PLAYERS_IDS,2,FALSE)*VLOOKUP($G11,PLAYERS_IDS,2,FALSE))</f>
        <v/>
      </c>
      <c r="R11" s="5">
        <f>IFERROR((P11*100000)+Q11,"")</f>
        <v/>
      </c>
      <c r="T11" s="69" t="n">
        <v>9</v>
      </c>
      <c r="U11" s="6" t="inlineStr">
        <is>
          <t>Vasu</t>
        </is>
      </c>
      <c r="V11" s="3" t="n">
        <v>23</v>
      </c>
      <c r="W11" s="3" t="n">
        <v>7</v>
      </c>
      <c r="X11" s="3" t="n">
        <v>16</v>
      </c>
      <c r="Y11" s="3" t="n">
        <v>205</v>
      </c>
      <c r="Z11" s="3" t="n">
        <v>420</v>
      </c>
      <c r="AA11" s="3">
        <f>SUMIF($C$5:$C$696,$U11,$H$5:$H$696)+SUMIF($F$5:$F$696,$U11,$E$5:$E$696)+SUMIF($D$5:$D$696,$U11,$H$5:$H$696)+SUMIF($G$5:$G$696,$U11,$E$5:$E$696)</f>
        <v/>
      </c>
      <c r="AB11" s="3">
        <f>Z11-AA11</f>
        <v/>
      </c>
      <c r="AC11" s="39" t="n"/>
      <c r="AD11" s="70">
        <f>IFERROR($W11/$V11,"")</f>
        <v/>
      </c>
      <c r="AE11" s="48">
        <f>SUM(Z11:AA11)</f>
        <v/>
      </c>
    </row>
    <row r="12" ht="20.25" customHeight="1" s="106">
      <c r="A12" s="14" t="n">
        <v>46271</v>
      </c>
      <c r="B12" s="15" t="n">
        <v>8</v>
      </c>
      <c r="C12" s="15" t="inlineStr">
        <is>
          <t>Deepak</t>
        </is>
      </c>
      <c r="D12" s="15" t="inlineStr">
        <is>
          <t>Ziad</t>
        </is>
      </c>
      <c r="E12" s="16" t="n">
        <v>23</v>
      </c>
      <c r="F12" s="15" t="inlineStr">
        <is>
          <t>Rukhsar</t>
        </is>
      </c>
      <c r="G12" s="15" t="inlineStr">
        <is>
          <t>Vasu</t>
        </is>
      </c>
      <c r="H12" s="16" t="n">
        <v>21</v>
      </c>
      <c r="I12" s="15" t="inlineStr">
        <is>
          <t>Deepak</t>
        </is>
      </c>
      <c r="J12" s="15" t="inlineStr">
        <is>
          <t>Ziad</t>
        </is>
      </c>
      <c r="K12" s="15" t="n">
        <v>2</v>
      </c>
      <c r="L12" s="15" t="n">
        <v>2</v>
      </c>
      <c r="M12" s="5">
        <f>IF(ISBLANK($E12),"",VLOOKUP($I12,PLAYERS_IDS,2,FALSE)*VLOOKUP($J12,PLAYERS_IDS,2,FALSE))</f>
        <v/>
      </c>
      <c r="N12" s="25">
        <f>IF(ISBLANK($E12)," ", COUNTIF($M$4:$M12,$M12))</f>
        <v/>
      </c>
      <c r="O12" s="25" t="n">
        <v>15</v>
      </c>
      <c r="P12" s="5">
        <f>IF(ISBLANK($F12),"",VLOOKUP($C12,PLAYERS_IDS,2,FALSE)*VLOOKUP($D12,PLAYERS_IDS,2,FALSE))</f>
        <v/>
      </c>
      <c r="Q12" s="5">
        <f>IF(ISBLANK($F12), "",VLOOKUP($F12,PLAYERS_IDS,2,FALSE)*VLOOKUP($G12,PLAYERS_IDS,2,FALSE))</f>
        <v/>
      </c>
      <c r="R12" s="5">
        <f>IFERROR((P12*100000)+Q12,"")</f>
        <v/>
      </c>
      <c r="T12" s="69" t="n">
        <v>10</v>
      </c>
      <c r="U12" s="6" t="inlineStr">
        <is>
          <t>Vishal</t>
        </is>
      </c>
      <c r="V12" s="122" t="n">
        <v>6</v>
      </c>
      <c r="W12" s="3" t="n">
        <v>2</v>
      </c>
      <c r="X12" s="3" t="n">
        <v>4</v>
      </c>
      <c r="Y12" s="3" t="n">
        <v>130</v>
      </c>
      <c r="Z12" s="3" t="n">
        <v>98</v>
      </c>
      <c r="AA12" s="3">
        <f>SUMIF($C$5:$C$696,$U12,$H$5:$H$696)+SUMIF($F$5:$F$696,$U12,$E$5:$E$696)+SUMIF($D$5:$D$696,$U12,$H$5:$H$696)+SUMIF($G$5:$G$696,$U12,$E$5:$E$696)</f>
        <v/>
      </c>
      <c r="AB12" s="3">
        <f>Z12-AA12</f>
        <v/>
      </c>
      <c r="AC12" s="39" t="n"/>
      <c r="AD12" s="70">
        <f>IFERROR($W12/$V12,"")</f>
        <v/>
      </c>
      <c r="AE12" s="48">
        <f>SUM(Z12:AA12)</f>
        <v/>
      </c>
    </row>
    <row r="13" ht="20.25" customHeight="1" s="106">
      <c r="A13" s="14" t="n">
        <v>46271</v>
      </c>
      <c r="B13" s="15" t="n">
        <v>9</v>
      </c>
      <c r="C13" s="15" t="inlineStr">
        <is>
          <t>Santosh</t>
        </is>
      </c>
      <c r="D13" s="15" t="inlineStr">
        <is>
          <t>Shiva</t>
        </is>
      </c>
      <c r="E13" s="16" t="n">
        <v>21</v>
      </c>
      <c r="F13" s="15" t="inlineStr">
        <is>
          <t>Sandip</t>
        </is>
      </c>
      <c r="G13" s="15" t="inlineStr">
        <is>
          <t>Vasu</t>
        </is>
      </c>
      <c r="H13" s="16" t="n">
        <v>16</v>
      </c>
      <c r="I13" s="15" t="inlineStr">
        <is>
          <t>Santosh</t>
        </is>
      </c>
      <c r="J13" s="15" t="inlineStr">
        <is>
          <t>Shiva</t>
        </is>
      </c>
      <c r="K13" s="15" t="n">
        <v>2</v>
      </c>
      <c r="L13" s="15" t="n">
        <v>5</v>
      </c>
      <c r="M13" s="5">
        <f>IF(ISBLANK($E13),"",VLOOKUP($I13,PLAYERS_IDS,2,FALSE)*VLOOKUP($J13,PLAYERS_IDS,2,FALSE))</f>
        <v/>
      </c>
      <c r="N13" s="25">
        <f>IF(ISBLANK($E13)," ", COUNTIF($M$4:$M13,$M13))</f>
        <v/>
      </c>
      <c r="O13" s="25" t="n">
        <v>15</v>
      </c>
      <c r="P13" s="5">
        <f>IF(ISBLANK($F13),"",VLOOKUP($C13,PLAYERS_IDS,2,FALSE)*VLOOKUP($D13,PLAYERS_IDS,2,FALSE))</f>
        <v/>
      </c>
      <c r="Q13" s="5">
        <f>IF(ISBLANK($F13), "",VLOOKUP($F13,PLAYERS_IDS,2,FALSE)*VLOOKUP($G13,PLAYERS_IDS,2,FALSE))</f>
        <v/>
      </c>
      <c r="R13" s="5">
        <f>IFERROR((P13*100000)+Q13,"")</f>
        <v/>
      </c>
      <c r="T13" s="69" t="n">
        <v>11</v>
      </c>
      <c r="U13" s="6" t="inlineStr">
        <is>
          <t>Zaheer</t>
        </is>
      </c>
      <c r="V13" s="3" t="n">
        <v>25</v>
      </c>
      <c r="W13" s="3" t="n">
        <v>8</v>
      </c>
      <c r="X13" s="3" t="n">
        <v>17</v>
      </c>
      <c r="Y13" s="3" t="n">
        <v>220</v>
      </c>
      <c r="Z13" s="3" t="n">
        <v>424</v>
      </c>
      <c r="AA13" s="3">
        <f>SUMIF($C$5:$C$696,$U13,$H$5:$H$696)+SUMIF($F$5:$F$696,$U13,$E$5:$E$696)+SUMIF($D$5:$D$696,$U13,$H$5:$H$696)+SUMIF($G$5:$G$696,$U13,$E$5:$E$696)</f>
        <v/>
      </c>
      <c r="AB13" s="3">
        <f>Z13-AA13</f>
        <v/>
      </c>
      <c r="AC13" s="39" t="n"/>
      <c r="AD13" s="70">
        <f>IFERROR($W13/$V13,"")</f>
        <v/>
      </c>
      <c r="AE13" s="48">
        <f>SUM(Z13:AA13)</f>
        <v/>
      </c>
    </row>
    <row r="14" ht="20.25" customHeight="1" s="106">
      <c r="A14" s="14" t="n">
        <v>46271</v>
      </c>
      <c r="B14" s="15" t="n">
        <v>10</v>
      </c>
      <c r="C14" s="15" t="inlineStr">
        <is>
          <t>Faiyaz</t>
        </is>
      </c>
      <c r="D14" s="15" t="inlineStr">
        <is>
          <t>Shiva</t>
        </is>
      </c>
      <c r="E14" s="16" t="n">
        <v>21</v>
      </c>
      <c r="F14" s="15" t="inlineStr">
        <is>
          <t>Prasanna</t>
        </is>
      </c>
      <c r="G14" s="15" t="inlineStr">
        <is>
          <t>Jalal</t>
        </is>
      </c>
      <c r="H14" s="16" t="n">
        <v>10</v>
      </c>
      <c r="I14" s="15" t="inlineStr">
        <is>
          <t>Faiyaz</t>
        </is>
      </c>
      <c r="J14" s="15" t="inlineStr">
        <is>
          <t>Shiva</t>
        </is>
      </c>
      <c r="K14" s="15" t="n">
        <v>4</v>
      </c>
      <c r="L14" s="15" t="n">
        <v>11</v>
      </c>
      <c r="M14" s="5">
        <f>IF(ISBLANK($E14),"",VLOOKUP($I14,PLAYERS_IDS,2,FALSE)*VLOOKUP($J14,PLAYERS_IDS,2,FALSE))</f>
        <v/>
      </c>
      <c r="N14" s="25">
        <f>IF(ISBLANK($E14)," ", COUNTIF($M$4:$M14,$M14))</f>
        <v/>
      </c>
      <c r="O14" s="25" t="n">
        <v>15</v>
      </c>
      <c r="P14" s="5">
        <f>IF(ISBLANK($F14),"",VLOOKUP($C14,PLAYERS_IDS,2,FALSE)*VLOOKUP($D14,PLAYERS_IDS,2,FALSE))</f>
        <v/>
      </c>
      <c r="Q14" s="5">
        <f>IF(ISBLANK($F14), "",VLOOKUP($F14,PLAYERS_IDS,2,FALSE)*VLOOKUP($G14,PLAYERS_IDS,2,FALSE))</f>
        <v/>
      </c>
      <c r="R14" s="5">
        <f>IFERROR((P14*100000)+Q14,"")</f>
        <v/>
      </c>
      <c r="T14" s="69" t="n">
        <v>12</v>
      </c>
      <c r="U14" s="6" t="inlineStr">
        <is>
          <t>Nawaz</t>
        </is>
      </c>
      <c r="V14" s="3" t="n">
        <v>22</v>
      </c>
      <c r="W14" s="3" t="n">
        <v>13</v>
      </c>
      <c r="X14" s="3" t="n">
        <v>9</v>
      </c>
      <c r="Y14" s="3" t="n">
        <v>295</v>
      </c>
      <c r="Z14" s="3" t="n">
        <v>402</v>
      </c>
      <c r="AA14" s="3">
        <f>SUMIF($C$5:$C$696,$U14,$H$5:$H$696)+SUMIF($F$5:$F$696,$U14,$E$5:$E$696)+SUMIF($D$5:$D$696,$U14,$H$5:$H$696)+SUMIF($G$5:$G$696,$U14,$E$5:$E$696)</f>
        <v/>
      </c>
      <c r="AB14" s="3">
        <f>Z14-AA14</f>
        <v/>
      </c>
      <c r="AC14" s="39" t="n"/>
      <c r="AD14" s="70">
        <f>IFERROR($W14/$V14,"")</f>
        <v/>
      </c>
      <c r="AE14" s="48">
        <f>SUM(Z14:AA14)</f>
        <v/>
      </c>
    </row>
    <row r="15" ht="20.25" customHeight="1" s="106">
      <c r="A15" s="14" t="n">
        <v>46271</v>
      </c>
      <c r="B15" s="15" t="n">
        <v>11</v>
      </c>
      <c r="C15" s="15" t="inlineStr">
        <is>
          <t>Tousif</t>
        </is>
      </c>
      <c r="D15" s="15" t="inlineStr">
        <is>
          <t>Altamash</t>
        </is>
      </c>
      <c r="E15" s="16" t="n">
        <v>21</v>
      </c>
      <c r="F15" s="15" t="inlineStr">
        <is>
          <t>Ken</t>
        </is>
      </c>
      <c r="G15" s="15" t="inlineStr">
        <is>
          <t>Prasanna</t>
        </is>
      </c>
      <c r="H15" s="16" t="n">
        <v>13</v>
      </c>
      <c r="I15" s="15" t="inlineStr">
        <is>
          <t>Tousif</t>
        </is>
      </c>
      <c r="J15" s="15" t="inlineStr">
        <is>
          <t>Altamash</t>
        </is>
      </c>
      <c r="K15" s="15" t="n">
        <v>4</v>
      </c>
      <c r="L15" s="15" t="n">
        <v>8</v>
      </c>
      <c r="M15" s="5">
        <f>IF(ISBLANK($E15),"",VLOOKUP($I15,PLAYERS_IDS,2,FALSE)*VLOOKUP($J15,PLAYERS_IDS,2,FALSE))</f>
        <v/>
      </c>
      <c r="N15" s="25">
        <f>IF(ISBLANK($E15)," ", COUNTIF($M$4:$M15,$M15))</f>
        <v/>
      </c>
      <c r="O15" s="25" t="n">
        <v>15</v>
      </c>
      <c r="P15" s="5">
        <f>IF(ISBLANK($F15),"",VLOOKUP($C15,PLAYERS_IDS,2,FALSE)*VLOOKUP($D15,PLAYERS_IDS,2,FALSE))</f>
        <v/>
      </c>
      <c r="Q15" s="5">
        <f>IF(ISBLANK($F15), "",VLOOKUP($F15,PLAYERS_IDS,2,FALSE)*VLOOKUP($G15,PLAYERS_IDS,2,FALSE))</f>
        <v/>
      </c>
      <c r="R15" s="5">
        <f>IFERROR((P15*100000)+Q15,"")</f>
        <v/>
      </c>
      <c r="T15" s="69" t="n">
        <v>13</v>
      </c>
      <c r="U15" s="6" t="inlineStr">
        <is>
          <t>Purvaiz</t>
        </is>
      </c>
      <c r="V15" s="3" t="n">
        <v>7</v>
      </c>
      <c r="W15" s="3" t="n">
        <v>4</v>
      </c>
      <c r="X15" s="3" t="n">
        <v>3</v>
      </c>
      <c r="Y15" s="3" t="n">
        <v>160</v>
      </c>
      <c r="Z15" s="3" t="n">
        <v>116</v>
      </c>
      <c r="AA15" s="3">
        <f>SUMIF($C$5:$C$696,$U15,$H$5:$H$696)+SUMIF($F$5:$F$696,$U15,$E$5:$E$696)+SUMIF($D$5:$D$696,$U15,$H$5:$H$696)+SUMIF($G$5:$G$696,$U15,$E$5:$E$696)</f>
        <v/>
      </c>
      <c r="AB15" s="3">
        <f>Z15-AA15</f>
        <v/>
      </c>
      <c r="AC15" s="39" t="n"/>
      <c r="AD15" s="70">
        <f>IFERROR($W15/$V15,"")</f>
        <v/>
      </c>
      <c r="AE15" s="48">
        <f>SUM(Z15:AA15)</f>
        <v/>
      </c>
    </row>
    <row r="16" ht="20.25" customHeight="1" s="106">
      <c r="A16" s="14" t="n">
        <v>46271</v>
      </c>
      <c r="B16" s="15" t="n">
        <v>12</v>
      </c>
      <c r="C16" s="15" t="inlineStr">
        <is>
          <t>Ken</t>
        </is>
      </c>
      <c r="D16" s="15" t="inlineStr">
        <is>
          <t>Altamash</t>
        </is>
      </c>
      <c r="E16" s="16" t="n">
        <v>23</v>
      </c>
      <c r="F16" s="15" t="inlineStr">
        <is>
          <t>Vivek</t>
        </is>
      </c>
      <c r="G16" s="15" t="inlineStr">
        <is>
          <t>Prasanna</t>
        </is>
      </c>
      <c r="H16" s="16" t="n">
        <v>21</v>
      </c>
      <c r="I16" s="15" t="inlineStr">
        <is>
          <t>Ken</t>
        </is>
      </c>
      <c r="J16" s="15" t="inlineStr">
        <is>
          <t>Altamash</t>
        </is>
      </c>
      <c r="K16" s="15" t="n">
        <v>1</v>
      </c>
      <c r="L16" s="15" t="n">
        <v>2</v>
      </c>
      <c r="M16" s="5">
        <f>IF(ISBLANK($E16),"",VLOOKUP($I16,PLAYERS_IDS,2,FALSE)*VLOOKUP($J16,PLAYERS_IDS,2,FALSE))</f>
        <v/>
      </c>
      <c r="N16" s="25">
        <f>IF(ISBLANK($E16)," ", COUNTIF($M$4:$M16,$M16))</f>
        <v/>
      </c>
      <c r="O16" s="25" t="n">
        <v>15</v>
      </c>
      <c r="P16" s="5">
        <f>IF(ISBLANK($F16),"",VLOOKUP($C16,PLAYERS_IDS,2,FALSE)*VLOOKUP($D16,PLAYERS_IDS,2,FALSE))</f>
        <v/>
      </c>
      <c r="Q16" s="5">
        <f>IF(ISBLANK($F16), "",VLOOKUP($F16,PLAYERS_IDS,2,FALSE)*VLOOKUP($G16,PLAYERS_IDS,2,FALSE))</f>
        <v/>
      </c>
      <c r="R16" s="5">
        <f>IFERROR((P16*100000)+Q16,"")</f>
        <v/>
      </c>
      <c r="T16" s="69" t="n">
        <v>14</v>
      </c>
      <c r="U16" s="6" t="inlineStr">
        <is>
          <t>Ken</t>
        </is>
      </c>
      <c r="V16" s="3" t="n">
        <v>10</v>
      </c>
      <c r="W16" s="3" t="n">
        <v>4</v>
      </c>
      <c r="X16" s="3" t="n">
        <v>6</v>
      </c>
      <c r="Y16" s="3" t="n">
        <v>160</v>
      </c>
      <c r="Z16" s="3" t="n">
        <v>182</v>
      </c>
      <c r="AA16" s="3">
        <f>SUMIF($C$5:$C$696,$U16,$H$5:$H$696)+SUMIF($F$5:$F$696,$U16,$E$5:$E$696)+SUMIF($D$5:$D$696,$U16,$H$5:$H$696)+SUMIF($G$5:$G$696,$U16,$E$5:$E$696)</f>
        <v/>
      </c>
      <c r="AB16" s="3">
        <f>Z16-AA16</f>
        <v/>
      </c>
      <c r="AC16" s="40" t="n"/>
      <c r="AD16" s="70">
        <f>IFERROR($W16/$V16,"")</f>
        <v/>
      </c>
      <c r="AE16" s="48">
        <f>SUM(Z16:AA16)</f>
        <v/>
      </c>
    </row>
    <row r="17" ht="20.25" customHeight="1" s="106">
      <c r="A17" s="14" t="n">
        <v>46271</v>
      </c>
      <c r="B17" s="15" t="n">
        <v>13</v>
      </c>
      <c r="C17" s="15" t="inlineStr">
        <is>
          <t>Vasu</t>
        </is>
      </c>
      <c r="D17" s="15" t="inlineStr">
        <is>
          <t>Waqas</t>
        </is>
      </c>
      <c r="E17" s="16" t="n">
        <v>21</v>
      </c>
      <c r="F17" s="15" t="inlineStr">
        <is>
          <t>Nawaz</t>
        </is>
      </c>
      <c r="G17" s="15" t="inlineStr">
        <is>
          <t>Shiva</t>
        </is>
      </c>
      <c r="H17" s="16" t="n">
        <v>15</v>
      </c>
      <c r="I17" s="15" t="inlineStr">
        <is>
          <t>Vasu</t>
        </is>
      </c>
      <c r="J17" s="15" t="inlineStr">
        <is>
          <t>Waqas</t>
        </is>
      </c>
      <c r="K17" s="15" t="n">
        <v>1</v>
      </c>
      <c r="L17" s="15" t="n">
        <v>6</v>
      </c>
      <c r="M17" s="5">
        <f>IF(ISBLANK($E17),"",VLOOKUP($I17,PLAYERS_IDS,2,FALSE)*VLOOKUP($J17,PLAYERS_IDS,2,FALSE))</f>
        <v/>
      </c>
      <c r="N17" s="25">
        <f>IF(ISBLANK($E17)," ", COUNTIF($M$4:$M17,$M17))</f>
        <v/>
      </c>
      <c r="O17" s="25" t="n">
        <v>15</v>
      </c>
      <c r="P17" s="5">
        <f>IF(ISBLANK($F17),"",VLOOKUP($C17,PLAYERS_IDS,2,FALSE)*VLOOKUP($D17,PLAYERS_IDS,2,FALSE))</f>
        <v/>
      </c>
      <c r="Q17" s="5">
        <f>IF(ISBLANK($F17), "",VLOOKUP($F17,PLAYERS_IDS,2,FALSE)*VLOOKUP($G17,PLAYERS_IDS,2,FALSE))</f>
        <v/>
      </c>
      <c r="R17" s="5">
        <f>IFERROR((P17*100000)+Q17,"")</f>
        <v/>
      </c>
      <c r="T17" s="69" t="n">
        <v>15</v>
      </c>
      <c r="U17" s="6" t="inlineStr">
        <is>
          <t>Shiva</t>
        </is>
      </c>
      <c r="V17" s="3" t="n">
        <v>23</v>
      </c>
      <c r="W17" s="3" t="n">
        <v>16</v>
      </c>
      <c r="X17" s="3" t="n">
        <v>7</v>
      </c>
      <c r="Y17" s="3" t="n">
        <v>340</v>
      </c>
      <c r="Z17" s="3" t="n">
        <v>448</v>
      </c>
      <c r="AA17" s="3">
        <f>SUMIF($C$5:$C$696,$U17,$H$5:$H$696)+SUMIF($F$5:$F$696,$U17,$E$5:$E$696)+SUMIF($D$5:$D$696,$U17,$H$5:$H$696)+SUMIF($G$5:$G$696,$U17,$E$5:$E$696)</f>
        <v/>
      </c>
      <c r="AB17" s="3">
        <f>Z17-AA17</f>
        <v/>
      </c>
      <c r="AC17" s="40" t="n"/>
      <c r="AD17" s="70">
        <f>IFERROR($W17/$V17,"")</f>
        <v/>
      </c>
      <c r="AE17" s="48">
        <f>SUM(Z17:AA17)</f>
        <v/>
      </c>
    </row>
    <row r="18" ht="20.25" customHeight="1" s="106">
      <c r="A18" s="14" t="n">
        <v>46271</v>
      </c>
      <c r="B18" s="15" t="n">
        <v>14</v>
      </c>
      <c r="C18" s="15" t="inlineStr">
        <is>
          <t>Ziad</t>
        </is>
      </c>
      <c r="D18" s="15" t="inlineStr">
        <is>
          <t>Altamash</t>
        </is>
      </c>
      <c r="E18" s="16" t="n">
        <v>20</v>
      </c>
      <c r="F18" s="15" t="inlineStr">
        <is>
          <t>Rukhsar</t>
        </is>
      </c>
      <c r="G18" s="15" t="inlineStr">
        <is>
          <t>Thomas</t>
        </is>
      </c>
      <c r="H18" s="16" t="n">
        <v>16</v>
      </c>
      <c r="I18" s="15" t="inlineStr">
        <is>
          <t>Ziad</t>
        </is>
      </c>
      <c r="J18" s="15" t="inlineStr">
        <is>
          <t>Altamash</t>
        </is>
      </c>
      <c r="K18" s="15" t="n">
        <v>2</v>
      </c>
      <c r="L18" s="15" t="n">
        <v>4</v>
      </c>
      <c r="M18" s="5">
        <f>IF(ISBLANK($E18),"",VLOOKUP($I18,PLAYERS_IDS,2,FALSE)*VLOOKUP($J18,PLAYERS_IDS,2,FALSE))</f>
        <v/>
      </c>
      <c r="N18" s="25">
        <f>IF(ISBLANK($E18)," ", COUNTIF($M$4:$M18,$M18))</f>
        <v/>
      </c>
      <c r="O18" s="25" t="n">
        <v>15</v>
      </c>
      <c r="P18" s="5">
        <f>IF(ISBLANK($F18),"",VLOOKUP($C18,PLAYERS_IDS,2,FALSE)*VLOOKUP($D18,PLAYERS_IDS,2,FALSE))</f>
        <v/>
      </c>
      <c r="Q18" s="5">
        <f>IF(ISBLANK($F18), "",VLOOKUP($F18,PLAYERS_IDS,2,FALSE)*VLOOKUP($G18,PLAYERS_IDS,2,FALSE))</f>
        <v/>
      </c>
      <c r="R18" s="5">
        <f>IFERROR((P18*100000)+Q18,"")</f>
        <v/>
      </c>
      <c r="T18" s="69" t="n">
        <v>16</v>
      </c>
      <c r="U18" s="6" t="inlineStr">
        <is>
          <t>Suraj</t>
        </is>
      </c>
      <c r="V18" s="3" t="n">
        <v>8</v>
      </c>
      <c r="W18" s="3" t="n">
        <v>3</v>
      </c>
      <c r="X18" s="3" t="n">
        <v>5</v>
      </c>
      <c r="Y18" s="3" t="n">
        <v>145</v>
      </c>
      <c r="Z18" s="3" t="n">
        <v>123</v>
      </c>
      <c r="AA18" s="3">
        <f>SUMIF($C$5:$C$696,$U18,$H$5:$H$696)+SUMIF($F$5:$F$696,$U18,$E$5:$E$696)+SUMIF($D$5:$D$696,$U18,$H$5:$H$696)+SUMIF($G$5:$G$696,$U18,$E$5:$E$696)</f>
        <v/>
      </c>
      <c r="AB18" s="3">
        <f>Z18-AA18</f>
        <v/>
      </c>
      <c r="AC18" s="40" t="n"/>
      <c r="AD18" s="70">
        <f>IFERROR($W18/$V18,"")</f>
        <v/>
      </c>
      <c r="AE18" s="48">
        <f>SUM(Z18:AA18)</f>
        <v/>
      </c>
    </row>
    <row r="19" ht="20.25" customHeight="1" s="106">
      <c r="A19" s="14" t="n">
        <v>46271</v>
      </c>
      <c r="B19" s="15" t="n">
        <v>15</v>
      </c>
      <c r="C19" s="15" t="inlineStr">
        <is>
          <t>Santosh</t>
        </is>
      </c>
      <c r="D19" s="15" t="inlineStr">
        <is>
          <t>Mansoor</t>
        </is>
      </c>
      <c r="E19" s="16" t="n">
        <v>21</v>
      </c>
      <c r="F19" s="15" t="inlineStr">
        <is>
          <t>Vivek</t>
        </is>
      </c>
      <c r="G19" s="15" t="inlineStr">
        <is>
          <t>Nawaz</t>
        </is>
      </c>
      <c r="H19" s="16" t="n">
        <v>19</v>
      </c>
      <c r="I19" s="15" t="inlineStr">
        <is>
          <t>Santosh</t>
        </is>
      </c>
      <c r="J19" s="15" t="inlineStr">
        <is>
          <t>Mansoor</t>
        </is>
      </c>
      <c r="K19" s="15" t="n">
        <v>2</v>
      </c>
      <c r="L19" s="15" t="n">
        <v>2</v>
      </c>
      <c r="M19" s="5">
        <f>IF(ISBLANK($E19),"",VLOOKUP($I19,PLAYERS_IDS,2,FALSE)*VLOOKUP($J19,PLAYERS_IDS,2,FALSE))</f>
        <v/>
      </c>
      <c r="N19" s="25">
        <f>IF(ISBLANK($E19)," ", COUNTIF($M$4:$M19,$M19))</f>
        <v/>
      </c>
      <c r="O19" s="25" t="n">
        <v>15</v>
      </c>
      <c r="P19" s="5">
        <f>IF(ISBLANK($F19),"",VLOOKUP($C19,PLAYERS_IDS,2,FALSE)*VLOOKUP($D19,PLAYERS_IDS,2,FALSE))</f>
        <v/>
      </c>
      <c r="Q19" s="5">
        <f>IF(ISBLANK($F19), "",VLOOKUP($F19,PLAYERS_IDS,2,FALSE)*VLOOKUP($G19,PLAYERS_IDS,2,FALSE))</f>
        <v/>
      </c>
      <c r="R19" s="5">
        <f>IFERROR((P19*100000)+Q19,"")</f>
        <v/>
      </c>
      <c r="T19" s="69" t="n">
        <v>17</v>
      </c>
      <c r="U19" s="6" t="inlineStr">
        <is>
          <t>Samir</t>
        </is>
      </c>
      <c r="V19" s="3" t="n">
        <v>6</v>
      </c>
      <c r="W19" s="3" t="n">
        <v>4</v>
      </c>
      <c r="X19" s="3" t="n">
        <v>2</v>
      </c>
      <c r="Y19" s="3" t="n">
        <v>160</v>
      </c>
      <c r="Z19" s="3" t="n">
        <v>110</v>
      </c>
      <c r="AA19" s="3">
        <f>SUMIF($C$5:$C$696,$U19,$H$5:$H$696)+SUMIF($F$5:$F$696,$U19,$E$5:$E$696)+SUMIF($D$5:$D$696,$U19,$H$5:$H$696)+SUMIF($G$5:$G$696,$U19,$E$5:$E$696)</f>
        <v/>
      </c>
      <c r="AB19" s="3">
        <f>Z19-AA19</f>
        <v/>
      </c>
      <c r="AC19" s="39" t="n"/>
      <c r="AD19" s="70">
        <f>IFERROR($W19/$V19,"")</f>
        <v/>
      </c>
      <c r="AE19" s="48">
        <f>SUM(Z19:AA19)</f>
        <v/>
      </c>
    </row>
    <row r="20" ht="20.25" customHeight="1" s="106">
      <c r="A20" s="14" t="n">
        <v>46271</v>
      </c>
      <c r="B20" s="15" t="n">
        <v>16</v>
      </c>
      <c r="C20" s="15" t="inlineStr">
        <is>
          <t>Santosh</t>
        </is>
      </c>
      <c r="D20" s="15" t="inlineStr">
        <is>
          <t>Atul</t>
        </is>
      </c>
      <c r="E20" s="16" t="n">
        <v>24</v>
      </c>
      <c r="F20" s="15" t="inlineStr">
        <is>
          <t>Vivek</t>
        </is>
      </c>
      <c r="G20" s="15" t="inlineStr">
        <is>
          <t>Altamash</t>
        </is>
      </c>
      <c r="H20" s="16" t="n">
        <v>22</v>
      </c>
      <c r="I20" s="15" t="inlineStr">
        <is>
          <t>Santosh</t>
        </is>
      </c>
      <c r="J20" s="15" t="inlineStr">
        <is>
          <t>Atul</t>
        </is>
      </c>
      <c r="K20" s="15" t="n">
        <v>4</v>
      </c>
      <c r="L20" s="15" t="n">
        <v>2</v>
      </c>
      <c r="M20" s="5">
        <f>IF(ISBLANK($E20),"",VLOOKUP($I20,PLAYERS_IDS,2,FALSE)*VLOOKUP($J20,PLAYERS_IDS,2,FALSE))</f>
        <v/>
      </c>
      <c r="N20" s="25">
        <f>IF(ISBLANK($E20)," ", COUNTIF($M$4:$M20,$M20))</f>
        <v/>
      </c>
      <c r="O20" s="25" t="n">
        <v>15</v>
      </c>
      <c r="P20" s="5">
        <f>IF(ISBLANK($F20),"",VLOOKUP($C20,PLAYERS_IDS,2,FALSE)*VLOOKUP($D20,PLAYERS_IDS,2,FALSE))</f>
        <v/>
      </c>
      <c r="Q20" s="5">
        <f>IF(ISBLANK($F20), "",VLOOKUP($F20,PLAYERS_IDS,2,FALSE)*VLOOKUP($G20,PLAYERS_IDS,2,FALSE))</f>
        <v/>
      </c>
      <c r="R20" s="5">
        <f>IFERROR((P20*100000)+Q20,"")</f>
        <v/>
      </c>
      <c r="T20" s="69" t="n">
        <v>18</v>
      </c>
      <c r="U20" s="6" t="inlineStr">
        <is>
          <t>Prasanna</t>
        </is>
      </c>
      <c r="V20" s="3" t="n">
        <v>19</v>
      </c>
      <c r="W20" s="3" t="n">
        <v>6</v>
      </c>
      <c r="X20" s="3" t="n">
        <v>13</v>
      </c>
      <c r="Y20" s="3" t="n">
        <v>190</v>
      </c>
      <c r="Z20" s="3" t="n">
        <v>294</v>
      </c>
      <c r="AA20" s="3">
        <f>SUMIF($C$5:$C$696,$U20,$H$5:$H$696)+SUMIF($F$5:$F$696,$U20,$E$5:$E$696)+SUMIF($D$5:$D$696,$U20,$H$5:$H$696)+SUMIF($G$5:$G$696,$U20,$E$5:$E$696)</f>
        <v/>
      </c>
      <c r="AB20" s="3">
        <f>Z20-AA20</f>
        <v/>
      </c>
      <c r="AC20" s="40" t="n"/>
      <c r="AD20" s="70">
        <f>IFERROR($W20/$V20,"")</f>
        <v/>
      </c>
      <c r="AE20" s="48">
        <f>SUM(Z20:AA20)</f>
        <v/>
      </c>
    </row>
    <row r="21" ht="20.25" customHeight="1" s="106">
      <c r="A21" s="14" t="n">
        <v>46271</v>
      </c>
      <c r="B21" s="15" t="n">
        <v>17</v>
      </c>
      <c r="C21" s="15" t="inlineStr">
        <is>
          <t>Santosh</t>
        </is>
      </c>
      <c r="D21" s="15" t="inlineStr">
        <is>
          <t>Vasu</t>
        </is>
      </c>
      <c r="E21" s="16" t="n">
        <v>21</v>
      </c>
      <c r="F21" s="15" t="inlineStr">
        <is>
          <t>Faiyaz</t>
        </is>
      </c>
      <c r="G21" s="15" t="inlineStr">
        <is>
          <t>Mansoor</t>
        </is>
      </c>
      <c r="H21" s="16" t="n">
        <v>11</v>
      </c>
      <c r="I21" s="15" t="inlineStr">
        <is>
          <t>Santosh</t>
        </is>
      </c>
      <c r="J21" s="15" t="inlineStr">
        <is>
          <t>Vasu</t>
        </is>
      </c>
      <c r="K21" s="15" t="n">
        <v>4</v>
      </c>
      <c r="L21" s="15" t="n">
        <v>10</v>
      </c>
      <c r="M21" s="5">
        <f>IF(ISBLANK($E21),"",VLOOKUP($I21,PLAYERS_IDS,2,FALSE)*VLOOKUP($J21,PLAYERS_IDS,2,FALSE))</f>
        <v/>
      </c>
      <c r="N21" s="25">
        <f>IF(ISBLANK($E21)," ", COUNTIF($M$4:$M21,$M21))</f>
        <v/>
      </c>
      <c r="O21" s="25" t="n">
        <v>15</v>
      </c>
      <c r="P21" s="5">
        <f>IF(ISBLANK($F21),"",VLOOKUP($C21,PLAYERS_IDS,2,FALSE)*VLOOKUP($D21,PLAYERS_IDS,2,FALSE))</f>
        <v/>
      </c>
      <c r="Q21" s="5">
        <f>IF(ISBLANK($F21), "",VLOOKUP($F21,PLAYERS_IDS,2,FALSE)*VLOOKUP($G21,PLAYERS_IDS,2,FALSE))</f>
        <v/>
      </c>
      <c r="R21" s="5">
        <f>IFERROR((P21*100000)+Q21,"")</f>
        <v/>
      </c>
      <c r="T21" s="69" t="n">
        <v>19</v>
      </c>
      <c r="U21" s="6" t="inlineStr">
        <is>
          <t>Deepesh</t>
        </is>
      </c>
      <c r="V21" s="3" t="n">
        <v>23</v>
      </c>
      <c r="W21" s="3" t="n">
        <v>10</v>
      </c>
      <c r="X21" s="3" t="n">
        <v>13</v>
      </c>
      <c r="Y21" s="3" t="n">
        <v>250</v>
      </c>
      <c r="Z21" s="3" t="n">
        <v>409</v>
      </c>
      <c r="AA21" s="3">
        <f>SUMIF($C$5:$C$696,$U21,$H$5:$H$696)+SUMIF($F$5:$F$696,$U21,$E$5:$E$696)+SUMIF($D$5:$D$696,$U21,$H$5:$H$696)+SUMIF($G$5:$G$696,$U21,$E$5:$E$696)</f>
        <v/>
      </c>
      <c r="AB21" s="3">
        <f>Z21-AA21</f>
        <v/>
      </c>
      <c r="AC21" s="39" t="n"/>
      <c r="AD21" s="70">
        <f>IFERROR($W21/$V21,"")</f>
        <v/>
      </c>
      <c r="AE21" s="48">
        <f>SUM(Z21:AA21)</f>
        <v/>
      </c>
    </row>
    <row r="22" ht="20.25" customHeight="1" s="106">
      <c r="A22" s="14" t="n">
        <v>46271</v>
      </c>
      <c r="B22" s="15" t="n">
        <v>18</v>
      </c>
      <c r="C22" s="15" t="inlineStr">
        <is>
          <t>Santosh</t>
        </is>
      </c>
      <c r="D22" s="15" t="inlineStr">
        <is>
          <t>Mansoor</t>
        </is>
      </c>
      <c r="E22" s="16" t="n">
        <v>21</v>
      </c>
      <c r="F22" s="15" t="inlineStr">
        <is>
          <t>Prasanna</t>
        </is>
      </c>
      <c r="G22" s="15" t="inlineStr">
        <is>
          <t>Parvez</t>
        </is>
      </c>
      <c r="H22" s="16" t="n">
        <v>19</v>
      </c>
      <c r="I22" s="15" t="inlineStr">
        <is>
          <t>Santosh</t>
        </is>
      </c>
      <c r="J22" s="15" t="inlineStr">
        <is>
          <t>Mansoor</t>
        </is>
      </c>
      <c r="K22" s="15" t="n">
        <v>3</v>
      </c>
      <c r="L22" s="15" t="n">
        <v>2</v>
      </c>
      <c r="M22" s="5">
        <f>IF(ISBLANK($E22),"",VLOOKUP($I22,PLAYERS_IDS,2,FALSE)*VLOOKUP($J22,PLAYERS_IDS,2,FALSE))</f>
        <v/>
      </c>
      <c r="N22" s="25">
        <f>IF(ISBLANK($E22)," ", COUNTIF($M$4:$M22,$M22))</f>
        <v/>
      </c>
      <c r="O22" s="25" t="n">
        <v>15</v>
      </c>
      <c r="P22" s="5">
        <f>IF(ISBLANK($F22),"",VLOOKUP($C22,PLAYERS_IDS,2,FALSE)*VLOOKUP($D22,PLAYERS_IDS,2,FALSE))</f>
        <v/>
      </c>
      <c r="Q22" s="5">
        <f>IF(ISBLANK($F22), "",VLOOKUP($F22,PLAYERS_IDS,2,FALSE)*VLOOKUP($G22,PLAYERS_IDS,2,FALSE))</f>
        <v/>
      </c>
      <c r="R22" s="5">
        <f>IFERROR((P22*100000)+Q22,"")</f>
        <v/>
      </c>
      <c r="T22" s="69" t="n">
        <v>20</v>
      </c>
      <c r="U22" s="6" t="inlineStr">
        <is>
          <t>Faiyaz</t>
        </is>
      </c>
      <c r="V22" s="3" t="n">
        <v>28</v>
      </c>
      <c r="W22" s="3" t="n">
        <v>11</v>
      </c>
      <c r="X22" s="3" t="n">
        <v>17</v>
      </c>
      <c r="Y22" s="3" t="n">
        <v>265</v>
      </c>
      <c r="Z22" s="3" t="n">
        <v>469</v>
      </c>
      <c r="AA22" s="3">
        <f>SUMIF($C$5:$C$696,$U22,$H$5:$H$696)+SUMIF($F$5:$F$696,$U22,$E$5:$E$696)+SUMIF($D$5:$D$696,$U22,$H$5:$H$696)+SUMIF($G$5:$G$696,$U22,$E$5:$E$696)</f>
        <v/>
      </c>
      <c r="AB22" s="3">
        <f>Z22-AA22</f>
        <v/>
      </c>
      <c r="AC22" s="58" t="n"/>
      <c r="AD22" s="70">
        <f>IFERROR($W22/$V22,"")</f>
        <v/>
      </c>
      <c r="AE22" s="48">
        <f>SUM(Z22:AA22)</f>
        <v/>
      </c>
    </row>
    <row r="23" ht="20.25" customHeight="1" s="106">
      <c r="A23" s="14" t="n">
        <v>46271</v>
      </c>
      <c r="B23" s="15" t="n">
        <v>19</v>
      </c>
      <c r="C23" s="15" t="inlineStr">
        <is>
          <t>Atul</t>
        </is>
      </c>
      <c r="D23" s="15" t="inlineStr">
        <is>
          <t>Altamash</t>
        </is>
      </c>
      <c r="E23" s="16" t="n">
        <v>21</v>
      </c>
      <c r="F23" s="15" t="inlineStr">
        <is>
          <t>Ziad</t>
        </is>
      </c>
      <c r="G23" s="15" t="inlineStr">
        <is>
          <t>Ken</t>
        </is>
      </c>
      <c r="H23" s="16" t="n">
        <v>19</v>
      </c>
      <c r="I23" s="15" t="inlineStr">
        <is>
          <t>Atul</t>
        </is>
      </c>
      <c r="J23" s="15" t="inlineStr">
        <is>
          <t>Altamash</t>
        </is>
      </c>
      <c r="K23" s="15" t="n">
        <v>1</v>
      </c>
      <c r="L23" s="15" t="n">
        <v>2</v>
      </c>
      <c r="M23" s="5">
        <f>IF(ISBLANK($E23),"",VLOOKUP($I23,PLAYERS_IDS,2,FALSE)*VLOOKUP($J23,PLAYERS_IDS,2,FALSE))</f>
        <v/>
      </c>
      <c r="N23" s="25">
        <f>IF(ISBLANK($E23)," ", COUNTIF($M$4:$M23,$M23))</f>
        <v/>
      </c>
      <c r="O23" s="25" t="n">
        <v>15</v>
      </c>
      <c r="P23" s="5">
        <f>IF(ISBLANK($F23),"",VLOOKUP($C23,PLAYERS_IDS,2,FALSE)*VLOOKUP($D23,PLAYERS_IDS,2,FALSE))</f>
        <v/>
      </c>
      <c r="Q23" s="5">
        <f>IF(ISBLANK($F23), "",VLOOKUP($F23,PLAYERS_IDS,2,FALSE)*VLOOKUP($G23,PLAYERS_IDS,2,FALSE))</f>
        <v/>
      </c>
      <c r="R23" s="5">
        <f>IFERROR((P23*100000)+Q23,"")</f>
        <v/>
      </c>
      <c r="T23" s="69" t="n">
        <v>21</v>
      </c>
      <c r="U23" s="6" t="inlineStr">
        <is>
          <t>Rahul J</t>
        </is>
      </c>
      <c r="V23" s="3" t="n">
        <v>0</v>
      </c>
      <c r="W23" s="3" t="n">
        <v>0</v>
      </c>
      <c r="X23" s="3" t="n">
        <v>0</v>
      </c>
      <c r="Y23" s="3" t="n">
        <v>100</v>
      </c>
      <c r="Z23" s="3" t="n">
        <v>0</v>
      </c>
      <c r="AA23" s="3">
        <f>SUMIF($C$5:$C$696,$U23,$H$5:$H$696)+SUMIF($F$5:$F$696,$U23,$E$5:$E$696)+SUMIF($D$5:$D$696,$U23,$H$5:$H$696)+SUMIF($G$5:$G$696,$U23,$E$5:$E$696)</f>
        <v/>
      </c>
      <c r="AB23" s="3">
        <f>Z23-AA23</f>
        <v/>
      </c>
      <c r="AC23" s="58" t="n"/>
      <c r="AD23" s="71">
        <f>IFERROR($W23/$V23,"")</f>
        <v/>
      </c>
      <c r="AE23" s="48">
        <f>SUM(Z23:AA23)</f>
        <v/>
      </c>
    </row>
    <row r="24" ht="20.25" customHeight="1" s="106">
      <c r="A24" s="14" t="n">
        <v>46271</v>
      </c>
      <c r="B24" s="15" t="n">
        <v>20</v>
      </c>
      <c r="C24" s="15" t="inlineStr">
        <is>
          <t>Atul</t>
        </is>
      </c>
      <c r="D24" s="15" t="inlineStr">
        <is>
          <t>Mansoor</t>
        </is>
      </c>
      <c r="E24" s="16" t="n">
        <v>21</v>
      </c>
      <c r="F24" s="15" t="inlineStr">
        <is>
          <t>Faiyaz</t>
        </is>
      </c>
      <c r="G24" s="15" t="inlineStr">
        <is>
          <t>Tousif</t>
        </is>
      </c>
      <c r="H24" s="16" t="n">
        <v>12</v>
      </c>
      <c r="I24" s="15" t="inlineStr">
        <is>
          <t>Atul</t>
        </is>
      </c>
      <c r="J24" s="15" t="inlineStr">
        <is>
          <t>Mansoor</t>
        </is>
      </c>
      <c r="K24" s="15" t="n">
        <v>4</v>
      </c>
      <c r="L24" s="15" t="n">
        <v>9</v>
      </c>
      <c r="M24" s="5">
        <f>IF(ISBLANK($E24),"",VLOOKUP($I24,PLAYERS_IDS,2,FALSE)*VLOOKUP($J24,PLAYERS_IDS,2,FALSE))</f>
        <v/>
      </c>
      <c r="N24" s="25">
        <f>IF(ISBLANK($E24)," ", COUNTIF($M$4:$M24,$M24))</f>
        <v/>
      </c>
      <c r="O24" s="25" t="n">
        <v>15</v>
      </c>
      <c r="P24" s="5">
        <f>IF(ISBLANK($F24),"",VLOOKUP($C24,PLAYERS_IDS,2,FALSE)*VLOOKUP($D24,PLAYERS_IDS,2,FALSE))</f>
        <v/>
      </c>
      <c r="Q24" s="5">
        <f>IF(ISBLANK($F24), "",VLOOKUP($F24,PLAYERS_IDS,2,FALSE)*VLOOKUP($G24,PLAYERS_IDS,2,FALSE))</f>
        <v/>
      </c>
      <c r="R24" s="5">
        <f>IFERROR((P24*100000)+Q24,"")</f>
        <v/>
      </c>
      <c r="T24" s="69" t="n">
        <v>22</v>
      </c>
      <c r="U24" s="6" t="inlineStr">
        <is>
          <t>Usman</t>
        </is>
      </c>
      <c r="V24" s="3" t="n">
        <v>0</v>
      </c>
      <c r="W24" s="3" t="n">
        <v>0</v>
      </c>
      <c r="X24" s="3" t="n">
        <v>0</v>
      </c>
      <c r="Y24" s="3" t="n">
        <v>100</v>
      </c>
      <c r="Z24" s="3" t="n">
        <v>0</v>
      </c>
      <c r="AA24" s="3">
        <f>SUMIF($C$5:$C$696,$U24,$H$5:$H$696)+SUMIF($F$5:$F$696,$U24,$E$5:$E$696)+SUMIF($D$5:$D$696,$U24,$H$5:$H$696)+SUMIF($G$5:$G$696,$U24,$E$5:$E$696)</f>
        <v/>
      </c>
      <c r="AB24" s="3">
        <f>Z24-AA24</f>
        <v/>
      </c>
      <c r="AD24" s="70">
        <f>IFERROR($W24/$V24,"")</f>
        <v/>
      </c>
      <c r="AE24" s="48">
        <f>SUM(Z24:AA24)</f>
        <v/>
      </c>
    </row>
    <row r="25" ht="20.25" customHeight="1" s="106">
      <c r="A25" s="14" t="n">
        <v>46271</v>
      </c>
      <c r="B25" s="15" t="n">
        <v>21</v>
      </c>
      <c r="C25" s="15" t="inlineStr">
        <is>
          <t>Thomas</t>
        </is>
      </c>
      <c r="D25" s="15" t="inlineStr">
        <is>
          <t>Tousif</t>
        </is>
      </c>
      <c r="E25" s="16" t="n">
        <v>21</v>
      </c>
      <c r="F25" s="15" t="inlineStr">
        <is>
          <t>Altamash</t>
        </is>
      </c>
      <c r="G25" s="15" t="inlineStr">
        <is>
          <t>Nawaz</t>
        </is>
      </c>
      <c r="H25" s="16" t="n">
        <v>15</v>
      </c>
      <c r="I25" s="15" t="inlineStr">
        <is>
          <t>Thomas</t>
        </is>
      </c>
      <c r="J25" s="15" t="inlineStr">
        <is>
          <t>Tousif</t>
        </is>
      </c>
      <c r="K25" s="15" t="n">
        <v>3</v>
      </c>
      <c r="L25" s="15" t="n">
        <v>6</v>
      </c>
      <c r="M25" s="5">
        <f>IF(ISBLANK($E25),"",VLOOKUP($I25,PLAYERS_IDS,2,FALSE)*VLOOKUP($J25,PLAYERS_IDS,2,FALSE))</f>
        <v/>
      </c>
      <c r="N25" s="25">
        <f>IF(ISBLANK($E25)," ", COUNTIF($M$4:$M25,$M25))</f>
        <v/>
      </c>
      <c r="O25" s="25" t="n">
        <v>15</v>
      </c>
      <c r="P25" s="5">
        <f>IF(ISBLANK($F25),"",VLOOKUP($C25,PLAYERS_IDS,2,FALSE)*VLOOKUP($D25,PLAYERS_IDS,2,FALSE))</f>
        <v/>
      </c>
      <c r="Q25" s="5">
        <f>IF(ISBLANK($F25), "",VLOOKUP($F25,PLAYERS_IDS,2,FALSE)*VLOOKUP($G25,PLAYERS_IDS,2,FALSE))</f>
        <v/>
      </c>
      <c r="R25" s="5">
        <f>IFERROR((P25*100000)+Q25,"")</f>
        <v/>
      </c>
      <c r="T25" s="69" t="n">
        <v>23</v>
      </c>
      <c r="U25" s="6" t="inlineStr">
        <is>
          <t>Shoaib</t>
        </is>
      </c>
      <c r="V25" s="3" t="n">
        <v>4</v>
      </c>
      <c r="W25" s="3" t="n">
        <v>0</v>
      </c>
      <c r="X25" s="3" t="n">
        <v>4</v>
      </c>
      <c r="Y25" s="3" t="n">
        <v>100</v>
      </c>
      <c r="Z25" s="3" t="n">
        <v>42</v>
      </c>
      <c r="AA25" s="3">
        <f>SUMIF($C$5:$C$696,$U25,$H$5:$H$696)+SUMIF($F$5:$F$696,$U25,$E$5:$E$696)+SUMIF($D$5:$D$696,$U25,$H$5:$H$696)+SUMIF($G$5:$G$696,$U25,$E$5:$E$696)</f>
        <v/>
      </c>
      <c r="AB25" s="3">
        <f>Z25-AA25</f>
        <v/>
      </c>
      <c r="AD25" s="70">
        <f>IFERROR($W25/$V25,"")</f>
        <v/>
      </c>
      <c r="AE25" s="48">
        <f>SUM(Z25:AA25)</f>
        <v/>
      </c>
    </row>
    <row r="26" ht="20.25" customHeight="1" s="106">
      <c r="A26" s="14" t="n">
        <v>46271</v>
      </c>
      <c r="B26" s="15" t="n">
        <v>22</v>
      </c>
      <c r="C26" s="17" t="inlineStr">
        <is>
          <t>Thomas</t>
        </is>
      </c>
      <c r="D26" s="15" t="inlineStr">
        <is>
          <t>Ken</t>
        </is>
      </c>
      <c r="E26" s="16" t="n">
        <v>21</v>
      </c>
      <c r="F26" s="15" t="inlineStr">
        <is>
          <t>Aahil</t>
        </is>
      </c>
      <c r="G26" s="15" t="inlineStr">
        <is>
          <t>Shiva</t>
        </is>
      </c>
      <c r="H26" s="18" t="n">
        <v>15</v>
      </c>
      <c r="I26" s="15" t="inlineStr">
        <is>
          <t>Thomas</t>
        </is>
      </c>
      <c r="J26" s="15" t="inlineStr">
        <is>
          <t>Ken</t>
        </is>
      </c>
      <c r="K26" s="15" t="n">
        <v>2</v>
      </c>
      <c r="L26" s="15" t="n">
        <v>6</v>
      </c>
      <c r="M26" s="5">
        <f>IF(ISBLANK($E26),"",VLOOKUP($I26,PLAYERS_IDS,2,FALSE)*VLOOKUP($J26,PLAYERS_IDS,2,FALSE))</f>
        <v/>
      </c>
      <c r="N26" s="25">
        <f>IF(ISBLANK($E26)," ", COUNTIF($M$4:$M26,$M26))</f>
        <v/>
      </c>
      <c r="O26" s="25" t="n">
        <v>15</v>
      </c>
      <c r="P26" s="5">
        <f>IF(ISBLANK($F26),"",VLOOKUP($C26,PLAYERS_IDS,2,FALSE)*VLOOKUP($D26,PLAYERS_IDS,2,FALSE))</f>
        <v/>
      </c>
      <c r="Q26" s="5">
        <f>IF(ISBLANK($F26), "",VLOOKUP($F26,PLAYERS_IDS,2,FALSE)*VLOOKUP($G26,PLAYERS_IDS,2,FALSE))</f>
        <v/>
      </c>
      <c r="R26" s="5">
        <f>IFERROR((P26*100000)+Q26,"")</f>
        <v/>
      </c>
      <c r="T26" s="69" t="n">
        <v>24</v>
      </c>
      <c r="U26" s="6" t="inlineStr">
        <is>
          <t>Deepak</t>
        </is>
      </c>
      <c r="V26" s="3" t="n">
        <v>26</v>
      </c>
      <c r="W26" s="3" t="n">
        <v>6</v>
      </c>
      <c r="X26" s="3" t="n">
        <v>20</v>
      </c>
      <c r="Y26" s="3" t="n">
        <v>190</v>
      </c>
      <c r="Z26" s="3" t="n">
        <v>402</v>
      </c>
      <c r="AA26" s="3">
        <f>SUMIF($C$5:$C$696,$U26,$H$5:$H$696)+SUMIF($F$5:$F$696,$U26,$E$5:$E$696)+SUMIF($D$5:$D$696,$U26,$H$5:$H$696)+SUMIF($G$5:$G$696,$U26,$E$5:$E$696)</f>
        <v/>
      </c>
      <c r="AB26" s="3">
        <f>Z26-AA26</f>
        <v/>
      </c>
      <c r="AC26" s="58" t="n"/>
      <c r="AD26" s="70">
        <f>IFERROR($W26/$V26,"")</f>
        <v/>
      </c>
      <c r="AE26" s="48">
        <f>SUM(Z26:AA26)</f>
        <v/>
      </c>
    </row>
    <row r="27" ht="20.25" customHeight="1" s="106">
      <c r="A27" s="14" t="n">
        <v>46271</v>
      </c>
      <c r="B27" s="15" t="n">
        <v>23</v>
      </c>
      <c r="C27" s="17" t="inlineStr">
        <is>
          <t>Thomas</t>
        </is>
      </c>
      <c r="D27" s="15" t="inlineStr">
        <is>
          <t>Waqas</t>
        </is>
      </c>
      <c r="E27" s="16" t="n">
        <v>21</v>
      </c>
      <c r="F27" s="15" t="inlineStr">
        <is>
          <t>Atul</t>
        </is>
      </c>
      <c r="G27" s="15" t="inlineStr">
        <is>
          <t>Tousif</t>
        </is>
      </c>
      <c r="H27" s="18" t="n">
        <v>20</v>
      </c>
      <c r="I27" s="15" t="inlineStr">
        <is>
          <t>Thomas</t>
        </is>
      </c>
      <c r="J27" s="15" t="inlineStr">
        <is>
          <t>Waqas</t>
        </is>
      </c>
      <c r="K27" s="15" t="n">
        <v>3</v>
      </c>
      <c r="L27" s="15" t="n">
        <v>1</v>
      </c>
      <c r="M27" s="5">
        <f>IF(ISBLANK($E27),"",VLOOKUP($I27,PLAYERS_IDS,2,FALSE)*VLOOKUP($J27,PLAYERS_IDS,2,FALSE))</f>
        <v/>
      </c>
      <c r="N27" s="25">
        <f>IF(ISBLANK($E27)," ", COUNTIF($M$4:$M27,$M27))</f>
        <v/>
      </c>
      <c r="O27" s="25" t="n">
        <v>15</v>
      </c>
      <c r="P27" s="5">
        <f>IF(ISBLANK($F27),"",VLOOKUP($C27,PLAYERS_IDS,2,FALSE)*VLOOKUP($D27,PLAYERS_IDS,2,FALSE))</f>
        <v/>
      </c>
      <c r="Q27" s="5">
        <f>IF(ISBLANK($F27), "",VLOOKUP($F27,PLAYERS_IDS,2,FALSE)*VLOOKUP($G27,PLAYERS_IDS,2,FALSE))</f>
        <v/>
      </c>
      <c r="R27" s="5">
        <f>IFERROR((P27*100000)+Q27,"")</f>
        <v/>
      </c>
      <c r="T27" s="69" t="n">
        <v>25</v>
      </c>
      <c r="U27" s="6" t="inlineStr">
        <is>
          <t>Sengole</t>
        </is>
      </c>
      <c r="V27" s="3" t="n">
        <v>11</v>
      </c>
      <c r="W27" s="3" t="n">
        <v>4</v>
      </c>
      <c r="X27" s="3" t="n">
        <v>7</v>
      </c>
      <c r="Y27" s="3" t="n">
        <v>160</v>
      </c>
      <c r="Z27" s="3" t="n">
        <v>189</v>
      </c>
      <c r="AA27" s="3">
        <f>SUMIF($C$5:$C$696,$U27,$H$5:$H$696)+SUMIF($F$5:$F$696,$U27,$E$5:$E$696)+SUMIF($D$5:$D$696,$U27,$H$5:$H$696)+SUMIF($G$5:$G$696,$U27,$E$5:$E$696)</f>
        <v/>
      </c>
      <c r="AB27" s="3">
        <f>Z27-AA27</f>
        <v/>
      </c>
      <c r="AC27" s="58" t="n"/>
      <c r="AD27" s="70">
        <f>IFERROR($W27/$V27,"")</f>
        <v/>
      </c>
      <c r="AE27" s="48">
        <f>SUM(Z27:AA27)</f>
        <v/>
      </c>
    </row>
    <row r="28" ht="20.25" customHeight="1" s="106">
      <c r="A28" s="14" t="n">
        <v>46271</v>
      </c>
      <c r="B28" s="15" t="n">
        <v>24</v>
      </c>
      <c r="C28" s="17" t="inlineStr">
        <is>
          <t>Aahil</t>
        </is>
      </c>
      <c r="D28" s="15" t="inlineStr">
        <is>
          <t>Nawaz</t>
        </is>
      </c>
      <c r="E28" s="16" t="n">
        <v>21</v>
      </c>
      <c r="F28" s="15" t="inlineStr">
        <is>
          <t>Faiyaz</t>
        </is>
      </c>
      <c r="G28" s="15" t="inlineStr">
        <is>
          <t>Deepak</t>
        </is>
      </c>
      <c r="H28" s="18" t="n">
        <v>13</v>
      </c>
      <c r="I28" s="15" t="inlineStr">
        <is>
          <t>Aahil</t>
        </is>
      </c>
      <c r="J28" s="15" t="inlineStr">
        <is>
          <t>Nawaz</t>
        </is>
      </c>
      <c r="K28" s="15" t="n">
        <v>1</v>
      </c>
      <c r="L28" s="15" t="n">
        <v>8</v>
      </c>
      <c r="M28" s="5">
        <f>IF(ISBLANK($E28),"",VLOOKUP($I28,PLAYERS_IDS,2,FALSE)*VLOOKUP($J28,PLAYERS_IDS,2,FALSE))</f>
        <v/>
      </c>
      <c r="N28" s="25">
        <f>IF(ISBLANK($E28)," ", COUNTIF($M$4:$M28,$M28))</f>
        <v/>
      </c>
      <c r="O28" s="25" t="n">
        <v>15</v>
      </c>
      <c r="P28" s="5">
        <f>IF(ISBLANK($F28),"",VLOOKUP($C28,PLAYERS_IDS,2,FALSE)*VLOOKUP($D28,PLAYERS_IDS,2,FALSE))</f>
        <v/>
      </c>
      <c r="Q28" s="5">
        <f>IF(ISBLANK($F28), "",VLOOKUP($F28,PLAYERS_IDS,2,FALSE)*VLOOKUP($G28,PLAYERS_IDS,2,FALSE))</f>
        <v/>
      </c>
      <c r="R28" s="5">
        <f>IFERROR((P28*100000)+Q28,"")</f>
        <v/>
      </c>
      <c r="T28" s="69" t="n">
        <v>26</v>
      </c>
      <c r="U28" s="6" t="inlineStr">
        <is>
          <t>Altamash</t>
        </is>
      </c>
      <c r="V28" s="3" t="n">
        <v>23</v>
      </c>
      <c r="W28" s="3" t="n">
        <v>11</v>
      </c>
      <c r="X28" s="3" t="n">
        <v>12</v>
      </c>
      <c r="Y28" s="3" t="n">
        <v>265</v>
      </c>
      <c r="Z28" s="3" t="n">
        <v>430</v>
      </c>
      <c r="AA28" s="3">
        <f>SUMIF($C$5:$C$696,$U28,$H$5:$H$696)+SUMIF($F$5:$F$696,$U28,$E$5:$E$696)+SUMIF($D$5:$D$696,$U28,$H$5:$H$696)+SUMIF($G$5:$G$696,$U28,$E$5:$E$696)</f>
        <v/>
      </c>
      <c r="AB28" s="3">
        <f>Z28-AA28</f>
        <v/>
      </c>
      <c r="AC28" s="58" t="n"/>
      <c r="AD28" s="70">
        <f>IFERROR($W28/$V28,"")</f>
        <v/>
      </c>
      <c r="AE28" s="48">
        <f>SUM(Z28:AA28)</f>
        <v/>
      </c>
    </row>
    <row r="29" ht="20.25" customHeight="1" s="106">
      <c r="A29" s="14" t="n">
        <v>46271</v>
      </c>
      <c r="B29" s="15" t="n">
        <v>25</v>
      </c>
      <c r="C29" s="17" t="inlineStr">
        <is>
          <t>Waqas</t>
        </is>
      </c>
      <c r="D29" s="15" t="inlineStr">
        <is>
          <t>Jalal</t>
        </is>
      </c>
      <c r="E29" s="16" t="n">
        <v>21</v>
      </c>
      <c r="F29" s="15" t="inlineStr">
        <is>
          <t>Prasanna</t>
        </is>
      </c>
      <c r="G29" s="15" t="inlineStr">
        <is>
          <t>Vasu</t>
        </is>
      </c>
      <c r="H29" s="18" t="n">
        <v>14</v>
      </c>
      <c r="I29" s="15" t="inlineStr">
        <is>
          <t>Waqas</t>
        </is>
      </c>
      <c r="J29" s="15" t="inlineStr">
        <is>
          <t>Jalal</t>
        </is>
      </c>
      <c r="K29" s="15" t="n">
        <v>3</v>
      </c>
      <c r="L29" s="15" t="n">
        <v>7</v>
      </c>
      <c r="M29" s="5">
        <f>IF(ISBLANK($E29),"",VLOOKUP($I29,PLAYERS_IDS,2,FALSE)*VLOOKUP($J29,PLAYERS_IDS,2,FALSE))</f>
        <v/>
      </c>
      <c r="N29" s="25">
        <f>IF(ISBLANK($E29)," ", COUNTIF($M$4:$M29,$M29))</f>
        <v/>
      </c>
      <c r="O29" s="25" t="n">
        <v>15</v>
      </c>
      <c r="P29" s="5">
        <f>IF(ISBLANK($F29),"",VLOOKUP($C29,PLAYERS_IDS,2,FALSE)*VLOOKUP($D29,PLAYERS_IDS,2,FALSE))</f>
        <v/>
      </c>
      <c r="Q29" s="5">
        <f>IF(ISBLANK($F29), "",VLOOKUP($F29,PLAYERS_IDS,2,FALSE)*VLOOKUP($G29,PLAYERS_IDS,2,FALSE))</f>
        <v/>
      </c>
      <c r="R29" s="5">
        <f>IFERROR((P29*100000)+Q29,"")</f>
        <v/>
      </c>
      <c r="T29" s="69" t="n">
        <v>27</v>
      </c>
      <c r="U29" s="6" t="inlineStr">
        <is>
          <t>Mansoor</t>
        </is>
      </c>
      <c r="V29" s="3" t="n">
        <v>21</v>
      </c>
      <c r="W29" s="3" t="n">
        <v>8</v>
      </c>
      <c r="X29" s="3" t="n">
        <v>13</v>
      </c>
      <c r="Y29" s="3" t="n">
        <v>220</v>
      </c>
      <c r="Z29" s="3" t="n">
        <v>366</v>
      </c>
      <c r="AA29" s="3">
        <f>SUMIF($C$5:$C$696,$U29,$H$5:$H$696)+SUMIF($F$5:$F$696,$U29,$E$5:$E$696)+SUMIF($D$5:$D$696,$U29,$H$5:$H$696)+SUMIF($G$5:$G$696,$U29,$E$5:$E$696)</f>
        <v/>
      </c>
      <c r="AB29" s="3">
        <f>Z29-AA29</f>
        <v/>
      </c>
      <c r="AC29" s="58" t="n"/>
      <c r="AD29" s="70">
        <f>IFERROR($W29/$V29,"")</f>
        <v/>
      </c>
      <c r="AE29" s="48">
        <f>SUM(Z29:AA29)</f>
        <v/>
      </c>
    </row>
    <row r="30" ht="21" customHeight="1" s="106" thickBot="1">
      <c r="A30" s="14" t="n">
        <v>46271</v>
      </c>
      <c r="B30" s="15" t="n">
        <v>26</v>
      </c>
      <c r="C30" s="17" t="inlineStr">
        <is>
          <t>Waqas</t>
        </is>
      </c>
      <c r="D30" s="15" t="inlineStr">
        <is>
          <t>Aahil</t>
        </is>
      </c>
      <c r="E30" s="16" t="n">
        <v>21</v>
      </c>
      <c r="F30" s="15" t="inlineStr">
        <is>
          <t>Atul</t>
        </is>
      </c>
      <c r="G30" s="15" t="inlineStr">
        <is>
          <t>Vasu</t>
        </is>
      </c>
      <c r="H30" s="18" t="n">
        <v>10</v>
      </c>
      <c r="I30" s="15" t="inlineStr">
        <is>
          <t>Waqas</t>
        </is>
      </c>
      <c r="J30" s="15" t="inlineStr">
        <is>
          <t>Aahil</t>
        </is>
      </c>
      <c r="K30" s="15" t="n">
        <v>1</v>
      </c>
      <c r="L30" s="15" t="n">
        <v>11</v>
      </c>
      <c r="M30" s="5">
        <f>IF(ISBLANK($E30),"",VLOOKUP($I30,PLAYERS_IDS,2,FALSE)*VLOOKUP($J30,PLAYERS_IDS,2,FALSE))</f>
        <v/>
      </c>
      <c r="N30" s="25">
        <f>IF(ISBLANK($E30)," ", COUNTIF($M$4:$M30,$M30))</f>
        <v/>
      </c>
      <c r="O30" s="25" t="n">
        <v>15</v>
      </c>
      <c r="P30" s="5">
        <f>IF(ISBLANK($F30),"",VLOOKUP($C30,PLAYERS_IDS,2,FALSE)*VLOOKUP($D30,PLAYERS_IDS,2,FALSE))</f>
        <v/>
      </c>
      <c r="Q30" s="5">
        <f>IF(ISBLANK($F30), "",VLOOKUP($F30,PLAYERS_IDS,2,FALSE)*VLOOKUP($G30,PLAYERS_IDS,2,FALSE))</f>
        <v/>
      </c>
      <c r="R30" s="5">
        <f>IFERROR((P30*100000)+Q30,"")</f>
        <v/>
      </c>
      <c r="T30" s="72" t="n">
        <v>28</v>
      </c>
      <c r="U30" s="73" t="inlineStr">
        <is>
          <t>Nabeel</t>
        </is>
      </c>
      <c r="V30" s="74" t="n">
        <v>0</v>
      </c>
      <c r="W30" s="74" t="n">
        <v>0</v>
      </c>
      <c r="X30" s="74" t="n">
        <v>0</v>
      </c>
      <c r="Y30" s="74" t="n">
        <v>100</v>
      </c>
      <c r="Z30" s="74" t="n">
        <v>0</v>
      </c>
      <c r="AA30" s="74">
        <f>SUMIF($C$5:$C$696,$U30,$H$5:$H$696)+SUMIF($F$5:$F$696,$U30,$E$5:$E$696)+SUMIF($D$5:$D$696,$U30,$H$5:$H$696)+SUMIF($G$5:$G$696,$U30,$E$5:$E$696)</f>
        <v/>
      </c>
      <c r="AB30" s="74">
        <f>Z30-AA30</f>
        <v/>
      </c>
      <c r="AC30" s="75" t="n"/>
      <c r="AD30" s="76">
        <f>IFERROR($W30/$V30,"")</f>
        <v/>
      </c>
      <c r="AE30" s="48">
        <f>SUM(Z30:AA30)</f>
        <v/>
      </c>
    </row>
    <row r="31" ht="20.25" customHeight="1" s="106">
      <c r="A31" s="14" t="n">
        <v>46271</v>
      </c>
      <c r="B31" s="15" t="n">
        <v>27</v>
      </c>
      <c r="C31" s="17" t="inlineStr">
        <is>
          <t>Waqas</t>
        </is>
      </c>
      <c r="D31" s="15" t="inlineStr">
        <is>
          <t>Sandip</t>
        </is>
      </c>
      <c r="E31" s="16" t="n">
        <v>21</v>
      </c>
      <c r="F31" s="15" t="inlineStr">
        <is>
          <t>Aahil</t>
        </is>
      </c>
      <c r="G31" s="15" t="inlineStr">
        <is>
          <t>Mansoor</t>
        </is>
      </c>
      <c r="H31" s="18" t="n">
        <v>17</v>
      </c>
      <c r="I31" s="15" t="inlineStr">
        <is>
          <t>Waqas</t>
        </is>
      </c>
      <c r="J31" s="15" t="inlineStr">
        <is>
          <t>Sandip</t>
        </is>
      </c>
      <c r="K31" s="15" t="n">
        <v>1</v>
      </c>
      <c r="L31" s="15" t="n">
        <v>4</v>
      </c>
      <c r="M31" s="5">
        <f>IF(ISBLANK($E31),"",VLOOKUP($I31,PLAYERS_IDS,2,FALSE)*VLOOKUP($J31,PLAYERS_IDS,2,FALSE))</f>
        <v/>
      </c>
      <c r="N31" s="25">
        <f>IF(ISBLANK($E31)," ", COUNTIF($M$4:$M31,$M31))</f>
        <v/>
      </c>
      <c r="O31" s="25" t="n">
        <v>15</v>
      </c>
      <c r="P31" s="5">
        <f>IF(ISBLANK($F31),"",VLOOKUP($C31,PLAYERS_IDS,2,FALSE)*VLOOKUP($D31,PLAYERS_IDS,2,FALSE))</f>
        <v/>
      </c>
      <c r="Q31" s="5">
        <f>IF(ISBLANK($F31), "",VLOOKUP($F31,PLAYERS_IDS,2,FALSE)*VLOOKUP($G31,PLAYERS_IDS,2,FALSE))</f>
        <v/>
      </c>
      <c r="R31" s="5">
        <f>IFERROR((P31*100000)+Q31,"")</f>
        <v/>
      </c>
      <c r="T31" s="64" t="n">
        <v>29</v>
      </c>
      <c r="AE31" s="48">
        <f>SUM(Z31:AA31)</f>
        <v/>
      </c>
    </row>
    <row r="32" ht="20.25" customHeight="1" s="106">
      <c r="A32" s="14" t="n">
        <v>46271</v>
      </c>
      <c r="B32" s="15" t="n">
        <v>28</v>
      </c>
      <c r="C32" s="22" t="inlineStr">
        <is>
          <t>Waqas</t>
        </is>
      </c>
      <c r="D32" s="15" t="inlineStr">
        <is>
          <t>Nawaz</t>
        </is>
      </c>
      <c r="E32" s="23" t="n">
        <v>21</v>
      </c>
      <c r="F32" s="15" t="inlineStr">
        <is>
          <t>Aahil</t>
        </is>
      </c>
      <c r="G32" s="15" t="inlineStr">
        <is>
          <t>Parvez</t>
        </is>
      </c>
      <c r="H32" s="24" t="n">
        <v>19</v>
      </c>
      <c r="I32" s="15" t="inlineStr">
        <is>
          <t>Waqas</t>
        </is>
      </c>
      <c r="J32" s="15" t="inlineStr">
        <is>
          <t>Nawaz</t>
        </is>
      </c>
      <c r="K32" s="15" t="n">
        <v>2</v>
      </c>
      <c r="L32" s="15" t="n">
        <v>2</v>
      </c>
      <c r="M32" s="5">
        <f>IF(ISBLANK($E32),"",VLOOKUP($I32,PLAYERS_IDS,2,FALSE)*VLOOKUP($J32,PLAYERS_IDS,2,FALSE))</f>
        <v/>
      </c>
      <c r="N32" s="25">
        <f>IF(ISBLANK($E32)," ", COUNTIF($M$4:$M32,$M32))</f>
        <v/>
      </c>
      <c r="O32" s="25" t="n">
        <v>15</v>
      </c>
      <c r="P32" s="5">
        <f>IF(ISBLANK($F32),"",VLOOKUP($C32,PLAYERS_IDS,2,FALSE)*VLOOKUP($D32,PLAYERS_IDS,2,FALSE))</f>
        <v/>
      </c>
      <c r="Q32" s="5">
        <f>IF(ISBLANK($F32), "",VLOOKUP($F32,PLAYERS_IDS,2,FALSE)*VLOOKUP($G32,PLAYERS_IDS,2,FALSE))</f>
        <v/>
      </c>
      <c r="R32" s="5">
        <f>IFERROR((P32*100000)+Q32,"")</f>
        <v/>
      </c>
      <c r="T32" s="2" t="n">
        <v>30</v>
      </c>
      <c r="AE32" s="48">
        <f>SUM(Z32:AA32)</f>
        <v/>
      </c>
    </row>
    <row r="33" ht="20.25" customHeight="1" s="106">
      <c r="A33" s="14" t="n">
        <v>46271</v>
      </c>
      <c r="B33" s="15" t="n">
        <v>29</v>
      </c>
      <c r="C33" s="22" t="inlineStr">
        <is>
          <t>Waqas</t>
        </is>
      </c>
      <c r="D33" s="15" t="inlineStr">
        <is>
          <t>Nawaz</t>
        </is>
      </c>
      <c r="E33" s="23" t="n">
        <v>21</v>
      </c>
      <c r="F33" s="15" t="inlineStr">
        <is>
          <t>Tousif</t>
        </is>
      </c>
      <c r="G33" s="15" t="inlineStr">
        <is>
          <t>Mansoor</t>
        </is>
      </c>
      <c r="H33" s="24" t="n">
        <v>19</v>
      </c>
      <c r="I33" s="15" t="inlineStr">
        <is>
          <t>Waqas</t>
        </is>
      </c>
      <c r="J33" s="15" t="inlineStr">
        <is>
          <t>Nawaz</t>
        </is>
      </c>
      <c r="K33" s="15" t="n">
        <v>4</v>
      </c>
      <c r="L33" s="15" t="n">
        <v>2</v>
      </c>
      <c r="M33" s="5">
        <f>IF(ISBLANK($E33),"",VLOOKUP($I33,PLAYERS_IDS,2,FALSE)*VLOOKUP($J33,PLAYERS_IDS,2,FALSE))</f>
        <v/>
      </c>
      <c r="N33" s="25">
        <f>IF(ISBLANK($E33)," ", COUNTIF($M$4:$M33,$M33))</f>
        <v/>
      </c>
      <c r="O33" s="25" t="n">
        <v>15</v>
      </c>
      <c r="P33" s="5">
        <f>IF(ISBLANK($F33),"",VLOOKUP($C33,PLAYERS_IDS,2,FALSE)*VLOOKUP($D33,PLAYERS_IDS,2,FALSE))</f>
        <v/>
      </c>
      <c r="Q33" s="5">
        <f>IF(ISBLANK($F33), "",VLOOKUP($F33,PLAYERS_IDS,2,FALSE)*VLOOKUP($G33,PLAYERS_IDS,2,FALSE))</f>
        <v/>
      </c>
      <c r="R33" s="5">
        <f>IFERROR((P33*100000)+Q33,"")</f>
        <v/>
      </c>
      <c r="T33" s="2" t="n">
        <v>31</v>
      </c>
      <c r="AE33" s="48">
        <f>SUM(Z33:AA33)</f>
        <v/>
      </c>
    </row>
    <row r="34" ht="20.25" customHeight="1" s="106">
      <c r="A34" s="14" t="n">
        <v>46271</v>
      </c>
      <c r="B34" s="15" t="n">
        <v>30</v>
      </c>
      <c r="C34" s="22" t="inlineStr">
        <is>
          <t>Ziad</t>
        </is>
      </c>
      <c r="D34" s="15" t="inlineStr">
        <is>
          <t>Tousif</t>
        </is>
      </c>
      <c r="E34" s="23" t="n">
        <v>21</v>
      </c>
      <c r="F34" s="15" t="inlineStr">
        <is>
          <t>Sandip</t>
        </is>
      </c>
      <c r="G34" s="15" t="inlineStr">
        <is>
          <t>Vasu</t>
        </is>
      </c>
      <c r="H34" s="24" t="n">
        <v>15</v>
      </c>
      <c r="I34" s="15" t="inlineStr">
        <is>
          <t>Ziad</t>
        </is>
      </c>
      <c r="J34" s="15" t="inlineStr">
        <is>
          <t>Tousif</t>
        </is>
      </c>
      <c r="K34" s="15" t="n">
        <v>3</v>
      </c>
      <c r="L34" s="15" t="n">
        <v>6</v>
      </c>
      <c r="M34" s="5">
        <f>IF(ISBLANK($E34),"",VLOOKUP($I34,PLAYERS_IDS,2,FALSE)*VLOOKUP($J34,PLAYERS_IDS,2,FALSE))</f>
        <v/>
      </c>
      <c r="N34" s="25">
        <f>IF(ISBLANK($E34)," ", COUNTIF($M$4:$M34,$M34))</f>
        <v/>
      </c>
      <c r="O34" s="25" t="n">
        <v>15</v>
      </c>
      <c r="P34" s="5">
        <f>IF(ISBLANK($F34),"",VLOOKUP($C34,PLAYERS_IDS,2,FALSE)*VLOOKUP($D34,PLAYERS_IDS,2,FALSE))</f>
        <v/>
      </c>
      <c r="Q34" s="5">
        <f>IF(ISBLANK($F34), "",VLOOKUP($F34,PLAYERS_IDS,2,FALSE)*VLOOKUP($G34,PLAYERS_IDS,2,FALSE))</f>
        <v/>
      </c>
      <c r="R34" s="5">
        <f>IFERROR((P34*100000)+Q34,"")</f>
        <v/>
      </c>
      <c r="T34" s="2" t="n">
        <v>32</v>
      </c>
      <c r="AE34" s="48">
        <f>SUM(Z34:AA34)</f>
        <v/>
      </c>
    </row>
    <row r="35" ht="20.25" customHeight="1" s="106">
      <c r="A35" s="14" t="n">
        <v>46271</v>
      </c>
      <c r="B35" s="15" t="n">
        <v>31</v>
      </c>
      <c r="C35" s="22" t="inlineStr">
        <is>
          <t>Atul</t>
        </is>
      </c>
      <c r="D35" s="15" t="inlineStr">
        <is>
          <t>Sandip</t>
        </is>
      </c>
      <c r="E35" s="23" t="n">
        <v>21</v>
      </c>
      <c r="F35" s="15" t="inlineStr">
        <is>
          <t>Aahil</t>
        </is>
      </c>
      <c r="G35" s="15" t="inlineStr">
        <is>
          <t>Santosh</t>
        </is>
      </c>
      <c r="H35" s="24" t="n">
        <v>12</v>
      </c>
      <c r="I35" s="15" t="inlineStr">
        <is>
          <t>Atul</t>
        </is>
      </c>
      <c r="J35" s="15" t="inlineStr">
        <is>
          <t>Sandip</t>
        </is>
      </c>
      <c r="K35" s="15" t="n">
        <v>1</v>
      </c>
      <c r="L35" s="15" t="n">
        <v>9</v>
      </c>
      <c r="M35" s="5">
        <f>IF(ISBLANK($E35),"",VLOOKUP($I35,PLAYERS_IDS,2,FALSE)*VLOOKUP($J35,PLAYERS_IDS,2,FALSE))</f>
        <v/>
      </c>
      <c r="N35" s="25">
        <f>IF(ISBLANK($E35)," ", COUNTIF($M$4:$M35,$M35))</f>
        <v/>
      </c>
      <c r="O35" s="25" t="n">
        <v>15</v>
      </c>
      <c r="P35" s="5">
        <f>IF(ISBLANK($F35),"",VLOOKUP($C35,PLAYERS_IDS,2,FALSE)*VLOOKUP($D35,PLAYERS_IDS,2,FALSE))</f>
        <v/>
      </c>
      <c r="Q35" s="5">
        <f>IF(ISBLANK($F35), "",VLOOKUP($F35,PLAYERS_IDS,2,FALSE)*VLOOKUP($G35,PLAYERS_IDS,2,FALSE))</f>
        <v/>
      </c>
      <c r="R35" s="5">
        <f>IFERROR((P35*100000)+Q35,"")</f>
        <v/>
      </c>
      <c r="T35" s="2" t="n">
        <v>33</v>
      </c>
      <c r="AE35" s="48">
        <f>SUM(Z35:AA35)</f>
        <v/>
      </c>
    </row>
    <row r="36" ht="20.25" customHeight="1" s="106">
      <c r="A36" s="14" t="n">
        <v>46271</v>
      </c>
      <c r="B36" s="15" t="n">
        <v>32</v>
      </c>
      <c r="C36" s="22" t="inlineStr">
        <is>
          <t>Prasanna</t>
        </is>
      </c>
      <c r="D36" s="15" t="inlineStr">
        <is>
          <t>Nawaz</t>
        </is>
      </c>
      <c r="E36" s="23" t="n">
        <v>21</v>
      </c>
      <c r="F36" s="15" t="inlineStr">
        <is>
          <t>Rukhsar</t>
        </is>
      </c>
      <c r="G36" s="15" t="inlineStr">
        <is>
          <t>Shiva</t>
        </is>
      </c>
      <c r="H36" s="24" t="n">
        <v>13</v>
      </c>
      <c r="I36" s="15" t="inlineStr">
        <is>
          <t>Prasanna</t>
        </is>
      </c>
      <c r="J36" s="15" t="inlineStr">
        <is>
          <t>Nawaz</t>
        </is>
      </c>
      <c r="K36" s="15" t="n">
        <v>1</v>
      </c>
      <c r="L36" s="15" t="n">
        <v>8</v>
      </c>
      <c r="M36" s="5">
        <f>IF(ISBLANK($E36),"",VLOOKUP($I36,PLAYERS_IDS,2,FALSE)*VLOOKUP($J36,PLAYERS_IDS,2,FALSE))</f>
        <v/>
      </c>
      <c r="N36" s="25">
        <f>IF(ISBLANK($E36)," ", COUNTIF($M$4:$M36,$M36))</f>
        <v/>
      </c>
      <c r="O36" s="25" t="n">
        <v>15</v>
      </c>
      <c r="P36" s="5">
        <f>IF(ISBLANK($F36),"",VLOOKUP($C36,PLAYERS_IDS,2,FALSE)*VLOOKUP($D36,PLAYERS_IDS,2,FALSE))</f>
        <v/>
      </c>
      <c r="Q36" s="5">
        <f>IF(ISBLANK($F36), "",VLOOKUP($F36,PLAYERS_IDS,2,FALSE)*VLOOKUP($G36,PLAYERS_IDS,2,FALSE))</f>
        <v/>
      </c>
      <c r="R36" s="5">
        <f>IFERROR((P36*100000)+Q36,"")</f>
        <v/>
      </c>
    </row>
    <row r="37" ht="20.25" customHeight="1" s="106">
      <c r="A37" s="14" t="n">
        <v>46278</v>
      </c>
      <c r="B37" s="15" t="n">
        <v>33</v>
      </c>
      <c r="C37" s="22" t="inlineStr">
        <is>
          <t>Aahil</t>
        </is>
      </c>
      <c r="D37" s="15" t="inlineStr">
        <is>
          <t>Altamash</t>
        </is>
      </c>
      <c r="E37" s="23" t="n">
        <v>21</v>
      </c>
      <c r="F37" s="15" t="inlineStr">
        <is>
          <t>Zaheer</t>
        </is>
      </c>
      <c r="G37" s="15" t="inlineStr">
        <is>
          <t>Sandip</t>
        </is>
      </c>
      <c r="H37" s="24" t="n">
        <v>7</v>
      </c>
      <c r="I37" s="15" t="inlineStr">
        <is>
          <t>Aahil</t>
        </is>
      </c>
      <c r="J37" s="15" t="inlineStr">
        <is>
          <t>Altamash</t>
        </is>
      </c>
      <c r="K37" s="15" t="n">
        <v>1</v>
      </c>
      <c r="L37" s="15" t="n">
        <v>14</v>
      </c>
      <c r="M37" s="5">
        <f>IF(ISBLANK($E37),"",VLOOKUP($I37,PLAYERS_IDS,2,FALSE)*VLOOKUP($J37,PLAYERS_IDS,2,FALSE))</f>
        <v/>
      </c>
      <c r="N37" s="25">
        <f>IF(ISBLANK($E37)," ", COUNTIF($M$4:$M37,$M37))</f>
        <v/>
      </c>
      <c r="O37" s="25" t="n">
        <v>15</v>
      </c>
      <c r="P37" s="5">
        <f>IF(ISBLANK($F37),"",VLOOKUP($C37,PLAYERS_IDS,2,FALSE)*VLOOKUP($D37,PLAYERS_IDS,2,FALSE))</f>
        <v/>
      </c>
      <c r="Q37" s="5">
        <f>IF(ISBLANK($F37), "",VLOOKUP($F37,PLAYERS_IDS,2,FALSE)*VLOOKUP($G37,PLAYERS_IDS,2,FALSE))</f>
        <v/>
      </c>
      <c r="R37" s="5">
        <f>IFERROR((P37*100000)+Q37,"")</f>
        <v/>
      </c>
    </row>
    <row r="38" ht="20.25" customHeight="1" s="106">
      <c r="A38" s="14" t="n">
        <v>46278</v>
      </c>
      <c r="B38" s="15" t="n">
        <v>34</v>
      </c>
      <c r="C38" s="22" t="inlineStr">
        <is>
          <t>Faiyaz</t>
        </is>
      </c>
      <c r="D38" s="15" t="inlineStr">
        <is>
          <t>Shiva</t>
        </is>
      </c>
      <c r="E38" s="23" t="n">
        <v>21</v>
      </c>
      <c r="F38" s="15" t="inlineStr">
        <is>
          <t>Deepesh</t>
        </is>
      </c>
      <c r="G38" s="15" t="inlineStr">
        <is>
          <t>Nawaz</t>
        </is>
      </c>
      <c r="H38" s="24" t="n">
        <v>16</v>
      </c>
      <c r="I38" s="15" t="inlineStr">
        <is>
          <t>Faiyaz</t>
        </is>
      </c>
      <c r="J38" s="15" t="inlineStr">
        <is>
          <t>Shiva</t>
        </is>
      </c>
      <c r="K38" s="15" t="n">
        <v>3</v>
      </c>
      <c r="L38" s="15" t="n">
        <v>5</v>
      </c>
      <c r="M38" s="5">
        <f>IF(ISBLANK($E38),"",VLOOKUP($I38,PLAYERS_IDS,2,FALSE)*VLOOKUP($J38,PLAYERS_IDS,2,FALSE))</f>
        <v/>
      </c>
      <c r="N38" s="25">
        <f>IF(ISBLANK($E38)," ", COUNTIF($M$4:$M38,$M38))</f>
        <v/>
      </c>
      <c r="O38" s="25" t="n">
        <v>15</v>
      </c>
      <c r="P38" s="5">
        <f>IF(ISBLANK($F38),"",VLOOKUP($C38,PLAYERS_IDS,2,FALSE)*VLOOKUP($D38,PLAYERS_IDS,2,FALSE))</f>
        <v/>
      </c>
      <c r="Q38" s="5">
        <f>IF(ISBLANK($F38), "",VLOOKUP($F38,PLAYERS_IDS,2,FALSE)*VLOOKUP($G38,PLAYERS_IDS,2,FALSE))</f>
        <v/>
      </c>
      <c r="R38" s="5">
        <f>IFERROR((P38*100000)+Q38,"")</f>
        <v/>
      </c>
    </row>
    <row r="39" ht="20.25" customHeight="1" s="106">
      <c r="A39" s="14" t="n">
        <v>46278</v>
      </c>
      <c r="B39" s="15" t="n">
        <v>35</v>
      </c>
      <c r="C39" s="22" t="inlineStr">
        <is>
          <t>Waqas</t>
        </is>
      </c>
      <c r="D39" s="15" t="inlineStr">
        <is>
          <t>Rukhsar</t>
        </is>
      </c>
      <c r="E39" s="23" t="n">
        <v>21</v>
      </c>
      <c r="F39" s="15" t="inlineStr">
        <is>
          <t>Thomas</t>
        </is>
      </c>
      <c r="G39" s="15" t="inlineStr">
        <is>
          <t>Tousif</t>
        </is>
      </c>
      <c r="H39" s="24" t="n">
        <v>13</v>
      </c>
      <c r="I39" s="15" t="inlineStr">
        <is>
          <t>Waqas</t>
        </is>
      </c>
      <c r="J39" s="15" t="inlineStr">
        <is>
          <t>Rukhsar</t>
        </is>
      </c>
      <c r="K39" s="15" t="n">
        <v>2</v>
      </c>
      <c r="L39" s="15" t="n">
        <v>8</v>
      </c>
      <c r="M39" s="5">
        <f>IF(ISBLANK($E39),"",VLOOKUP($I39,PLAYERS_IDS,2,FALSE)*VLOOKUP($J39,PLAYERS_IDS,2,FALSE))</f>
        <v/>
      </c>
      <c r="N39" s="25">
        <f>IF(ISBLANK($E39)," ", COUNTIF($M$4:$M39,$M39))</f>
        <v/>
      </c>
      <c r="O39" s="25" t="n">
        <v>15</v>
      </c>
      <c r="P39" s="5">
        <f>IF(ISBLANK($F39),"",VLOOKUP($C39,PLAYERS_IDS,2,FALSE)*VLOOKUP($D39,PLAYERS_IDS,2,FALSE))</f>
        <v/>
      </c>
      <c r="Q39" s="5">
        <f>IF(ISBLANK($F39), "",VLOOKUP($F39,PLAYERS_IDS,2,FALSE)*VLOOKUP($G39,PLAYERS_IDS,2,FALSE))</f>
        <v/>
      </c>
      <c r="R39" s="5">
        <f>IFERROR((P39*100000)+Q39,"")</f>
        <v/>
      </c>
      <c r="U39" s="6" t="inlineStr">
        <is>
          <t>Jalal</t>
        </is>
      </c>
      <c r="V39" s="3">
        <f>SUMPRODUCT(--($E$5:$E$696&gt;0),--($C$5:$C$696=$U39))+SUMPRODUCT(--($H$5:$H$696&gt;0),--($F$5:$F$696=$U39))+SUMPRODUCT(--($H$5:$H$696&gt;0),--($D$5:$D$696=$U39))+SUMPRODUCT(--($H$5:$H$696&gt;0),--($G$5:$G$696=$U39))</f>
        <v/>
      </c>
      <c r="W39" s="3">
        <f>COUNTIF($J$5:$J$696,$U39)+COUNTIF($I$5:$I$696,$U39)</f>
        <v/>
      </c>
      <c r="X39" s="3">
        <f>V39-W39</f>
        <v/>
      </c>
      <c r="Y39" s="3">
        <f>100 + SUMIF($I$5:$I$696,$U39,$O$5:$O$696)+ SUMIF($J$5:$J$696,$U39,$O$5:$O$696)</f>
        <v/>
      </c>
      <c r="Z39" s="3">
        <f>SUMIF($C$5:$C$696,$U39,$E$5:$E$696)+SUMIF($F$5:$F$696,$U39,$H$5:$H$696)+SUMIF($D$5:$D$696,$U39,$E$5:$E$696)+SUMIF($G$5:$G$696,$U39,$H$5:$H$696)</f>
        <v/>
      </c>
      <c r="AA39" s="3">
        <f>SUMIF($C$5:$C$696,$U39,$H$5:$H$696)+SUMIF($F$5:$F$696,$U39,$E$5:$E$696)+SUMIF($D$5:$D$696,$U39,$H$5:$H$696)+SUMIF($G$5:$G$696,$U39,$E$5:$E$696)</f>
        <v/>
      </c>
      <c r="AB39" s="3">
        <f>Z39-AA39</f>
        <v/>
      </c>
      <c r="AC39" s="39" t="n"/>
      <c r="AD39" s="41">
        <f>IFERROR($W39/$V39,"")</f>
        <v/>
      </c>
    </row>
    <row r="40" ht="20.25" customHeight="1" s="106">
      <c r="A40" s="14" t="n">
        <v>46278</v>
      </c>
      <c r="B40" s="15" t="n">
        <v>36</v>
      </c>
      <c r="C40" s="22" t="inlineStr">
        <is>
          <t>Zaheer</t>
        </is>
      </c>
      <c r="D40" s="15" t="inlineStr">
        <is>
          <t>Shiva</t>
        </is>
      </c>
      <c r="E40" s="23" t="n">
        <v>21</v>
      </c>
      <c r="F40" s="15" t="inlineStr">
        <is>
          <t>Jalal</t>
        </is>
      </c>
      <c r="G40" s="15" t="inlineStr">
        <is>
          <t>Faiyaz</t>
        </is>
      </c>
      <c r="H40" s="24" t="n">
        <v>13</v>
      </c>
      <c r="I40" s="15" t="inlineStr">
        <is>
          <t>Zaheer</t>
        </is>
      </c>
      <c r="J40" s="15" t="inlineStr">
        <is>
          <t>Shiva</t>
        </is>
      </c>
      <c r="K40" s="15" t="n">
        <v>2</v>
      </c>
      <c r="L40" s="15" t="n">
        <v>8</v>
      </c>
      <c r="M40" s="5">
        <f>IF(ISBLANK($E40),"",VLOOKUP($I40,PLAYERS_IDS,2,FALSE)*VLOOKUP($J40,PLAYERS_IDS,2,FALSE))</f>
        <v/>
      </c>
      <c r="N40" s="25">
        <f>IF(ISBLANK($E40)," ", COUNTIF($M$4:$M40,$M40))</f>
        <v/>
      </c>
      <c r="O40" s="25" t="n">
        <v>15</v>
      </c>
      <c r="P40" s="5">
        <f>IF(ISBLANK($F40),"",VLOOKUP($C40,PLAYERS_IDS,2,FALSE)*VLOOKUP($D40,PLAYERS_IDS,2,FALSE))</f>
        <v/>
      </c>
      <c r="Q40" s="5">
        <f>IF(ISBLANK($F40), "",VLOOKUP($F40,PLAYERS_IDS,2,FALSE)*VLOOKUP($G40,PLAYERS_IDS,2,FALSE))</f>
        <v/>
      </c>
      <c r="R40" s="5">
        <f>IFERROR((P40*100000)+Q40,"")</f>
        <v/>
      </c>
      <c r="U40" s="6" t="inlineStr">
        <is>
          <t>Asim</t>
        </is>
      </c>
      <c r="V40" s="3">
        <f>SUMPRODUCT(--($E$5:$E$696&gt;0),--($C$5:$C$696=$U40))+SUMPRODUCT(--($H$5:$H$696&gt;0),--($F$5:$F$696=$U40))+SUMPRODUCT(--($H$5:$H$696&gt;0),--($D$5:$D$696=$U40))+SUMPRODUCT(--($H$5:$H$696&gt;0),--($G$5:$G$696=$U40))</f>
        <v/>
      </c>
      <c r="W40" s="3">
        <f>COUNTIF($J$5:$J$696,$U40)+COUNTIF($I$5:$I$696,$U40)</f>
        <v/>
      </c>
      <c r="X40" s="3">
        <f>V40-W40</f>
        <v/>
      </c>
      <c r="Y40" s="3">
        <f>100 + SUMIF($I$5:$I$696,$U40,$O$5:$O$696)+ SUMIF($J$5:$J$696,$U40,$O$5:$O$696)</f>
        <v/>
      </c>
      <c r="Z40" s="3">
        <f>SUMIF($C$5:$C$696,$U40,$E$5:$E$696)+SUMIF($F$5:$F$696,$U40,$H$5:$H$696)+SUMIF($D$5:$D$696,$U40,$E$5:$E$696)+SUMIF($G$5:$G$696,$U40,$H$5:$H$696)</f>
        <v/>
      </c>
      <c r="AA40" s="3">
        <f>SUMIF($C$5:$C$696,$U40,$H$5:$H$696)+SUMIF($F$5:$F$696,$U40,$E$5:$E$696)+SUMIF($D$5:$D$696,$U40,$H$5:$H$696)+SUMIF($G$5:$G$696,$U40,$E$5:$E$696)</f>
        <v/>
      </c>
      <c r="AB40" s="3">
        <f>Z40-AA40</f>
        <v/>
      </c>
      <c r="AD40" s="41">
        <f>IFERROR($W40/$V40,"")</f>
        <v/>
      </c>
    </row>
    <row r="41" ht="20.25" customHeight="1" s="106">
      <c r="A41" s="14" t="n">
        <v>46278</v>
      </c>
      <c r="B41" s="15" t="n">
        <v>37</v>
      </c>
      <c r="C41" s="22" t="inlineStr">
        <is>
          <t>Shiva</t>
        </is>
      </c>
      <c r="D41" s="15" t="inlineStr">
        <is>
          <t>Altamash</t>
        </is>
      </c>
      <c r="E41" s="23" t="n">
        <v>21</v>
      </c>
      <c r="F41" s="15" t="inlineStr">
        <is>
          <t>Waqas</t>
        </is>
      </c>
      <c r="G41" s="15" t="inlineStr">
        <is>
          <t>Vivek</t>
        </is>
      </c>
      <c r="H41" s="24" t="n">
        <v>16</v>
      </c>
      <c r="I41" s="15" t="inlineStr">
        <is>
          <t>Shiva</t>
        </is>
      </c>
      <c r="J41" s="15" t="inlineStr">
        <is>
          <t>Altamash</t>
        </is>
      </c>
      <c r="K41" s="15" t="n">
        <v>2</v>
      </c>
      <c r="L41" s="15" t="n">
        <v>5</v>
      </c>
      <c r="M41" s="5">
        <f>IF(ISBLANK($E41),"",VLOOKUP($I41,PLAYERS_IDS,2,FALSE)*VLOOKUP($J41,PLAYERS_IDS,2,FALSE))</f>
        <v/>
      </c>
      <c r="N41" s="25">
        <f>IF(ISBLANK($E41)," ", COUNTIF($M$4:$M41,$M41))</f>
        <v/>
      </c>
      <c r="O41" s="25" t="n">
        <v>15</v>
      </c>
      <c r="P41" s="5">
        <f>IF(ISBLANK($F41),"",VLOOKUP($C41,PLAYERS_IDS,2,FALSE)*VLOOKUP($D41,PLAYERS_IDS,2,FALSE))</f>
        <v/>
      </c>
      <c r="Q41" s="5">
        <f>IF(ISBLANK($F41), "",VLOOKUP($F41,PLAYERS_IDS,2,FALSE)*VLOOKUP($G41,PLAYERS_IDS,2,FALSE))</f>
        <v/>
      </c>
      <c r="R41" s="5">
        <f>IFERROR((P41*100000)+Q41,"")</f>
        <v/>
      </c>
      <c r="U41" s="62" t="n"/>
    </row>
    <row r="42" ht="20.25" customHeight="1" s="106">
      <c r="A42" s="14" t="n">
        <v>46278</v>
      </c>
      <c r="B42" s="15" t="n">
        <v>38</v>
      </c>
      <c r="C42" s="22" t="inlineStr">
        <is>
          <t>Atul</t>
        </is>
      </c>
      <c r="D42" s="15" t="inlineStr">
        <is>
          <t>Shiva</t>
        </is>
      </c>
      <c r="E42" s="23" t="n">
        <v>21</v>
      </c>
      <c r="F42" s="15" t="inlineStr">
        <is>
          <t>Rukhsar</t>
        </is>
      </c>
      <c r="G42" s="15" t="inlineStr">
        <is>
          <t>Jalal</t>
        </is>
      </c>
      <c r="H42" s="24" t="n">
        <v>19</v>
      </c>
      <c r="I42" s="15" t="inlineStr">
        <is>
          <t>Atul</t>
        </is>
      </c>
      <c r="J42" s="15" t="inlineStr">
        <is>
          <t>Shiva</t>
        </is>
      </c>
      <c r="K42" s="15" t="n">
        <v>1</v>
      </c>
      <c r="L42" s="15" t="n">
        <v>2</v>
      </c>
      <c r="M42" s="5">
        <f>IF(ISBLANK($E42),"",VLOOKUP($I42,PLAYERS_IDS,2,FALSE)*VLOOKUP($J42,PLAYERS_IDS,2,FALSE))</f>
        <v/>
      </c>
      <c r="N42" s="25">
        <f>IF(ISBLANK($E42)," ", COUNTIF($M$4:$M42,$M42))</f>
        <v/>
      </c>
      <c r="O42" s="25" t="n">
        <v>15</v>
      </c>
      <c r="P42" s="5">
        <f>IF(ISBLANK($F42),"",VLOOKUP($C42,PLAYERS_IDS,2,FALSE)*VLOOKUP($D42,PLAYERS_IDS,2,FALSE))</f>
        <v/>
      </c>
      <c r="Q42" s="5">
        <f>IF(ISBLANK($F42), "",VLOOKUP($F42,PLAYERS_IDS,2,FALSE)*VLOOKUP($G42,PLAYERS_IDS,2,FALSE))</f>
        <v/>
      </c>
      <c r="R42" s="5">
        <f>IFERROR((P42*100000)+Q42,"")</f>
        <v/>
      </c>
      <c r="U42" s="62" t="n"/>
    </row>
    <row r="43" ht="20.25" customHeight="1" s="106">
      <c r="A43" s="14" t="n">
        <v>46278</v>
      </c>
      <c r="B43" s="15" t="n">
        <v>39</v>
      </c>
      <c r="C43" s="22" t="inlineStr">
        <is>
          <t>Deepesh</t>
        </is>
      </c>
      <c r="D43" s="15" t="inlineStr">
        <is>
          <t>Prasanna</t>
        </is>
      </c>
      <c r="E43" s="23" t="n">
        <v>21</v>
      </c>
      <c r="F43" s="15" t="inlineStr">
        <is>
          <t>Nawaz</t>
        </is>
      </c>
      <c r="G43" s="15" t="inlineStr">
        <is>
          <t>Waqas</t>
        </is>
      </c>
      <c r="H43" s="24" t="n">
        <v>16</v>
      </c>
      <c r="I43" s="15" t="inlineStr">
        <is>
          <t>Deepesh</t>
        </is>
      </c>
      <c r="J43" s="15" t="inlineStr">
        <is>
          <t>Prasanna</t>
        </is>
      </c>
      <c r="K43" s="15" t="n">
        <v>3</v>
      </c>
      <c r="L43" s="15" t="n">
        <v>5</v>
      </c>
      <c r="M43" s="5">
        <f>IF(ISBLANK($E43),"",VLOOKUP($I43,PLAYERS_IDS,2,FALSE)*VLOOKUP($J43,PLAYERS_IDS,2,FALSE))</f>
        <v/>
      </c>
      <c r="N43" s="25">
        <f>IF(ISBLANK($E43)," ", COUNTIF($M$4:$M43,$M43))</f>
        <v/>
      </c>
      <c r="O43" s="25" t="n">
        <v>15</v>
      </c>
      <c r="P43" s="5">
        <f>IF(ISBLANK($F43),"",VLOOKUP($C43,PLAYERS_IDS,2,FALSE)*VLOOKUP($D43,PLAYERS_IDS,2,FALSE))</f>
        <v/>
      </c>
      <c r="Q43" s="5">
        <f>IF(ISBLANK($F43), "",VLOOKUP($F43,PLAYERS_IDS,2,FALSE)*VLOOKUP($G43,PLAYERS_IDS,2,FALSE))</f>
        <v/>
      </c>
      <c r="R43" s="5">
        <f>IFERROR((P43*100000)+Q43,"")</f>
        <v/>
      </c>
      <c r="U43" s="62" t="n"/>
    </row>
    <row r="44" ht="20.25" customHeight="1" s="106">
      <c r="A44" s="14" t="n">
        <v>46278</v>
      </c>
      <c r="B44" s="15" t="n">
        <v>40</v>
      </c>
      <c r="C44" s="22" t="inlineStr">
        <is>
          <t>Prasanna</t>
        </is>
      </c>
      <c r="D44" s="15" t="inlineStr">
        <is>
          <t>Tousif</t>
        </is>
      </c>
      <c r="E44" s="23" t="n">
        <v>21</v>
      </c>
      <c r="F44" s="15" t="inlineStr">
        <is>
          <t>Deepesh</t>
        </is>
      </c>
      <c r="G44" s="15" t="inlineStr">
        <is>
          <t>Jalal</t>
        </is>
      </c>
      <c r="H44" s="24" t="n">
        <v>17</v>
      </c>
      <c r="I44" s="15" t="inlineStr">
        <is>
          <t>Prasanna</t>
        </is>
      </c>
      <c r="J44" s="15" t="inlineStr">
        <is>
          <t>Tousif</t>
        </is>
      </c>
      <c r="K44" s="15" t="n">
        <v>2</v>
      </c>
      <c r="L44" s="15" t="n">
        <v>4</v>
      </c>
      <c r="M44" s="5">
        <f>IF(ISBLANK($E44),"",VLOOKUP($I44,PLAYERS_IDS,2,FALSE)*VLOOKUP($J44,PLAYERS_IDS,2,FALSE))</f>
        <v/>
      </c>
      <c r="N44" s="25">
        <f>IF(ISBLANK($E44)," ", COUNTIF($M$4:$M44,$M44))</f>
        <v/>
      </c>
      <c r="O44" s="25" t="n">
        <v>15</v>
      </c>
      <c r="P44" s="5">
        <f>IF(ISBLANK($F44),"",VLOOKUP($C44,PLAYERS_IDS,2,FALSE)*VLOOKUP($D44,PLAYERS_IDS,2,FALSE))</f>
        <v/>
      </c>
      <c r="Q44" s="5">
        <f>IF(ISBLANK($F44), "",VLOOKUP($F44,PLAYERS_IDS,2,FALSE)*VLOOKUP($G44,PLAYERS_IDS,2,FALSE))</f>
        <v/>
      </c>
      <c r="R44" s="5">
        <f>IFERROR((P44*100000)+Q44,"")</f>
        <v/>
      </c>
      <c r="U44" s="62" t="n"/>
    </row>
    <row r="45" ht="20.25" customHeight="1" s="106">
      <c r="A45" s="14" t="n">
        <v>46278</v>
      </c>
      <c r="B45" s="15" t="n">
        <v>41</v>
      </c>
      <c r="C45" s="22" t="inlineStr">
        <is>
          <t>Deepesh</t>
        </is>
      </c>
      <c r="D45" s="15" t="inlineStr">
        <is>
          <t>Samir</t>
        </is>
      </c>
      <c r="E45" s="23" t="n">
        <v>21</v>
      </c>
      <c r="F45" s="15" t="inlineStr">
        <is>
          <t>Faiyaz</t>
        </is>
      </c>
      <c r="G45" s="15" t="inlineStr">
        <is>
          <t>Jalal</t>
        </is>
      </c>
      <c r="H45" s="24" t="n">
        <v>8</v>
      </c>
      <c r="I45" s="15" t="inlineStr">
        <is>
          <t>Deepesh</t>
        </is>
      </c>
      <c r="J45" s="15" t="inlineStr">
        <is>
          <t>Samir</t>
        </is>
      </c>
      <c r="K45" s="15" t="n">
        <v>3</v>
      </c>
      <c r="L45" s="15" t="n">
        <v>13</v>
      </c>
      <c r="M45" s="5">
        <f>IF(ISBLANK($E45),"",VLOOKUP($I45,PLAYERS_IDS,2,FALSE)*VLOOKUP($J45,PLAYERS_IDS,2,FALSE))</f>
        <v/>
      </c>
      <c r="N45" s="25">
        <f>IF(ISBLANK($E45)," ", COUNTIF($M$4:$M45,$M45))</f>
        <v/>
      </c>
      <c r="O45" s="25" t="n">
        <v>15</v>
      </c>
      <c r="P45" s="5">
        <f>IF(ISBLANK($F45),"",VLOOKUP($C45,PLAYERS_IDS,2,FALSE)*VLOOKUP($D45,PLAYERS_IDS,2,FALSE))</f>
        <v/>
      </c>
      <c r="Q45" s="5">
        <f>IF(ISBLANK($F45), "",VLOOKUP($F45,PLAYERS_IDS,2,FALSE)*VLOOKUP($G45,PLAYERS_IDS,2,FALSE))</f>
        <v/>
      </c>
      <c r="R45" s="5">
        <f>IFERROR((P45*100000)+Q45,"")</f>
        <v/>
      </c>
      <c r="U45" s="6" t="inlineStr">
        <is>
          <t>Kalyan</t>
        </is>
      </c>
      <c r="V45" s="3">
        <f>SUMPRODUCT(--($E$5:$E$696&gt;0),--($C$5:$C$696=$U45))+SUMPRODUCT(--($H$5:$H$696&gt;0),--($F$5:$F$696=$U45))+SUMPRODUCT(--($H$5:$H$696&gt;0),--($D$5:$D$696=$U45))+SUMPRODUCT(--($H$5:$H$696&gt;0),--($G$5:$G$696=$U45))</f>
        <v/>
      </c>
      <c r="W45" s="3">
        <f>COUNTIF($J$5:$J$696,$U45)+COUNTIF($I$5:$I$696,$U45)</f>
        <v/>
      </c>
      <c r="X45" s="3">
        <f>V45-W45</f>
        <v/>
      </c>
      <c r="Y45" s="3">
        <f>100 + SUMIF($I$5:$I$696,$U45,$O$5:$O$696)+ SUMIF($J$5:$J$696,$U45,$O$5:$O$696)</f>
        <v/>
      </c>
      <c r="Z45" s="3">
        <f>SUMIF($C$5:$C$696,$U45,$E$5:$E$696)+SUMIF($F$5:$F$696,$U45,$H$5:$H$696)+SUMIF($D$5:$D$696,$U45,$E$5:$E$696)+SUMIF($G$5:$G$696,$U45,$H$5:$H$696)</f>
        <v/>
      </c>
      <c r="AA45" s="3">
        <f>SUMIF($C$5:$C$696,$U45,$H$5:$H$696)+SUMIF($F$5:$F$696,$U45,$E$5:$E$696)+SUMIF($D$5:$D$696,$U45,$H$5:$H$696)+SUMIF($G$5:$G$696,$U45,$E$5:$E$696)</f>
        <v/>
      </c>
      <c r="AB45" s="3">
        <f>Z45-AA45</f>
        <v/>
      </c>
      <c r="AC45" s="58" t="n"/>
      <c r="AD45" s="41">
        <f>IFERROR($W45/$V45,"")</f>
        <v/>
      </c>
    </row>
    <row r="46" ht="20.25" customHeight="1" s="106">
      <c r="A46" s="14" t="n">
        <v>46278</v>
      </c>
      <c r="B46" s="15" t="n">
        <v>42</v>
      </c>
      <c r="C46" s="22" t="inlineStr">
        <is>
          <t>Tousif</t>
        </is>
      </c>
      <c r="D46" s="15" t="inlineStr">
        <is>
          <t>Atul</t>
        </is>
      </c>
      <c r="E46" s="23" t="n">
        <v>21</v>
      </c>
      <c r="F46" s="15" t="inlineStr">
        <is>
          <t>Prasanna</t>
        </is>
      </c>
      <c r="G46" s="15" t="inlineStr">
        <is>
          <t>Shiva</t>
        </is>
      </c>
      <c r="H46" s="24" t="n">
        <v>17</v>
      </c>
      <c r="I46" s="15" t="inlineStr">
        <is>
          <t>Tousif</t>
        </is>
      </c>
      <c r="J46" s="15" t="inlineStr">
        <is>
          <t>Atul</t>
        </is>
      </c>
      <c r="K46" s="15" t="n">
        <v>1</v>
      </c>
      <c r="L46" s="15" t="n">
        <v>4</v>
      </c>
      <c r="M46" s="5">
        <f>IF(ISBLANK($E46),"",VLOOKUP($I46,PLAYERS_IDS,2,FALSE)*VLOOKUP($J46,PLAYERS_IDS,2,FALSE))</f>
        <v/>
      </c>
      <c r="N46" s="25">
        <f>IF(ISBLANK($E46)," ", COUNTIF($M$4:$M46,$M46))</f>
        <v/>
      </c>
      <c r="O46" s="25" t="n">
        <v>15</v>
      </c>
      <c r="P46" s="5">
        <f>IF(ISBLANK($F46),"",VLOOKUP($C46,PLAYERS_IDS,2,FALSE)*VLOOKUP($D46,PLAYERS_IDS,2,FALSE))</f>
        <v/>
      </c>
      <c r="Q46" s="5">
        <f>IF(ISBLANK($F46), "",VLOOKUP($F46,PLAYERS_IDS,2,FALSE)*VLOOKUP($G46,PLAYERS_IDS,2,FALSE))</f>
        <v/>
      </c>
      <c r="R46" s="5">
        <f>IFERROR((P46*100000)+Q46,"")</f>
        <v/>
      </c>
      <c r="U46" s="62" t="n"/>
    </row>
    <row r="47" ht="20.25" customHeight="1" s="106">
      <c r="A47" s="14" t="n">
        <v>46278</v>
      </c>
      <c r="B47" s="15" t="n">
        <v>43</v>
      </c>
      <c r="C47" s="22" t="inlineStr">
        <is>
          <t>Jalal</t>
        </is>
      </c>
      <c r="D47" s="15" t="inlineStr">
        <is>
          <t>Altamash</t>
        </is>
      </c>
      <c r="E47" s="23" t="n">
        <v>21</v>
      </c>
      <c r="F47" s="15" t="inlineStr">
        <is>
          <t>Faiyaz</t>
        </is>
      </c>
      <c r="G47" s="15" t="inlineStr">
        <is>
          <t>Vasu</t>
        </is>
      </c>
      <c r="H47" s="24" t="n">
        <v>14</v>
      </c>
      <c r="I47" s="15" t="inlineStr">
        <is>
          <t>Jalal</t>
        </is>
      </c>
      <c r="J47" s="15" t="inlineStr">
        <is>
          <t>Altamash</t>
        </is>
      </c>
      <c r="K47" s="15" t="n">
        <v>4</v>
      </c>
      <c r="L47" s="15" t="n">
        <v>7</v>
      </c>
      <c r="M47" s="5">
        <f>IF(ISBLANK($E47),"",VLOOKUP($I47,PLAYERS_IDS,2,FALSE)*VLOOKUP($J47,PLAYERS_IDS,2,FALSE))</f>
        <v/>
      </c>
      <c r="N47" s="25">
        <f>IF(ISBLANK($E47)," ", COUNTIF($M$4:$M47,$M47))</f>
        <v/>
      </c>
      <c r="O47" s="25" t="n">
        <v>15</v>
      </c>
      <c r="P47" s="5">
        <f>IF(ISBLANK($F47),"",VLOOKUP($C47,PLAYERS_IDS,2,FALSE)*VLOOKUP($D47,PLAYERS_IDS,2,FALSE))</f>
        <v/>
      </c>
      <c r="Q47" s="5">
        <f>IF(ISBLANK($F47), "",VLOOKUP($F47,PLAYERS_IDS,2,FALSE)*VLOOKUP($G47,PLAYERS_IDS,2,FALSE))</f>
        <v/>
      </c>
      <c r="R47" s="5">
        <f>IFERROR((P47*100000)+Q47,"")</f>
        <v/>
      </c>
      <c r="U47" s="62" t="n"/>
    </row>
    <row r="48" ht="20.25" customHeight="1" s="106">
      <c r="A48" s="14" t="n">
        <v>46278</v>
      </c>
      <c r="B48" s="15" t="n">
        <v>44</v>
      </c>
      <c r="C48" s="22" t="inlineStr">
        <is>
          <t>Zaheer</t>
        </is>
      </c>
      <c r="D48" s="15" t="inlineStr">
        <is>
          <t>Sengole</t>
        </is>
      </c>
      <c r="E48" s="23" t="n">
        <v>21</v>
      </c>
      <c r="F48" s="15" t="inlineStr">
        <is>
          <t>Aahil</t>
        </is>
      </c>
      <c r="G48" s="15" t="inlineStr">
        <is>
          <t>Tousif</t>
        </is>
      </c>
      <c r="H48" s="24" t="n">
        <v>16</v>
      </c>
      <c r="I48" s="15" t="inlineStr">
        <is>
          <t>Zaheer</t>
        </is>
      </c>
      <c r="J48" s="15" t="inlineStr">
        <is>
          <t>Sengole</t>
        </is>
      </c>
      <c r="K48" s="15" t="n">
        <v>3</v>
      </c>
      <c r="L48" s="15" t="n">
        <v>5</v>
      </c>
      <c r="M48" s="5">
        <f>IF(ISBLANK($E48),"",VLOOKUP($I48,PLAYERS_IDS,2,FALSE)*VLOOKUP($J48,PLAYERS_IDS,2,FALSE))</f>
        <v/>
      </c>
      <c r="N48" s="25">
        <f>IF(ISBLANK($E48)," ", COUNTIF($M$4:$M48,$M48))</f>
        <v/>
      </c>
      <c r="O48" s="25" t="n">
        <v>15</v>
      </c>
      <c r="P48" s="5">
        <f>IF(ISBLANK($F48),"",VLOOKUP($C48,PLAYERS_IDS,2,FALSE)*VLOOKUP($D48,PLAYERS_IDS,2,FALSE))</f>
        <v/>
      </c>
      <c r="Q48" s="5">
        <f>IF(ISBLANK($F48), "",VLOOKUP($F48,PLAYERS_IDS,2,FALSE)*VLOOKUP($G48,PLAYERS_IDS,2,FALSE))</f>
        <v/>
      </c>
      <c r="R48" s="5">
        <f>IFERROR((P48*100000)+Q48,"")</f>
        <v/>
      </c>
      <c r="U48" s="6" t="inlineStr">
        <is>
          <t>Karthik</t>
        </is>
      </c>
      <c r="V48" s="3">
        <f>SUMPRODUCT(--($E$5:$E$696&gt;0),--($C$5:$C$696=$U48))+SUMPRODUCT(--($H$5:$H$696&gt;0),--($F$5:$F$696=$U48))+SUMPRODUCT(--($H$5:$H$696&gt;0),--($D$5:$D$696=$U48))+SUMPRODUCT(--($H$5:$H$696&gt;0),--($G$5:$G$696=$U48))</f>
        <v/>
      </c>
      <c r="W48" s="3">
        <f>COUNTIF($J$5:$J$696,$U48)+COUNTIF($I$5:$I$696,$U48)</f>
        <v/>
      </c>
      <c r="X48" s="3">
        <f>V48-W48</f>
        <v/>
      </c>
      <c r="Y48" s="3">
        <f>100 + SUMIF($I$5:$I$696,$U48,$O$5:$O$696)+ SUMIF($J$5:$J$696,$U48,$O$5:$O$696)</f>
        <v/>
      </c>
      <c r="Z48" s="3">
        <f>SUMIF($C$5:$C$696,$U48,$E$5:$E$696)+SUMIF($F$5:$F$696,$U48,$H$5:$H$696)+SUMIF($D$5:$D$696,$U48,$E$5:$E$696)+SUMIF($G$5:$G$696,$U48,$H$5:$H$696)</f>
        <v/>
      </c>
      <c r="AA48" s="3">
        <f>SUMIF($C$5:$C$696,$U48,$H$5:$H$696)+SUMIF($F$5:$F$696,$U48,$E$5:$E$696)+SUMIF($D$5:$D$696,$U48,$H$5:$H$696)+SUMIF($G$5:$G$696,$U48,$E$5:$E$696)</f>
        <v/>
      </c>
      <c r="AB48" s="3">
        <f>Z48-AA48</f>
        <v/>
      </c>
      <c r="AD48" s="41">
        <f>IFERROR($W48/$V48,"")</f>
        <v/>
      </c>
    </row>
    <row r="49" ht="20.25" customHeight="1" s="106">
      <c r="A49" s="14" t="n">
        <v>46278</v>
      </c>
      <c r="B49" s="15" t="n">
        <v>45</v>
      </c>
      <c r="C49" s="22" t="inlineStr">
        <is>
          <t>Deepesh</t>
        </is>
      </c>
      <c r="D49" s="15" t="inlineStr">
        <is>
          <t>Shiva</t>
        </is>
      </c>
      <c r="E49" s="23" t="n">
        <v>21</v>
      </c>
      <c r="F49" s="15" t="inlineStr">
        <is>
          <t>Atul</t>
        </is>
      </c>
      <c r="G49" s="15" t="inlineStr">
        <is>
          <t>Sengole</t>
        </is>
      </c>
      <c r="H49" s="24" t="n">
        <v>15</v>
      </c>
      <c r="I49" s="15" t="inlineStr">
        <is>
          <t>Deepesh</t>
        </is>
      </c>
      <c r="J49" s="15" t="inlineStr">
        <is>
          <t>Shiva</t>
        </is>
      </c>
      <c r="K49" s="15" t="n">
        <v>2</v>
      </c>
      <c r="L49" s="15" t="n">
        <v>6</v>
      </c>
      <c r="M49" s="5">
        <f>IF(ISBLANK($E49),"",VLOOKUP($I49,PLAYERS_IDS,2,FALSE)*VLOOKUP($J49,PLAYERS_IDS,2,FALSE))</f>
        <v/>
      </c>
      <c r="N49" s="25">
        <f>IF(ISBLANK($E49)," ", COUNTIF($M$4:$M49,$M49))</f>
        <v/>
      </c>
      <c r="O49" s="25" t="n">
        <v>15</v>
      </c>
      <c r="P49" s="5">
        <f>IF(ISBLANK($F49),"",VLOOKUP($C49,PLAYERS_IDS,2,FALSE)*VLOOKUP($D49,PLAYERS_IDS,2,FALSE))</f>
        <v/>
      </c>
      <c r="Q49" s="5">
        <f>IF(ISBLANK($F49), "",VLOOKUP($F49,PLAYERS_IDS,2,FALSE)*VLOOKUP($G49,PLAYERS_IDS,2,FALSE))</f>
        <v/>
      </c>
      <c r="R49" s="5">
        <f>IFERROR((P49*100000)+Q49,"")</f>
        <v/>
      </c>
      <c r="U49" s="62" t="n"/>
    </row>
    <row r="50" ht="20.25" customHeight="1" s="106">
      <c r="A50" s="14" t="n">
        <v>46278</v>
      </c>
      <c r="B50" s="15" t="n">
        <v>46</v>
      </c>
      <c r="C50" s="22" t="inlineStr">
        <is>
          <t>Santosh</t>
        </is>
      </c>
      <c r="D50" s="15" t="inlineStr">
        <is>
          <t>Nawaz</t>
        </is>
      </c>
      <c r="E50" s="23" t="n">
        <v>21</v>
      </c>
      <c r="F50" s="15" t="inlineStr">
        <is>
          <t>Deepesh</t>
        </is>
      </c>
      <c r="G50" s="15" t="inlineStr">
        <is>
          <t>Vasu</t>
        </is>
      </c>
      <c r="H50" s="24" t="n">
        <v>16</v>
      </c>
      <c r="I50" s="15" t="inlineStr">
        <is>
          <t>Santosh</t>
        </is>
      </c>
      <c r="J50" s="15" t="inlineStr">
        <is>
          <t>Nawaz</t>
        </is>
      </c>
      <c r="K50" s="15" t="n">
        <v>4</v>
      </c>
      <c r="L50" s="15" t="n">
        <v>5</v>
      </c>
      <c r="M50" s="5">
        <f>IF(ISBLANK($E50),"",VLOOKUP($I50,PLAYERS_IDS,2,FALSE)*VLOOKUP($J50,PLAYERS_IDS,2,FALSE))</f>
        <v/>
      </c>
      <c r="N50" s="25">
        <f>IF(ISBLANK($E50)," ", COUNTIF($M$4:$M50,$M50))</f>
        <v/>
      </c>
      <c r="O50" s="25" t="n">
        <v>15</v>
      </c>
      <c r="P50" s="5">
        <f>IF(ISBLANK($F50),"",VLOOKUP($C50,PLAYERS_IDS,2,FALSE)*VLOOKUP($D50,PLAYERS_IDS,2,FALSE))</f>
        <v/>
      </c>
      <c r="Q50" s="5">
        <f>IF(ISBLANK($F50), "",VLOOKUP($F50,PLAYERS_IDS,2,FALSE)*VLOOKUP($G50,PLAYERS_IDS,2,FALSE))</f>
        <v/>
      </c>
      <c r="R50" s="5">
        <f>IFERROR((P50*100000)+Q50,"")</f>
        <v/>
      </c>
      <c r="U50" s="6" t="inlineStr">
        <is>
          <t>Rahul B</t>
        </is>
      </c>
      <c r="V50" s="3">
        <f>SUMPRODUCT(--($E$5:$E$696&gt;0),--($C$5:$C$696=$U50))+SUMPRODUCT(--($H$5:$H$696&gt;0),--($F$5:$F$696=$U50))+SUMPRODUCT(--($H$5:$H$696&gt;0),--($D$5:$D$696=$U50))+SUMPRODUCT(--($H$5:$H$696&gt;0),--($G$5:$G$696=$U50))</f>
        <v/>
      </c>
      <c r="W50" s="3">
        <f>COUNTIF($J$5:$J$696,$U50)+COUNTIF($I$5:$I$696,$U50)</f>
        <v/>
      </c>
      <c r="X50" s="3">
        <f>V50-W50</f>
        <v/>
      </c>
      <c r="Y50" s="3">
        <f>100 + SUMIF($I$5:$I$696,$U50,$O$5:$O$696)+ SUMIF($J$5:$J$696,$U50,$O$5:$O$696)</f>
        <v/>
      </c>
      <c r="Z50" s="3">
        <f>SUMIF($C$5:$C$696,$U50,$E$5:$E$696)+SUMIF($F$5:$F$696,$U50,$H$5:$H$696)+SUMIF($D$5:$D$696,$U50,$E$5:$E$696)+SUMIF($G$5:$G$696,$U50,$H$5:$H$696)</f>
        <v/>
      </c>
      <c r="AA50" s="3">
        <f>SUMIF($C$5:$C$696,$U50,$H$5:$H$696)+SUMIF($F$5:$F$696,$U50,$E$5:$E$696)+SUMIF($D$5:$D$696,$U50,$H$5:$H$696)+SUMIF($G$5:$G$696,$U50,$E$5:$E$696)</f>
        <v/>
      </c>
      <c r="AB50" s="3">
        <f>Z50-AA50</f>
        <v/>
      </c>
      <c r="AD50" s="41">
        <f>IFERROR($W50/$V50,"")</f>
        <v/>
      </c>
    </row>
    <row r="51" ht="20.25" customHeight="1" s="106">
      <c r="A51" s="14" t="n">
        <v>46278</v>
      </c>
      <c r="B51" s="15" t="n">
        <v>47</v>
      </c>
      <c r="C51" s="22" t="inlineStr">
        <is>
          <t>Santosh</t>
        </is>
      </c>
      <c r="D51" s="15" t="inlineStr">
        <is>
          <t>Jalal</t>
        </is>
      </c>
      <c r="E51" s="23" t="n">
        <v>21</v>
      </c>
      <c r="F51" s="15" t="inlineStr">
        <is>
          <t>Faiyaz</t>
        </is>
      </c>
      <c r="G51" s="15" t="inlineStr">
        <is>
          <t>Nawaz</t>
        </is>
      </c>
      <c r="H51" s="24" t="n">
        <v>11</v>
      </c>
      <c r="I51" s="15" t="inlineStr">
        <is>
          <t>Santosh</t>
        </is>
      </c>
      <c r="J51" s="15" t="inlineStr">
        <is>
          <t>Jalal</t>
        </is>
      </c>
      <c r="K51" s="15" t="n">
        <v>3</v>
      </c>
      <c r="L51" s="15" t="n">
        <v>10</v>
      </c>
      <c r="M51" s="5">
        <f>IF(ISBLANK($E51),"",VLOOKUP($I51,PLAYERS_IDS,2,FALSE)*VLOOKUP($J51,PLAYERS_IDS,2,FALSE))</f>
        <v/>
      </c>
      <c r="N51" s="25">
        <f>IF(ISBLANK($E51)," ", COUNTIF($M$4:$M51,$M51))</f>
        <v/>
      </c>
      <c r="O51" s="25" t="n">
        <v>15</v>
      </c>
      <c r="P51" s="5">
        <f>IF(ISBLANK($F51),"",VLOOKUP($C51,PLAYERS_IDS,2,FALSE)*VLOOKUP($D51,PLAYERS_IDS,2,FALSE))</f>
        <v/>
      </c>
      <c r="Q51" s="5">
        <f>IF(ISBLANK($F51), "",VLOOKUP($F51,PLAYERS_IDS,2,FALSE)*VLOOKUP($G51,PLAYERS_IDS,2,FALSE))</f>
        <v/>
      </c>
      <c r="R51" s="5">
        <f>IFERROR((P51*100000)+Q51,"")</f>
        <v/>
      </c>
      <c r="U51" s="3" t="n"/>
      <c r="V51" s="3" t="n"/>
      <c r="W51" s="3" t="n"/>
      <c r="X51" s="3" t="n"/>
      <c r="Y51" s="3" t="n"/>
      <c r="Z51" s="3" t="n"/>
      <c r="AA51" s="3" t="n"/>
      <c r="AB51" s="3" t="n"/>
      <c r="AD51" s="41" t="n"/>
    </row>
    <row r="52" ht="20.25" customHeight="1" s="106">
      <c r="A52" s="14" t="n">
        <v>46278</v>
      </c>
      <c r="B52" s="15" t="n">
        <v>48</v>
      </c>
      <c r="C52" s="22" t="inlineStr">
        <is>
          <t>Samir</t>
        </is>
      </c>
      <c r="D52" s="15" t="inlineStr">
        <is>
          <t>Jalal</t>
        </is>
      </c>
      <c r="E52" s="23" t="n">
        <v>21</v>
      </c>
      <c r="F52" s="15" t="inlineStr">
        <is>
          <t>Prasanna</t>
        </is>
      </c>
      <c r="G52" s="15" t="inlineStr">
        <is>
          <t>Vasu</t>
        </is>
      </c>
      <c r="H52" s="24" t="n">
        <v>18</v>
      </c>
      <c r="I52" s="15" t="inlineStr">
        <is>
          <t>Samir</t>
        </is>
      </c>
      <c r="J52" s="15" t="inlineStr">
        <is>
          <t>Jalal</t>
        </is>
      </c>
      <c r="K52" s="15" t="n">
        <v>4</v>
      </c>
      <c r="L52" s="15" t="n">
        <v>3</v>
      </c>
      <c r="M52" s="5">
        <f>IF(ISBLANK($E52),"",VLOOKUP($I52,PLAYERS_IDS,2,FALSE)*VLOOKUP($J52,PLAYERS_IDS,2,FALSE))</f>
        <v/>
      </c>
      <c r="N52" s="25">
        <f>IF(ISBLANK($E52)," ", COUNTIF($M$4:$M52,$M52))</f>
        <v/>
      </c>
      <c r="O52" s="25" t="n">
        <v>15</v>
      </c>
      <c r="P52" s="5">
        <f>IF(ISBLANK($F52),"",VLOOKUP($C52,PLAYERS_IDS,2,FALSE)*VLOOKUP($D52,PLAYERS_IDS,2,FALSE))</f>
        <v/>
      </c>
      <c r="Q52" s="5">
        <f>IF(ISBLANK($F52), "",VLOOKUP($F52,PLAYERS_IDS,2,FALSE)*VLOOKUP($G52,PLAYERS_IDS,2,FALSE))</f>
        <v/>
      </c>
      <c r="R52" s="5">
        <f>IFERROR((P52*100000)+Q52,"")</f>
        <v/>
      </c>
    </row>
    <row r="53" ht="20.25" customHeight="1" s="106">
      <c r="A53" s="14" t="n">
        <v>46278</v>
      </c>
      <c r="B53" s="15" t="n">
        <v>49</v>
      </c>
      <c r="C53" s="22" t="inlineStr">
        <is>
          <t>Santosh</t>
        </is>
      </c>
      <c r="D53" s="15" t="inlineStr">
        <is>
          <t>Tousif</t>
        </is>
      </c>
      <c r="E53" s="23" t="n">
        <v>21</v>
      </c>
      <c r="F53" s="15" t="inlineStr">
        <is>
          <t>Deepesh</t>
        </is>
      </c>
      <c r="G53" s="15" t="inlineStr">
        <is>
          <t>Zaheer</t>
        </is>
      </c>
      <c r="H53" s="24" t="n">
        <v>13</v>
      </c>
      <c r="I53" s="15" t="inlineStr">
        <is>
          <t>Santosh</t>
        </is>
      </c>
      <c r="J53" s="15" t="inlineStr">
        <is>
          <t>Tousif</t>
        </is>
      </c>
      <c r="K53" s="15" t="n">
        <v>2</v>
      </c>
      <c r="L53" s="15" t="n">
        <v>8</v>
      </c>
      <c r="M53" s="5">
        <f>IF(ISBLANK($E53),"",VLOOKUP($I53,PLAYERS_IDS,2,FALSE)*VLOOKUP($J53,PLAYERS_IDS,2,FALSE))</f>
        <v/>
      </c>
      <c r="N53" s="25">
        <f>IF(ISBLANK($E53)," ", COUNTIF($M$4:$M53,$M53))</f>
        <v/>
      </c>
      <c r="O53" s="25" t="n">
        <v>15</v>
      </c>
      <c r="P53" s="5">
        <f>IF(ISBLANK($F53),"",VLOOKUP($C53,PLAYERS_IDS,2,FALSE)*VLOOKUP($D53,PLAYERS_IDS,2,FALSE))</f>
        <v/>
      </c>
      <c r="Q53" s="5">
        <f>IF(ISBLANK($F53), "",VLOOKUP($F53,PLAYERS_IDS,2,FALSE)*VLOOKUP($G53,PLAYERS_IDS,2,FALSE))</f>
        <v/>
      </c>
      <c r="R53" s="5">
        <f>IFERROR((P53*100000)+Q53,"")</f>
        <v/>
      </c>
    </row>
    <row r="54" ht="20.25" customHeight="1" s="106">
      <c r="A54" s="14" t="n">
        <v>46278</v>
      </c>
      <c r="B54" s="15" t="n">
        <v>50</v>
      </c>
      <c r="C54" s="22" t="inlineStr">
        <is>
          <t>Samir</t>
        </is>
      </c>
      <c r="D54" s="15" t="inlineStr">
        <is>
          <t>Aahil</t>
        </is>
      </c>
      <c r="E54" s="23" t="n">
        <v>17</v>
      </c>
      <c r="F54" s="15" t="inlineStr">
        <is>
          <t>Altamash</t>
        </is>
      </c>
      <c r="G54" s="15" t="inlineStr">
        <is>
          <t>Waqas</t>
        </is>
      </c>
      <c r="H54" s="24" t="n">
        <v>15</v>
      </c>
      <c r="I54" s="15" t="inlineStr">
        <is>
          <t>Samir</t>
        </is>
      </c>
      <c r="J54" s="15" t="inlineStr">
        <is>
          <t>Aahil</t>
        </is>
      </c>
      <c r="K54" s="15" t="n">
        <v>1</v>
      </c>
      <c r="L54" s="15" t="n">
        <v>2</v>
      </c>
      <c r="M54" s="5">
        <f>IF(ISBLANK($E54),"",VLOOKUP($I54,PLAYERS_IDS,2,FALSE)*VLOOKUP($J54,PLAYERS_IDS,2,FALSE))</f>
        <v/>
      </c>
      <c r="N54" s="25">
        <f>IF(ISBLANK($E54)," ", COUNTIF($M$4:$M54,$M54))</f>
        <v/>
      </c>
      <c r="O54" s="25" t="n">
        <v>15</v>
      </c>
      <c r="P54" s="5">
        <f>IF(ISBLANK($F54),"",VLOOKUP($C54,PLAYERS_IDS,2,FALSE)*VLOOKUP($D54,PLAYERS_IDS,2,FALSE))</f>
        <v/>
      </c>
      <c r="Q54" s="5">
        <f>IF(ISBLANK($F54), "",VLOOKUP($F54,PLAYERS_IDS,2,FALSE)*VLOOKUP($G54,PLAYERS_IDS,2,FALSE))</f>
        <v/>
      </c>
      <c r="R54" s="5">
        <f>IFERROR((P54*100000)+Q54,"")</f>
        <v/>
      </c>
    </row>
    <row r="55" ht="20.25" customHeight="1" s="106">
      <c r="A55" s="14" t="n">
        <v>46278</v>
      </c>
      <c r="B55" s="15" t="n">
        <v>51</v>
      </c>
      <c r="C55" s="22" t="inlineStr">
        <is>
          <t>Santosh</t>
        </is>
      </c>
      <c r="D55" s="15" t="inlineStr">
        <is>
          <t>Shiva</t>
        </is>
      </c>
      <c r="E55" s="23" t="n">
        <v>21</v>
      </c>
      <c r="F55" s="15" t="inlineStr">
        <is>
          <t>Atul</t>
        </is>
      </c>
      <c r="G55" s="15" t="inlineStr">
        <is>
          <t>Tousif</t>
        </is>
      </c>
      <c r="H55" s="24" t="n">
        <v>11</v>
      </c>
      <c r="I55" s="15" t="inlineStr">
        <is>
          <t>Santosh</t>
        </is>
      </c>
      <c r="J55" s="15" t="inlineStr">
        <is>
          <t>Shiva</t>
        </is>
      </c>
      <c r="K55" s="15" t="n">
        <v>1</v>
      </c>
      <c r="L55" s="15" t="n">
        <v>10</v>
      </c>
      <c r="M55" s="5">
        <f>IF(ISBLANK($E55),"",VLOOKUP($I55,PLAYERS_IDS,2,FALSE)*VLOOKUP($J55,PLAYERS_IDS,2,FALSE))</f>
        <v/>
      </c>
      <c r="N55" s="25">
        <f>IF(ISBLANK($E55)," ", COUNTIF($M$4:$M55,$M55))</f>
        <v/>
      </c>
      <c r="O55" s="25" t="n">
        <v>15</v>
      </c>
      <c r="P55" s="5">
        <f>IF(ISBLANK($F55),"",VLOOKUP($C55,PLAYERS_IDS,2,FALSE)*VLOOKUP($D55,PLAYERS_IDS,2,FALSE))</f>
        <v/>
      </c>
      <c r="Q55" s="5">
        <f>IF(ISBLANK($F55), "",VLOOKUP($F55,PLAYERS_IDS,2,FALSE)*VLOOKUP($G55,PLAYERS_IDS,2,FALSE))</f>
        <v/>
      </c>
      <c r="R55" s="5">
        <f>IFERROR((P55*100000)+Q55,"")</f>
        <v/>
      </c>
    </row>
    <row r="56" ht="20.25" customHeight="1" s="106">
      <c r="A56" s="14" t="n">
        <v>46278</v>
      </c>
      <c r="B56" s="15" t="n">
        <v>52</v>
      </c>
      <c r="C56" s="22" t="inlineStr">
        <is>
          <t>Samir</t>
        </is>
      </c>
      <c r="D56" s="15" t="inlineStr">
        <is>
          <t>Faiyaz</t>
        </is>
      </c>
      <c r="E56" s="23" t="n">
        <v>21</v>
      </c>
      <c r="F56" s="15" t="inlineStr">
        <is>
          <t>Altamash</t>
        </is>
      </c>
      <c r="G56" s="15" t="inlineStr">
        <is>
          <t>Sengole</t>
        </is>
      </c>
      <c r="H56" s="24" t="n">
        <v>18</v>
      </c>
      <c r="I56" s="15" t="inlineStr">
        <is>
          <t>Samir</t>
        </is>
      </c>
      <c r="J56" s="15" t="inlineStr">
        <is>
          <t>Faiyaz</t>
        </is>
      </c>
      <c r="K56" s="15" t="n">
        <v>4</v>
      </c>
      <c r="L56" s="15" t="n">
        <v>3</v>
      </c>
      <c r="M56" s="5">
        <f>IF(ISBLANK($E56),"",VLOOKUP($I56,PLAYERS_IDS,2,FALSE)*VLOOKUP($J56,PLAYERS_IDS,2,FALSE))</f>
        <v/>
      </c>
      <c r="N56" s="25">
        <f>IF(ISBLANK($E56)," ", COUNTIF($M$4:$M56,$M56))</f>
        <v/>
      </c>
      <c r="O56" s="25" t="n">
        <v>15</v>
      </c>
      <c r="P56" s="5">
        <f>IF(ISBLANK($F56),"",VLOOKUP($C56,PLAYERS_IDS,2,FALSE)*VLOOKUP($D56,PLAYERS_IDS,2,FALSE))</f>
        <v/>
      </c>
      <c r="Q56" s="5">
        <f>IF(ISBLANK($F56), "",VLOOKUP($F56,PLAYERS_IDS,2,FALSE)*VLOOKUP($G56,PLAYERS_IDS,2,FALSE))</f>
        <v/>
      </c>
      <c r="R56" s="5">
        <f>IFERROR((P56*100000)+Q56,"")</f>
        <v/>
      </c>
    </row>
    <row r="57" ht="20.25" customHeight="1" s="106">
      <c r="A57" s="14" t="n">
        <v>46278</v>
      </c>
      <c r="B57" s="15" t="n">
        <v>53</v>
      </c>
      <c r="C57" s="22" t="inlineStr">
        <is>
          <t>Santosh</t>
        </is>
      </c>
      <c r="D57" s="15" t="inlineStr">
        <is>
          <t>Thomas</t>
        </is>
      </c>
      <c r="E57" s="23" t="n">
        <v>21</v>
      </c>
      <c r="F57" s="15" t="inlineStr">
        <is>
          <t>Zaheer</t>
        </is>
      </c>
      <c r="G57" s="15" t="inlineStr">
        <is>
          <t>Sandip</t>
        </is>
      </c>
      <c r="H57" s="24" t="n">
        <v>10</v>
      </c>
      <c r="I57" s="15" t="inlineStr">
        <is>
          <t>Santosh</t>
        </is>
      </c>
      <c r="J57" s="15" t="inlineStr">
        <is>
          <t>Thomas</t>
        </is>
      </c>
      <c r="K57" s="15" t="n">
        <v>1</v>
      </c>
      <c r="L57" s="15" t="n">
        <v>11</v>
      </c>
      <c r="M57" s="5">
        <f>IF(ISBLANK($E57),"",VLOOKUP($I57,PLAYERS_IDS,2,FALSE)*VLOOKUP($J57,PLAYERS_IDS,2,FALSE))</f>
        <v/>
      </c>
      <c r="N57" s="25">
        <f>IF(ISBLANK($E57)," ", COUNTIF($M$4:$M57,$M57))</f>
        <v/>
      </c>
      <c r="O57" s="25" t="n">
        <v>15</v>
      </c>
      <c r="P57" s="5">
        <f>IF(ISBLANK($F57),"",VLOOKUP($C57,PLAYERS_IDS,2,FALSE)*VLOOKUP($D57,PLAYERS_IDS,2,FALSE))</f>
        <v/>
      </c>
      <c r="Q57" s="5">
        <f>IF(ISBLANK($F57), "",VLOOKUP($F57,PLAYERS_IDS,2,FALSE)*VLOOKUP($G57,PLAYERS_IDS,2,FALSE))</f>
        <v/>
      </c>
      <c r="R57" s="5">
        <f>IFERROR((P57*100000)+Q57,"")</f>
        <v/>
      </c>
    </row>
    <row r="58" ht="20.25" customHeight="1" s="106">
      <c r="A58" s="14" t="n">
        <v>46278</v>
      </c>
      <c r="B58" s="15" t="n">
        <v>54</v>
      </c>
      <c r="C58" s="22" t="inlineStr">
        <is>
          <t>Thomas</t>
        </is>
      </c>
      <c r="D58" s="15" t="inlineStr">
        <is>
          <t>Vasu</t>
        </is>
      </c>
      <c r="E58" s="23" t="n">
        <v>21</v>
      </c>
      <c r="F58" s="15" t="inlineStr">
        <is>
          <t>Prasanna</t>
        </is>
      </c>
      <c r="G58" s="15" t="inlineStr">
        <is>
          <t>Deepak</t>
        </is>
      </c>
      <c r="H58" s="24" t="n">
        <v>8</v>
      </c>
      <c r="I58" s="15" t="inlineStr">
        <is>
          <t>Thomas</t>
        </is>
      </c>
      <c r="J58" s="15" t="inlineStr">
        <is>
          <t>Vasu</t>
        </is>
      </c>
      <c r="K58" s="15" t="n">
        <v>4</v>
      </c>
      <c r="L58" s="15" t="n">
        <v>13</v>
      </c>
      <c r="M58" s="5">
        <f>IF(ISBLANK($E58),"",VLOOKUP($I58,PLAYERS_IDS,2,FALSE)*VLOOKUP($J58,PLAYERS_IDS,2,FALSE))</f>
        <v/>
      </c>
      <c r="N58" s="25">
        <f>IF(ISBLANK($E58)," ", COUNTIF($M$4:$M58,$M58))</f>
        <v/>
      </c>
      <c r="O58" s="25" t="n">
        <v>15</v>
      </c>
      <c r="P58" s="5">
        <f>IF(ISBLANK($F58),"",VLOOKUP($C58,PLAYERS_IDS,2,FALSE)*VLOOKUP($D58,PLAYERS_IDS,2,FALSE))</f>
        <v/>
      </c>
      <c r="Q58" s="5">
        <f>IF(ISBLANK($F58), "",VLOOKUP($F58,PLAYERS_IDS,2,FALSE)*VLOOKUP($G58,PLAYERS_IDS,2,FALSE))</f>
        <v/>
      </c>
      <c r="R58" s="5">
        <f>IFERROR((P58*100000)+Q58,"")</f>
        <v/>
      </c>
    </row>
    <row r="59" ht="20.25" customHeight="1" s="106">
      <c r="A59" s="14" t="n">
        <v>46278</v>
      </c>
      <c r="B59" s="15" t="n">
        <v>55</v>
      </c>
      <c r="C59" s="22" t="inlineStr">
        <is>
          <t>Thomas</t>
        </is>
      </c>
      <c r="D59" s="15" t="inlineStr">
        <is>
          <t>Deepak</t>
        </is>
      </c>
      <c r="E59" s="23" t="n">
        <v>21</v>
      </c>
      <c r="F59" s="15" t="inlineStr">
        <is>
          <t>Altamash</t>
        </is>
      </c>
      <c r="G59" s="15" t="inlineStr">
        <is>
          <t>Samir</t>
        </is>
      </c>
      <c r="H59" s="24" t="n">
        <v>10</v>
      </c>
      <c r="I59" s="15" t="inlineStr">
        <is>
          <t>Thomas</t>
        </is>
      </c>
      <c r="J59" s="15" t="inlineStr">
        <is>
          <t>Deepak</t>
        </is>
      </c>
      <c r="K59" s="15" t="n">
        <v>4</v>
      </c>
      <c r="L59" s="15" t="n">
        <v>11</v>
      </c>
      <c r="M59" s="5">
        <f>IF(ISBLANK($E59),"",VLOOKUP($I59,PLAYERS_IDS,2,FALSE)*VLOOKUP($J59,PLAYERS_IDS,2,FALSE))</f>
        <v/>
      </c>
      <c r="N59" s="25">
        <f>IF(ISBLANK($E59)," ", COUNTIF($M$4:$M59,$M59))</f>
        <v/>
      </c>
      <c r="O59" s="25" t="n">
        <v>15</v>
      </c>
      <c r="P59" s="5">
        <f>IF(ISBLANK($F59),"",VLOOKUP($C59,PLAYERS_IDS,2,FALSE)*VLOOKUP($D59,PLAYERS_IDS,2,FALSE))</f>
        <v/>
      </c>
      <c r="Q59" s="5">
        <f>IF(ISBLANK($F59), "",VLOOKUP($F59,PLAYERS_IDS,2,FALSE)*VLOOKUP($G59,PLAYERS_IDS,2,FALSE))</f>
        <v/>
      </c>
      <c r="R59" s="5">
        <f>IFERROR((P59*100000)+Q59,"")</f>
        <v/>
      </c>
    </row>
    <row r="60" ht="20.25" customHeight="1" s="106">
      <c r="A60" s="14" t="n">
        <v>46278</v>
      </c>
      <c r="B60" s="15" t="n">
        <v>56</v>
      </c>
      <c r="C60" s="22" t="inlineStr">
        <is>
          <t>Thomas</t>
        </is>
      </c>
      <c r="D60" s="15" t="inlineStr">
        <is>
          <t>Shiva</t>
        </is>
      </c>
      <c r="E60" s="23" t="n">
        <v>21</v>
      </c>
      <c r="F60" s="15" t="inlineStr">
        <is>
          <t>Vivek</t>
        </is>
      </c>
      <c r="G60" s="15" t="inlineStr">
        <is>
          <t>Deepak</t>
        </is>
      </c>
      <c r="H60" s="24" t="n">
        <v>11</v>
      </c>
      <c r="I60" s="15" t="inlineStr">
        <is>
          <t>Thomas</t>
        </is>
      </c>
      <c r="J60" s="15" t="inlineStr">
        <is>
          <t>Shiva</t>
        </is>
      </c>
      <c r="K60" s="15" t="n">
        <v>2</v>
      </c>
      <c r="L60" s="15" t="n">
        <v>10</v>
      </c>
      <c r="M60" s="5">
        <f>IF(ISBLANK($E60),"",VLOOKUP($I60,PLAYERS_IDS,2,FALSE)*VLOOKUP($J60,PLAYERS_IDS,2,FALSE))</f>
        <v/>
      </c>
      <c r="N60" s="25">
        <f>IF(ISBLANK($E60)," ", COUNTIF($M$4:$M60,$M60))</f>
        <v/>
      </c>
      <c r="O60" s="25" t="n">
        <v>15</v>
      </c>
      <c r="P60" s="5">
        <f>IF(ISBLANK($F60),"",VLOOKUP($C60,PLAYERS_IDS,2,FALSE)*VLOOKUP($D60,PLAYERS_IDS,2,FALSE))</f>
        <v/>
      </c>
      <c r="Q60" s="5">
        <f>IF(ISBLANK($F60), "",VLOOKUP($F60,PLAYERS_IDS,2,FALSE)*VLOOKUP($G60,PLAYERS_IDS,2,FALSE))</f>
        <v/>
      </c>
      <c r="R60" s="5">
        <f>IFERROR((P60*100000)+Q60,"")</f>
        <v/>
      </c>
    </row>
    <row r="61" ht="20.25" customHeight="1" s="106">
      <c r="A61" s="14" t="n">
        <v>46278</v>
      </c>
      <c r="B61" s="15" t="n">
        <v>57</v>
      </c>
      <c r="C61" s="22" t="inlineStr">
        <is>
          <t>Thomas</t>
        </is>
      </c>
      <c r="D61" s="15" t="inlineStr">
        <is>
          <t>Prasanna</t>
        </is>
      </c>
      <c r="E61" s="23" t="n">
        <v>21</v>
      </c>
      <c r="F61" s="15" t="inlineStr">
        <is>
          <t>Santosh</t>
        </is>
      </c>
      <c r="G61" s="15" t="inlineStr">
        <is>
          <t>Zaheer</t>
        </is>
      </c>
      <c r="H61" s="24" t="n">
        <v>17</v>
      </c>
      <c r="I61" s="15" t="inlineStr">
        <is>
          <t>Thomas</t>
        </is>
      </c>
      <c r="J61" s="15" t="inlineStr">
        <is>
          <t>Prasanna</t>
        </is>
      </c>
      <c r="K61" s="15" t="n">
        <v>1</v>
      </c>
      <c r="L61" s="15" t="n">
        <v>4</v>
      </c>
      <c r="M61" s="5">
        <f>IF(ISBLANK($E61),"",VLOOKUP($I61,PLAYERS_IDS,2,FALSE)*VLOOKUP($J61,PLAYERS_IDS,2,FALSE))</f>
        <v/>
      </c>
      <c r="N61" s="25">
        <f>IF(ISBLANK($E61)," ", COUNTIF($M$4:$M61,$M61))</f>
        <v/>
      </c>
      <c r="O61" s="25" t="n">
        <v>15</v>
      </c>
      <c r="P61" s="5">
        <f>IF(ISBLANK($F61),"",VLOOKUP($C61,PLAYERS_IDS,2,FALSE)*VLOOKUP($D61,PLAYERS_IDS,2,FALSE))</f>
        <v/>
      </c>
      <c r="Q61" s="5">
        <f>IF(ISBLANK($F61), "",VLOOKUP($F61,PLAYERS_IDS,2,FALSE)*VLOOKUP($G61,PLAYERS_IDS,2,FALSE))</f>
        <v/>
      </c>
      <c r="R61" s="5">
        <f>IFERROR((P61*100000)+Q61,"")</f>
        <v/>
      </c>
    </row>
    <row r="62" ht="20.25" customHeight="1" s="106">
      <c r="A62" s="14" t="n">
        <v>46278</v>
      </c>
      <c r="B62" s="15" t="n">
        <v>58</v>
      </c>
      <c r="C62" s="22" t="inlineStr">
        <is>
          <t>Aahil</t>
        </is>
      </c>
      <c r="D62" s="15" t="inlineStr">
        <is>
          <t>Sengole</t>
        </is>
      </c>
      <c r="E62" s="23" t="n">
        <v>22</v>
      </c>
      <c r="F62" s="15" t="inlineStr">
        <is>
          <t>Altamash</t>
        </is>
      </c>
      <c r="G62" s="15" t="inlineStr">
        <is>
          <t>Vasu</t>
        </is>
      </c>
      <c r="H62" s="24" t="n">
        <v>20</v>
      </c>
      <c r="I62" s="15" t="inlineStr">
        <is>
          <t>Aahil</t>
        </is>
      </c>
      <c r="J62" s="15" t="inlineStr">
        <is>
          <t>Sengole</t>
        </is>
      </c>
      <c r="K62" s="15" t="n">
        <v>4</v>
      </c>
      <c r="L62" s="15" t="n">
        <v>2</v>
      </c>
      <c r="M62" s="5">
        <f>IF(ISBLANK($E62),"",VLOOKUP($I62,PLAYERS_IDS,2,FALSE)*VLOOKUP($J62,PLAYERS_IDS,2,FALSE))</f>
        <v/>
      </c>
      <c r="N62" s="25">
        <f>IF(ISBLANK($E62)," ", COUNTIF($M$4:$M62,$M62))</f>
        <v/>
      </c>
      <c r="O62" s="25" t="n">
        <v>15</v>
      </c>
      <c r="P62" s="5">
        <f>IF(ISBLANK($F62),"",VLOOKUP($C62,PLAYERS_IDS,2,FALSE)*VLOOKUP($D62,PLAYERS_IDS,2,FALSE))</f>
        <v/>
      </c>
      <c r="Q62" s="5">
        <f>IF(ISBLANK($F62), "",VLOOKUP($F62,PLAYERS_IDS,2,FALSE)*VLOOKUP($G62,PLAYERS_IDS,2,FALSE))</f>
        <v/>
      </c>
      <c r="R62" s="5">
        <f>IFERROR((P62*100000)+Q62,"")</f>
        <v/>
      </c>
    </row>
    <row r="63" ht="20.25" customHeight="1" s="106">
      <c r="A63" s="14" t="n">
        <v>46278</v>
      </c>
      <c r="B63" s="15" t="n">
        <v>59</v>
      </c>
      <c r="C63" s="22" t="inlineStr">
        <is>
          <t>Vivek</t>
        </is>
      </c>
      <c r="D63" s="15" t="inlineStr">
        <is>
          <t>Tousif</t>
        </is>
      </c>
      <c r="E63" s="23" t="n">
        <v>21</v>
      </c>
      <c r="F63" s="15" t="inlineStr">
        <is>
          <t>Sandip</t>
        </is>
      </c>
      <c r="G63" s="15" t="inlineStr">
        <is>
          <t>Deepak</t>
        </is>
      </c>
      <c r="H63" s="24" t="n">
        <v>16</v>
      </c>
      <c r="I63" s="15" t="inlineStr">
        <is>
          <t>Vivek</t>
        </is>
      </c>
      <c r="J63" s="15" t="inlineStr">
        <is>
          <t>Tousif</t>
        </is>
      </c>
      <c r="K63" s="15" t="n">
        <v>3</v>
      </c>
      <c r="L63" s="15" t="n">
        <v>5</v>
      </c>
      <c r="M63" s="5">
        <f>IF(ISBLANK($E63),"",VLOOKUP($I63,PLAYERS_IDS,2,FALSE)*VLOOKUP($J63,PLAYERS_IDS,2,FALSE))</f>
        <v/>
      </c>
      <c r="N63" s="25">
        <f>IF(ISBLANK($E63)," ", COUNTIF($M$4:$M63,$M63))</f>
        <v/>
      </c>
      <c r="O63" s="25" t="n">
        <v>15</v>
      </c>
      <c r="P63" s="5">
        <f>IF(ISBLANK($F63),"",VLOOKUP($C63,PLAYERS_IDS,2,FALSE)*VLOOKUP($D63,PLAYERS_IDS,2,FALSE))</f>
        <v/>
      </c>
      <c r="Q63" s="5">
        <f>IF(ISBLANK($F63), "",VLOOKUP($F63,PLAYERS_IDS,2,FALSE)*VLOOKUP($G63,PLAYERS_IDS,2,FALSE))</f>
        <v/>
      </c>
      <c r="R63" s="5">
        <f>IFERROR((P63*100000)+Q63,"")</f>
        <v/>
      </c>
    </row>
    <row r="64" ht="20.25" customHeight="1" s="106">
      <c r="A64" s="14" t="n">
        <v>46278</v>
      </c>
      <c r="B64" s="15" t="n">
        <v>60</v>
      </c>
      <c r="C64" s="22" t="inlineStr">
        <is>
          <t>Vivek</t>
        </is>
      </c>
      <c r="D64" s="15" t="inlineStr">
        <is>
          <t>Vasu</t>
        </is>
      </c>
      <c r="E64" s="23" t="n">
        <v>22</v>
      </c>
      <c r="F64" s="15" t="inlineStr">
        <is>
          <t>Thomas</t>
        </is>
      </c>
      <c r="G64" s="15" t="inlineStr">
        <is>
          <t>Samir</t>
        </is>
      </c>
      <c r="H64" s="24" t="n">
        <v>20</v>
      </c>
      <c r="I64" s="15" t="inlineStr">
        <is>
          <t>Vivek</t>
        </is>
      </c>
      <c r="J64" s="15" t="inlineStr">
        <is>
          <t>Vasu</t>
        </is>
      </c>
      <c r="K64" s="15" t="n">
        <v>3</v>
      </c>
      <c r="L64" s="15" t="n">
        <v>2</v>
      </c>
      <c r="M64" s="5">
        <f>IF(ISBLANK($E64),"",VLOOKUP($I64,PLAYERS_IDS,2,FALSE)*VLOOKUP($J64,PLAYERS_IDS,2,FALSE))</f>
        <v/>
      </c>
      <c r="N64" s="25">
        <f>IF(ISBLANK($E64)," ", COUNTIF($M$4:$M64,$M64))</f>
        <v/>
      </c>
      <c r="O64" s="25" t="n">
        <v>15</v>
      </c>
      <c r="P64" s="5">
        <f>IF(ISBLANK($F64),"",VLOOKUP($C64,PLAYERS_IDS,2,FALSE)*VLOOKUP($D64,PLAYERS_IDS,2,FALSE))</f>
        <v/>
      </c>
      <c r="Q64" s="5">
        <f>IF(ISBLANK($F64), "",VLOOKUP($F64,PLAYERS_IDS,2,FALSE)*VLOOKUP($G64,PLAYERS_IDS,2,FALSE))</f>
        <v/>
      </c>
      <c r="R64" s="5">
        <f>IFERROR((P64*100000)+Q64,"")</f>
        <v/>
      </c>
    </row>
    <row r="65" ht="20.25" customHeight="1" s="106">
      <c r="A65" s="14" t="n">
        <v>46278</v>
      </c>
      <c r="B65" s="15" t="n">
        <v>61</v>
      </c>
      <c r="C65" s="22" t="inlineStr">
        <is>
          <t>Vivek</t>
        </is>
      </c>
      <c r="D65" s="15" t="inlineStr">
        <is>
          <t>Sandip</t>
        </is>
      </c>
      <c r="E65" s="23" t="n">
        <v>21</v>
      </c>
      <c r="F65" s="15" t="inlineStr">
        <is>
          <t>Rukhsar</t>
        </is>
      </c>
      <c r="G65" s="15" t="inlineStr">
        <is>
          <t>Aahil</t>
        </is>
      </c>
      <c r="H65" s="24" t="n">
        <v>15</v>
      </c>
      <c r="I65" s="15" t="inlineStr">
        <is>
          <t>Vivek</t>
        </is>
      </c>
      <c r="J65" s="15" t="inlineStr">
        <is>
          <t>Sandip</t>
        </is>
      </c>
      <c r="K65" s="15" t="n">
        <v>2</v>
      </c>
      <c r="L65" s="15" t="n">
        <v>6</v>
      </c>
      <c r="M65" s="5">
        <f>IF(ISBLANK($E65),"",VLOOKUP($I65,PLAYERS_IDS,2,FALSE)*VLOOKUP($J65,PLAYERS_IDS,2,FALSE))</f>
        <v/>
      </c>
      <c r="N65" s="25">
        <f>IF(ISBLANK($E65)," ", COUNTIF($M$4:$M65,$M65))</f>
        <v/>
      </c>
      <c r="O65" s="25" t="n">
        <v>15</v>
      </c>
      <c r="P65" s="5">
        <f>IF(ISBLANK($F65),"",VLOOKUP($C65,PLAYERS_IDS,2,FALSE)*VLOOKUP($D65,PLAYERS_IDS,2,FALSE))</f>
        <v/>
      </c>
      <c r="Q65" s="5">
        <f>IF(ISBLANK($F65), "",VLOOKUP($F65,PLAYERS_IDS,2,FALSE)*VLOOKUP($G65,PLAYERS_IDS,2,FALSE))</f>
        <v/>
      </c>
      <c r="R65" s="5">
        <f>IFERROR((P65*100000)+Q65,"")</f>
        <v/>
      </c>
    </row>
    <row r="66" ht="20.25" customHeight="1" s="106">
      <c r="A66" s="14" t="n">
        <v>46278</v>
      </c>
      <c r="B66" s="15" t="n">
        <v>62</v>
      </c>
      <c r="C66" s="22" t="inlineStr">
        <is>
          <t>Vivek</t>
        </is>
      </c>
      <c r="D66" s="15" t="inlineStr">
        <is>
          <t>Rukhsar</t>
        </is>
      </c>
      <c r="E66" s="23" t="n">
        <v>20</v>
      </c>
      <c r="F66" s="15" t="inlineStr">
        <is>
          <t>Sandip</t>
        </is>
      </c>
      <c r="G66" s="15" t="inlineStr">
        <is>
          <t>Zaheer</t>
        </is>
      </c>
      <c r="H66" s="24" t="n">
        <v>18</v>
      </c>
      <c r="I66" s="15" t="inlineStr">
        <is>
          <t>Vivek</t>
        </is>
      </c>
      <c r="J66" s="15" t="inlineStr">
        <is>
          <t>Rukhsar</t>
        </is>
      </c>
      <c r="K66" s="15" t="n">
        <v>2</v>
      </c>
      <c r="L66" s="15" t="n">
        <v>2</v>
      </c>
      <c r="M66" s="5">
        <f>IF(ISBLANK($E66),"",VLOOKUP($I66,PLAYERS_IDS,2,FALSE)*VLOOKUP($J66,PLAYERS_IDS,2,FALSE))</f>
        <v/>
      </c>
      <c r="N66" s="25">
        <f>IF(ISBLANK($E66)," ", COUNTIF($M$4:$M66,$M66))</f>
        <v/>
      </c>
      <c r="O66" s="25" t="n">
        <v>15</v>
      </c>
      <c r="P66" s="5">
        <f>IF(ISBLANK($F66),"",VLOOKUP($C66,PLAYERS_IDS,2,FALSE)*VLOOKUP($D66,PLAYERS_IDS,2,FALSE))</f>
        <v/>
      </c>
      <c r="Q66" s="5">
        <f>IF(ISBLANK($F66), "",VLOOKUP($F66,PLAYERS_IDS,2,FALSE)*VLOOKUP($G66,PLAYERS_IDS,2,FALSE))</f>
        <v/>
      </c>
      <c r="R66" s="5">
        <f>IFERROR((P66*100000)+Q66,"")</f>
        <v/>
      </c>
    </row>
    <row r="67" ht="20.25" customHeight="1" s="106">
      <c r="A67" s="14" t="n">
        <v>46278</v>
      </c>
      <c r="B67" s="15" t="n">
        <v>63</v>
      </c>
      <c r="C67" s="22" t="inlineStr">
        <is>
          <t>Rukhsar</t>
        </is>
      </c>
      <c r="D67" s="15" t="inlineStr">
        <is>
          <t>Sandip</t>
        </is>
      </c>
      <c r="E67" s="23" t="n">
        <v>18</v>
      </c>
      <c r="F67" s="15" t="inlineStr">
        <is>
          <t>Aahil</t>
        </is>
      </c>
      <c r="G67" s="15" t="inlineStr">
        <is>
          <t>Zaheer</t>
        </is>
      </c>
      <c r="H67" s="24" t="n">
        <v>16</v>
      </c>
      <c r="I67" s="15" t="inlineStr">
        <is>
          <t>Rukhsar</t>
        </is>
      </c>
      <c r="J67" s="15" t="inlineStr">
        <is>
          <t>Sandip</t>
        </is>
      </c>
      <c r="K67" s="15" t="n">
        <v>1</v>
      </c>
      <c r="L67" s="15" t="n">
        <v>2</v>
      </c>
      <c r="M67" s="5">
        <f>IF(ISBLANK($E67),"",VLOOKUP($I67,PLAYERS_IDS,2,FALSE)*VLOOKUP($J67,PLAYERS_IDS,2,FALSE))</f>
        <v/>
      </c>
      <c r="N67" s="25">
        <f>IF(ISBLANK($E67)," ", COUNTIF($M$4:$M67,$M67))</f>
        <v/>
      </c>
      <c r="O67" s="25" t="n">
        <v>15</v>
      </c>
      <c r="P67" s="5">
        <f>IF(ISBLANK($F67),"",VLOOKUP($C67,PLAYERS_IDS,2,FALSE)*VLOOKUP($D67,PLAYERS_IDS,2,FALSE))</f>
        <v/>
      </c>
      <c r="Q67" s="5">
        <f>IF(ISBLANK($F67), "",VLOOKUP($F67,PLAYERS_IDS,2,FALSE)*VLOOKUP($G67,PLAYERS_IDS,2,FALSE))</f>
        <v/>
      </c>
      <c r="R67" s="5">
        <f>IFERROR((P67*100000)+Q67,"")</f>
        <v/>
      </c>
    </row>
    <row r="68" ht="20.25" customHeight="1" s="106">
      <c r="A68" s="14" t="n">
        <v>46278</v>
      </c>
      <c r="B68" s="15" t="n">
        <v>64</v>
      </c>
      <c r="C68" s="22" t="inlineStr">
        <is>
          <t>Vivek</t>
        </is>
      </c>
      <c r="D68" s="15" t="inlineStr">
        <is>
          <t>Jalal</t>
        </is>
      </c>
      <c r="E68" s="23" t="n">
        <v>22</v>
      </c>
      <c r="F68" s="15" t="inlineStr">
        <is>
          <t>Altamash</t>
        </is>
      </c>
      <c r="G68" s="15" t="inlineStr">
        <is>
          <t>Deepak</t>
        </is>
      </c>
      <c r="H68" s="24" t="n">
        <v>20</v>
      </c>
      <c r="I68" s="15" t="inlineStr">
        <is>
          <t>Vivek</t>
        </is>
      </c>
      <c r="J68" s="15" t="inlineStr">
        <is>
          <t>Jalal</t>
        </is>
      </c>
      <c r="K68" s="15" t="n">
        <v>3</v>
      </c>
      <c r="L68" s="15" t="n">
        <v>2</v>
      </c>
      <c r="M68" s="5">
        <f>IF(ISBLANK($E68),"",VLOOKUP($I68,PLAYERS_IDS,2,FALSE)*VLOOKUP($J68,PLAYERS_IDS,2,FALSE))</f>
        <v/>
      </c>
      <c r="N68" s="25">
        <f>IF(ISBLANK($E68)," ", COUNTIF($M$4:$M68,$M68))</f>
        <v/>
      </c>
      <c r="O68" s="25" t="n">
        <v>15</v>
      </c>
      <c r="P68" s="5">
        <f>IF(ISBLANK($F68),"",VLOOKUP($C68,PLAYERS_IDS,2,FALSE)*VLOOKUP($D68,PLAYERS_IDS,2,FALSE))</f>
        <v/>
      </c>
      <c r="Q68" s="5">
        <f>IF(ISBLANK($F68), "",VLOOKUP($F68,PLAYERS_IDS,2,FALSE)*VLOOKUP($G68,PLAYERS_IDS,2,FALSE))</f>
        <v/>
      </c>
      <c r="R68" s="5">
        <f>IFERROR((P68*100000)+Q68,"")</f>
        <v/>
      </c>
    </row>
    <row r="69" ht="20.25" customHeight="1" s="106">
      <c r="A69" s="14" t="n">
        <v>46278</v>
      </c>
      <c r="B69" s="15" t="n">
        <v>65</v>
      </c>
      <c r="C69" s="22" t="inlineStr">
        <is>
          <t>Rukhsar</t>
        </is>
      </c>
      <c r="D69" s="15" t="inlineStr">
        <is>
          <t>Deepak</t>
        </is>
      </c>
      <c r="E69" s="23" t="n">
        <v>21</v>
      </c>
      <c r="F69" s="15" t="inlineStr">
        <is>
          <t>Aahil</t>
        </is>
      </c>
      <c r="G69" s="15" t="inlineStr">
        <is>
          <t>Vasu</t>
        </is>
      </c>
      <c r="H69" s="24" t="n">
        <v>16</v>
      </c>
      <c r="I69" s="15" t="inlineStr">
        <is>
          <t>Rukhsar</t>
        </is>
      </c>
      <c r="J69" s="15" t="inlineStr">
        <is>
          <t>Deepak</t>
        </is>
      </c>
      <c r="K69" s="15" t="n">
        <v>3</v>
      </c>
      <c r="L69" s="15" t="n">
        <v>5</v>
      </c>
      <c r="M69" s="5">
        <f>IF(ISBLANK($E69),"",VLOOKUP($I69,PLAYERS_IDS,2,FALSE)*VLOOKUP($J69,PLAYERS_IDS,2,FALSE))</f>
        <v/>
      </c>
      <c r="N69" s="25">
        <f>IF(ISBLANK($E69)," ", COUNTIF($M$4:$M69,$M69))</f>
        <v/>
      </c>
      <c r="O69" s="25" t="n">
        <v>15</v>
      </c>
      <c r="P69" s="5">
        <f>IF(ISBLANK($F69),"",VLOOKUP($C69,PLAYERS_IDS,2,FALSE)*VLOOKUP($D69,PLAYERS_IDS,2,FALSE))</f>
        <v/>
      </c>
      <c r="Q69" s="5">
        <f>IF(ISBLANK($F69), "",VLOOKUP($F69,PLAYERS_IDS,2,FALSE)*VLOOKUP($G69,PLAYERS_IDS,2,FALSE))</f>
        <v/>
      </c>
      <c r="R69" s="5">
        <f>IFERROR((P69*100000)+Q69,"")</f>
        <v/>
      </c>
    </row>
    <row r="70" ht="20.25" customHeight="1" s="106">
      <c r="A70" s="14" t="n">
        <v>46278</v>
      </c>
      <c r="B70" s="15" t="n">
        <v>66</v>
      </c>
      <c r="C70" s="22" t="inlineStr">
        <is>
          <t>Rukhsar</t>
        </is>
      </c>
      <c r="D70" s="15" t="inlineStr">
        <is>
          <t>Atul</t>
        </is>
      </c>
      <c r="E70" s="23" t="n">
        <v>21</v>
      </c>
      <c r="F70" s="15" t="inlineStr">
        <is>
          <t>Sandip</t>
        </is>
      </c>
      <c r="G70" s="15" t="inlineStr">
        <is>
          <t>Santosh</t>
        </is>
      </c>
      <c r="H70" s="24" t="n">
        <v>12</v>
      </c>
      <c r="I70" s="15" t="inlineStr">
        <is>
          <t>Rukhsar</t>
        </is>
      </c>
      <c r="J70" s="15" t="inlineStr">
        <is>
          <t>Atul</t>
        </is>
      </c>
      <c r="K70" s="15" t="n">
        <v>1</v>
      </c>
      <c r="L70" s="15" t="n">
        <v>9</v>
      </c>
      <c r="M70" s="5">
        <f>IF(ISBLANK($E70),"",VLOOKUP($I70,PLAYERS_IDS,2,FALSE)*VLOOKUP($J70,PLAYERS_IDS,2,FALSE))</f>
        <v/>
      </c>
      <c r="N70" s="25">
        <f>IF(ISBLANK($E70)," ", COUNTIF($M$4:$M70,$M70))</f>
        <v/>
      </c>
      <c r="O70" s="25" t="n">
        <v>15</v>
      </c>
      <c r="P70" s="5">
        <f>IF(ISBLANK($F70),"",VLOOKUP($C70,PLAYERS_IDS,2,FALSE)*VLOOKUP($D70,PLAYERS_IDS,2,FALSE))</f>
        <v/>
      </c>
      <c r="Q70" s="5">
        <f>IF(ISBLANK($F70), "",VLOOKUP($F70,PLAYERS_IDS,2,FALSE)*VLOOKUP($G70,PLAYERS_IDS,2,FALSE))</f>
        <v/>
      </c>
      <c r="R70" s="5">
        <f>IFERROR((P70*100000)+Q70,"")</f>
        <v/>
      </c>
    </row>
    <row r="71" ht="20.25" customHeight="1" s="106">
      <c r="A71" s="14" t="n">
        <v>46285</v>
      </c>
      <c r="B71" s="15" t="n">
        <v>67</v>
      </c>
      <c r="C71" s="22" t="inlineStr">
        <is>
          <t>Mansoor</t>
        </is>
      </c>
      <c r="D71" s="15" t="inlineStr">
        <is>
          <t>Altamash</t>
        </is>
      </c>
      <c r="E71" s="23" t="n">
        <v>21</v>
      </c>
      <c r="F71" s="15" t="inlineStr">
        <is>
          <t>Hasan</t>
        </is>
      </c>
      <c r="G71" s="15" t="inlineStr">
        <is>
          <t>Prasanna</t>
        </is>
      </c>
      <c r="H71" s="24" t="n">
        <v>9</v>
      </c>
      <c r="I71" s="15" t="inlineStr">
        <is>
          <t>Mansoor</t>
        </is>
      </c>
      <c r="J71" s="15" t="inlineStr">
        <is>
          <t>Altamash</t>
        </is>
      </c>
      <c r="K71" s="15" t="n">
        <v>4</v>
      </c>
      <c r="L71" s="15" t="n">
        <v>12</v>
      </c>
      <c r="M71" s="5">
        <f>IF(ISBLANK($E71),"",VLOOKUP($I71,PLAYERS_IDS,2,FALSE)*VLOOKUP($J71,PLAYERS_IDS,2,FALSE))</f>
        <v/>
      </c>
      <c r="N71" s="25">
        <f>IF(ISBLANK($E71)," ", COUNTIF($M$4:$M71,$M71))</f>
        <v/>
      </c>
      <c r="O71" s="25" t="n">
        <v>15</v>
      </c>
      <c r="P71" s="5">
        <f>IF(ISBLANK($F71),"",VLOOKUP($C71,PLAYERS_IDS,2,FALSE)*VLOOKUP($D71,PLAYERS_IDS,2,FALSE))</f>
        <v/>
      </c>
      <c r="Q71" s="5">
        <f>IF(ISBLANK($F71), "",VLOOKUP($F71,PLAYERS_IDS,2,FALSE)*VLOOKUP($G71,PLAYERS_IDS,2,FALSE))</f>
        <v/>
      </c>
      <c r="R71" s="5">
        <f>IFERROR((P71*100000)+Q71,"")</f>
        <v/>
      </c>
    </row>
    <row r="72" ht="20.25" customHeight="1" s="106">
      <c r="A72" s="14" t="n">
        <v>46285</v>
      </c>
      <c r="B72" s="15" t="n">
        <v>68</v>
      </c>
      <c r="C72" s="22" t="inlineStr">
        <is>
          <t>Deepesh</t>
        </is>
      </c>
      <c r="D72" s="15" t="inlineStr">
        <is>
          <t>Nawaz</t>
        </is>
      </c>
      <c r="E72" s="23" t="n">
        <v>21</v>
      </c>
      <c r="F72" s="15" t="inlineStr">
        <is>
          <t>Rukhsar</t>
        </is>
      </c>
      <c r="G72" s="15" t="inlineStr">
        <is>
          <t>Shiva</t>
        </is>
      </c>
      <c r="H72" s="24" t="n">
        <v>13</v>
      </c>
      <c r="I72" s="15" t="inlineStr">
        <is>
          <t>Deepesh</t>
        </is>
      </c>
      <c r="J72" s="15" t="inlineStr">
        <is>
          <t>Nawaz</t>
        </is>
      </c>
      <c r="K72" s="15" t="n">
        <v>2</v>
      </c>
      <c r="L72" s="15" t="n">
        <v>8</v>
      </c>
      <c r="M72" s="5">
        <f>IF(ISBLANK($E72),"",VLOOKUP($I72,PLAYERS_IDS,2,FALSE)*VLOOKUP($J72,PLAYERS_IDS,2,FALSE))</f>
        <v/>
      </c>
      <c r="N72" s="25">
        <f>IF(ISBLANK($E72)," ", COUNTIF($M$4:$M72,$M72))</f>
        <v/>
      </c>
      <c r="O72" s="25" t="n">
        <v>15</v>
      </c>
      <c r="P72" s="5">
        <f>IF(ISBLANK($F72),"",VLOOKUP($C72,PLAYERS_IDS,2,FALSE)*VLOOKUP($D72,PLAYERS_IDS,2,FALSE))</f>
        <v/>
      </c>
      <c r="Q72" s="5">
        <f>IF(ISBLANK($F72), "",VLOOKUP($F72,PLAYERS_IDS,2,FALSE)*VLOOKUP($G72,PLAYERS_IDS,2,FALSE))</f>
        <v/>
      </c>
      <c r="R72" s="5">
        <f>IFERROR((P72*100000)+Q72,"")</f>
        <v/>
      </c>
    </row>
    <row r="73" ht="20.25" customHeight="1" s="106">
      <c r="A73" s="14" t="n">
        <v>46285</v>
      </c>
      <c r="B73" s="15" t="n">
        <v>69</v>
      </c>
      <c r="C73" s="22" t="inlineStr">
        <is>
          <t>Aahil</t>
        </is>
      </c>
      <c r="D73" s="15" t="inlineStr">
        <is>
          <t>Nawaz</t>
        </is>
      </c>
      <c r="E73" s="23" t="n">
        <v>21</v>
      </c>
      <c r="F73" s="15" t="inlineStr">
        <is>
          <t>Deepesh</t>
        </is>
      </c>
      <c r="G73" s="15" t="inlineStr">
        <is>
          <t>Vasu</t>
        </is>
      </c>
      <c r="H73" s="24" t="n">
        <v>17</v>
      </c>
      <c r="I73" s="15" t="inlineStr">
        <is>
          <t>Aahil</t>
        </is>
      </c>
      <c r="J73" s="15" t="inlineStr">
        <is>
          <t>Nawaz</t>
        </is>
      </c>
      <c r="K73" s="15" t="n">
        <v>1</v>
      </c>
      <c r="L73" s="15" t="n">
        <v>4</v>
      </c>
      <c r="M73" s="5">
        <f>IF(ISBLANK($E73),"",VLOOKUP($I73,PLAYERS_IDS,2,FALSE)*VLOOKUP($J73,PLAYERS_IDS,2,FALSE))</f>
        <v/>
      </c>
      <c r="N73" s="25">
        <f>IF(ISBLANK($E73)," ", COUNTIF($M$4:$M73,$M73))</f>
        <v/>
      </c>
      <c r="O73" s="25" t="n">
        <v>15</v>
      </c>
      <c r="P73" s="5">
        <f>IF(ISBLANK($F73),"",VLOOKUP($C73,PLAYERS_IDS,2,FALSE)*VLOOKUP($D73,PLAYERS_IDS,2,FALSE))</f>
        <v/>
      </c>
      <c r="Q73" s="5">
        <f>IF(ISBLANK($F73), "",VLOOKUP($F73,PLAYERS_IDS,2,FALSE)*VLOOKUP($G73,PLAYERS_IDS,2,FALSE))</f>
        <v/>
      </c>
      <c r="R73" s="5">
        <f>IFERROR((P73*100000)+Q73,"")</f>
        <v/>
      </c>
    </row>
    <row r="74" ht="20.25" customHeight="1" s="106">
      <c r="A74" s="14" t="n">
        <v>46285</v>
      </c>
      <c r="B74" s="15" t="n">
        <v>70</v>
      </c>
      <c r="C74" s="22" t="inlineStr">
        <is>
          <t>Shiva</t>
        </is>
      </c>
      <c r="D74" s="15" t="inlineStr">
        <is>
          <t>Altamash</t>
        </is>
      </c>
      <c r="E74" s="23" t="n">
        <v>21</v>
      </c>
      <c r="F74" s="15" t="inlineStr">
        <is>
          <t>Rukhsar</t>
        </is>
      </c>
      <c r="G74" s="15" t="inlineStr">
        <is>
          <t>Deepak</t>
        </is>
      </c>
      <c r="H74" s="24" t="n">
        <v>14</v>
      </c>
      <c r="I74" s="15" t="inlineStr">
        <is>
          <t>Shiva</t>
        </is>
      </c>
      <c r="J74" s="15" t="inlineStr">
        <is>
          <t>Altamash</t>
        </is>
      </c>
      <c r="K74" s="15" t="n">
        <v>3</v>
      </c>
      <c r="L74" s="15" t="n">
        <v>7</v>
      </c>
      <c r="M74" s="5">
        <f>IF(ISBLANK($E74),"",VLOOKUP($I74,PLAYERS_IDS,2,FALSE)*VLOOKUP($J74,PLAYERS_IDS,2,FALSE))</f>
        <v/>
      </c>
      <c r="N74" s="25">
        <f>IF(ISBLANK($E74)," ", COUNTIF($M$4:$M74,$M74))</f>
        <v/>
      </c>
      <c r="O74" s="25" t="n">
        <v>15</v>
      </c>
      <c r="P74" s="5">
        <f>IF(ISBLANK($F74),"",VLOOKUP($C74,PLAYERS_IDS,2,FALSE)*VLOOKUP($D74,PLAYERS_IDS,2,FALSE))</f>
        <v/>
      </c>
      <c r="Q74" s="5">
        <f>IF(ISBLANK($F74), "",VLOOKUP($F74,PLAYERS_IDS,2,FALSE)*VLOOKUP($G74,PLAYERS_IDS,2,FALSE))</f>
        <v/>
      </c>
      <c r="R74" s="5">
        <f>IFERROR((P74*100000)+Q74,"")</f>
        <v/>
      </c>
    </row>
    <row r="75" ht="20.25" customHeight="1" s="106">
      <c r="A75" s="14" t="n">
        <v>46285</v>
      </c>
      <c r="B75" s="15" t="n">
        <v>71</v>
      </c>
      <c r="C75" s="22" t="inlineStr">
        <is>
          <t>Waqas</t>
        </is>
      </c>
      <c r="D75" s="15" t="inlineStr">
        <is>
          <t>Rahul</t>
        </is>
      </c>
      <c r="E75" s="23" t="n">
        <v>21</v>
      </c>
      <c r="F75" s="15" t="inlineStr">
        <is>
          <t>Sandip</t>
        </is>
      </c>
      <c r="G75" s="15" t="inlineStr">
        <is>
          <t>Hasan</t>
        </is>
      </c>
      <c r="H75" s="24" t="n">
        <v>19</v>
      </c>
      <c r="I75" s="15" t="inlineStr">
        <is>
          <t>Waqas</t>
        </is>
      </c>
      <c r="J75" s="15" t="inlineStr">
        <is>
          <t>Rahul</t>
        </is>
      </c>
      <c r="K75" s="15" t="n">
        <v>4</v>
      </c>
      <c r="L75" s="15" t="n">
        <v>2</v>
      </c>
      <c r="M75" s="5">
        <f>IF(ISBLANK($E75),"",VLOOKUP($I75,PLAYERS_IDS,2,FALSE)*VLOOKUP($J75,PLAYERS_IDS,2,FALSE))</f>
        <v/>
      </c>
      <c r="N75" s="25">
        <f>IF(ISBLANK($E75)," ", COUNTIF($M$4:$M75,$M75))</f>
        <v/>
      </c>
      <c r="O75" s="25" t="n">
        <v>15</v>
      </c>
      <c r="P75" s="5">
        <f>IF(ISBLANK($F75),"",VLOOKUP($C75,PLAYERS_IDS,2,FALSE)*VLOOKUP($D75,PLAYERS_IDS,2,FALSE))</f>
        <v/>
      </c>
      <c r="Q75" s="5">
        <f>IF(ISBLANK($F75), "",VLOOKUP($F75,PLAYERS_IDS,2,FALSE)*VLOOKUP($G75,PLAYERS_IDS,2,FALSE))</f>
        <v/>
      </c>
      <c r="R75" s="5">
        <f>IFERROR((P75*100000)+Q75,"")</f>
        <v/>
      </c>
    </row>
    <row r="76" ht="20.25" customHeight="1" s="106">
      <c r="A76" s="14" t="n">
        <v>46285</v>
      </c>
      <c r="B76" s="15" t="n">
        <v>72</v>
      </c>
      <c r="C76" s="22" t="inlineStr">
        <is>
          <t>Zaheer</t>
        </is>
      </c>
      <c r="D76" s="15" t="inlineStr">
        <is>
          <t>Tousif</t>
        </is>
      </c>
      <c r="E76" s="23" t="n">
        <v>21</v>
      </c>
      <c r="F76" s="15" t="inlineStr">
        <is>
          <t>Santosh</t>
        </is>
      </c>
      <c r="G76" s="15" t="inlineStr">
        <is>
          <t>Purvaiz</t>
        </is>
      </c>
      <c r="H76" s="24" t="n">
        <v>10</v>
      </c>
      <c r="I76" s="15" t="inlineStr">
        <is>
          <t>Zaheer</t>
        </is>
      </c>
      <c r="J76" s="15" t="inlineStr">
        <is>
          <t>Tousif</t>
        </is>
      </c>
      <c r="K76" s="15" t="n">
        <v>2</v>
      </c>
      <c r="L76" s="15" t="n">
        <v>11</v>
      </c>
      <c r="M76" s="5">
        <f>IF(ISBLANK($E76),"",VLOOKUP($I76,PLAYERS_IDS,2,FALSE)*VLOOKUP($J76,PLAYERS_IDS,2,FALSE))</f>
        <v/>
      </c>
      <c r="N76" s="25">
        <f>IF(ISBLANK($E76)," ", COUNTIF($M$4:$M76,$M76))</f>
        <v/>
      </c>
      <c r="O76" s="25" t="n">
        <v>15</v>
      </c>
      <c r="P76" s="5">
        <f>IF(ISBLANK($F76),"",VLOOKUP($C76,PLAYERS_IDS,2,FALSE)*VLOOKUP($D76,PLAYERS_IDS,2,FALSE))</f>
        <v/>
      </c>
      <c r="Q76" s="5">
        <f>IF(ISBLANK($F76), "",VLOOKUP($F76,PLAYERS_IDS,2,FALSE)*VLOOKUP($G76,PLAYERS_IDS,2,FALSE))</f>
        <v/>
      </c>
      <c r="R76" s="5">
        <f>IFERROR((P76*100000)+Q76,"")</f>
        <v/>
      </c>
    </row>
    <row r="77" ht="20.25" customHeight="1" s="106">
      <c r="A77" s="14" t="n">
        <v>46285</v>
      </c>
      <c r="B77" s="15" t="n">
        <v>73</v>
      </c>
      <c r="C77" s="22" t="inlineStr">
        <is>
          <t>Aahil</t>
        </is>
      </c>
      <c r="D77" s="15" t="inlineStr">
        <is>
          <t>Vasu</t>
        </is>
      </c>
      <c r="E77" s="23" t="n">
        <v>21</v>
      </c>
      <c r="F77" s="15" t="inlineStr">
        <is>
          <t>Zaheer</t>
        </is>
      </c>
      <c r="G77" s="15" t="inlineStr">
        <is>
          <t>Purvaiz</t>
        </is>
      </c>
      <c r="H77" s="24" t="n">
        <v>11</v>
      </c>
      <c r="I77" s="15" t="inlineStr">
        <is>
          <t>Aahil</t>
        </is>
      </c>
      <c r="J77" s="15" t="inlineStr">
        <is>
          <t>Vasu</t>
        </is>
      </c>
      <c r="K77" s="15" t="n">
        <v>1</v>
      </c>
      <c r="L77" s="15" t="n">
        <v>10</v>
      </c>
      <c r="M77" s="5">
        <f>IF(ISBLANK($E77),"",VLOOKUP($I77,PLAYERS_IDS,2,FALSE)*VLOOKUP($J77,PLAYERS_IDS,2,FALSE))</f>
        <v/>
      </c>
      <c r="N77" s="25">
        <f>IF(ISBLANK($E77)," ", COUNTIF($M$4:$M77,$M77))</f>
        <v/>
      </c>
      <c r="O77" s="25" t="n">
        <v>15</v>
      </c>
      <c r="P77" s="5">
        <f>IF(ISBLANK($F77),"",VLOOKUP($C77,PLAYERS_IDS,2,FALSE)*VLOOKUP($D77,PLAYERS_IDS,2,FALSE))</f>
        <v/>
      </c>
      <c r="Q77" s="5">
        <f>IF(ISBLANK($F77), "",VLOOKUP($F77,PLAYERS_IDS,2,FALSE)*VLOOKUP($G77,PLAYERS_IDS,2,FALSE))</f>
        <v/>
      </c>
      <c r="R77" s="5">
        <f>IFERROR((P77*100000)+Q77,"")</f>
        <v/>
      </c>
    </row>
    <row r="78" ht="20.25" customHeight="1" s="106">
      <c r="A78" s="14" t="n">
        <v>46285</v>
      </c>
      <c r="B78" s="15" t="n">
        <v>74</v>
      </c>
      <c r="C78" s="22" t="inlineStr">
        <is>
          <t>Deepesh</t>
        </is>
      </c>
      <c r="D78" s="15" t="inlineStr">
        <is>
          <t>Shiva</t>
        </is>
      </c>
      <c r="E78" s="23" t="n">
        <v>21</v>
      </c>
      <c r="F78" s="15" t="inlineStr">
        <is>
          <t>Altamash</t>
        </is>
      </c>
      <c r="G78" s="15" t="inlineStr">
        <is>
          <t>Vasu</t>
        </is>
      </c>
      <c r="H78" s="24" t="n">
        <v>16</v>
      </c>
      <c r="I78" s="15" t="inlineStr">
        <is>
          <t>Deepesh</t>
        </is>
      </c>
      <c r="J78" s="15" t="inlineStr">
        <is>
          <t>Shiva</t>
        </is>
      </c>
      <c r="K78" s="15" t="n">
        <v>2</v>
      </c>
      <c r="L78" s="15" t="n">
        <v>5</v>
      </c>
      <c r="M78" s="5">
        <f>IF(ISBLANK($E78),"",VLOOKUP($I78,PLAYERS_IDS,2,FALSE)*VLOOKUP($J78,PLAYERS_IDS,2,FALSE))</f>
        <v/>
      </c>
      <c r="N78" s="25">
        <f>IF(ISBLANK($E78)," ", COUNTIF($M$4:$M78,$M78))</f>
        <v/>
      </c>
      <c r="O78" s="25" t="n">
        <v>15</v>
      </c>
      <c r="P78" s="5">
        <f>IF(ISBLANK($F78),"",VLOOKUP($C78,PLAYERS_IDS,2,FALSE)*VLOOKUP($D78,PLAYERS_IDS,2,FALSE))</f>
        <v/>
      </c>
      <c r="Q78" s="5">
        <f>IF(ISBLANK($F78), "",VLOOKUP($F78,PLAYERS_IDS,2,FALSE)*VLOOKUP($G78,PLAYERS_IDS,2,FALSE))</f>
        <v/>
      </c>
      <c r="R78" s="5">
        <f>IFERROR((P78*100000)+Q78,"")</f>
        <v/>
      </c>
    </row>
    <row r="79" ht="20.25" customHeight="1" s="106">
      <c r="A79" s="14" t="n">
        <v>46285</v>
      </c>
      <c r="B79" s="15" t="n">
        <v>75</v>
      </c>
      <c r="C79" s="22" t="inlineStr">
        <is>
          <t>Waqas</t>
        </is>
      </c>
      <c r="D79" s="15" t="inlineStr">
        <is>
          <t>Nawaz</t>
        </is>
      </c>
      <c r="E79" s="23" t="n">
        <v>21</v>
      </c>
      <c r="F79" s="15" t="inlineStr">
        <is>
          <t>Deepesh</t>
        </is>
      </c>
      <c r="G79" s="15" t="inlineStr">
        <is>
          <t>Tousif</t>
        </is>
      </c>
      <c r="H79" s="24" t="n">
        <v>20</v>
      </c>
      <c r="I79" s="15" t="inlineStr">
        <is>
          <t>Waqas</t>
        </is>
      </c>
      <c r="J79" s="15" t="inlineStr">
        <is>
          <t>Nawaz</t>
        </is>
      </c>
      <c r="K79" s="15" t="n">
        <v>1</v>
      </c>
      <c r="L79" s="15" t="n">
        <v>1</v>
      </c>
      <c r="M79" s="5">
        <f>IF(ISBLANK($E79),"",VLOOKUP($I79,PLAYERS_IDS,2,FALSE)*VLOOKUP($J79,PLAYERS_IDS,2,FALSE))</f>
        <v/>
      </c>
      <c r="N79" s="25">
        <f>IF(ISBLANK($E79)," ", COUNTIF($M$4:$M79,$M79))</f>
        <v/>
      </c>
      <c r="O79" s="25" t="n">
        <v>15</v>
      </c>
      <c r="P79" s="5">
        <f>IF(ISBLANK($F79),"",VLOOKUP($C79,PLAYERS_IDS,2,FALSE)*VLOOKUP($D79,PLAYERS_IDS,2,FALSE))</f>
        <v/>
      </c>
      <c r="Q79" s="5">
        <f>IF(ISBLANK($F79), "",VLOOKUP($F79,PLAYERS_IDS,2,FALSE)*VLOOKUP($G79,PLAYERS_IDS,2,FALSE))</f>
        <v/>
      </c>
      <c r="R79" s="5">
        <f>IFERROR((P79*100000)+Q79,"")</f>
        <v/>
      </c>
    </row>
    <row r="80" ht="20.25" customHeight="1" s="106">
      <c r="A80" s="14" t="n">
        <v>46285</v>
      </c>
      <c r="B80" s="15" t="n">
        <v>76</v>
      </c>
      <c r="C80" s="22" t="inlineStr">
        <is>
          <t>Aahil</t>
        </is>
      </c>
      <c r="D80" s="15" t="inlineStr">
        <is>
          <t>Rahul</t>
        </is>
      </c>
      <c r="E80" s="23" t="n">
        <v>21</v>
      </c>
      <c r="F80" s="15" t="inlineStr">
        <is>
          <t>Altamash</t>
        </is>
      </c>
      <c r="G80" s="15" t="inlineStr">
        <is>
          <t>Vasu</t>
        </is>
      </c>
      <c r="H80" s="24" t="n">
        <v>20</v>
      </c>
      <c r="I80" s="15" t="inlineStr">
        <is>
          <t>Aahil</t>
        </is>
      </c>
      <c r="J80" s="15" t="inlineStr">
        <is>
          <t>Rahul</t>
        </is>
      </c>
      <c r="K80" s="15" t="n">
        <v>3</v>
      </c>
      <c r="L80" s="15" t="n">
        <v>1</v>
      </c>
      <c r="M80" s="5">
        <f>IF(ISBLANK($E80),"",VLOOKUP($I80,PLAYERS_IDS,2,FALSE)*VLOOKUP($J80,PLAYERS_IDS,2,FALSE))</f>
        <v/>
      </c>
      <c r="N80" s="25">
        <f>IF(ISBLANK($E80)," ", COUNTIF($M$4:$M80,$M80))</f>
        <v/>
      </c>
      <c r="O80" s="25" t="n">
        <v>15</v>
      </c>
      <c r="P80" s="5">
        <f>IF(ISBLANK($F80),"",VLOOKUP($C80,PLAYERS_IDS,2,FALSE)*VLOOKUP($D80,PLAYERS_IDS,2,FALSE))</f>
        <v/>
      </c>
      <c r="Q80" s="5">
        <f>IF(ISBLANK($F80), "",VLOOKUP($F80,PLAYERS_IDS,2,FALSE)*VLOOKUP($G80,PLAYERS_IDS,2,FALSE))</f>
        <v/>
      </c>
      <c r="R80" s="5">
        <f>IFERROR((P80*100000)+Q80,"")</f>
        <v/>
      </c>
    </row>
    <row r="81" ht="20.25" customHeight="1" s="106">
      <c r="A81" s="14" t="n">
        <v>46285</v>
      </c>
      <c r="B81" s="15" t="n">
        <v>77</v>
      </c>
      <c r="C81" s="22" t="inlineStr">
        <is>
          <t>Zaheer</t>
        </is>
      </c>
      <c r="D81" s="15" t="inlineStr">
        <is>
          <t>Purvaiz</t>
        </is>
      </c>
      <c r="E81" s="23" t="n">
        <v>21</v>
      </c>
      <c r="F81" s="15" t="inlineStr">
        <is>
          <t>Sandip</t>
        </is>
      </c>
      <c r="G81" s="15" t="inlineStr">
        <is>
          <t>Mansoor</t>
        </is>
      </c>
      <c r="H81" s="24" t="n">
        <v>20</v>
      </c>
      <c r="I81" s="15" t="inlineStr">
        <is>
          <t>Zaheer</t>
        </is>
      </c>
      <c r="J81" s="15" t="inlineStr">
        <is>
          <t>Purvaiz</t>
        </is>
      </c>
      <c r="K81" s="15" t="n">
        <v>3</v>
      </c>
      <c r="L81" s="15" t="n">
        <v>1</v>
      </c>
      <c r="M81" s="5">
        <f>IF(ISBLANK($E81),"",VLOOKUP($I81,PLAYERS_IDS,2,FALSE)*VLOOKUP($J81,PLAYERS_IDS,2,FALSE))</f>
        <v/>
      </c>
      <c r="N81" s="25">
        <f>IF(ISBLANK($E81)," ", COUNTIF($M$4:$M81,$M81))</f>
        <v/>
      </c>
      <c r="O81" s="25" t="n">
        <v>15</v>
      </c>
      <c r="P81" s="5">
        <f>IF(ISBLANK($F81),"",VLOOKUP($C81,PLAYERS_IDS,2,FALSE)*VLOOKUP($D81,PLAYERS_IDS,2,FALSE))</f>
        <v/>
      </c>
      <c r="Q81" s="5">
        <f>IF(ISBLANK($F81), "",VLOOKUP($F81,PLAYERS_IDS,2,FALSE)*VLOOKUP($G81,PLAYERS_IDS,2,FALSE))</f>
        <v/>
      </c>
      <c r="R81" s="5">
        <f>IFERROR((P81*100000)+Q81,"")</f>
        <v/>
      </c>
    </row>
    <row r="82" ht="20.25" customHeight="1" s="106">
      <c r="A82" s="14" t="n">
        <v>46285</v>
      </c>
      <c r="B82" s="15" t="n">
        <v>78</v>
      </c>
      <c r="C82" s="22" t="inlineStr">
        <is>
          <t>Purvaiz</t>
        </is>
      </c>
      <c r="D82" s="15" t="inlineStr">
        <is>
          <t>Sandip</t>
        </is>
      </c>
      <c r="E82" s="23" t="n">
        <v>21</v>
      </c>
      <c r="F82" s="15" t="inlineStr">
        <is>
          <t>Deepak</t>
        </is>
      </c>
      <c r="G82" s="15" t="inlineStr">
        <is>
          <t>Prasanna</t>
        </is>
      </c>
      <c r="H82" s="24" t="n">
        <v>8</v>
      </c>
      <c r="I82" s="15" t="inlineStr">
        <is>
          <t>Purvaiz</t>
        </is>
      </c>
      <c r="J82" s="15" t="inlineStr">
        <is>
          <t>Sandip</t>
        </is>
      </c>
      <c r="K82" s="15" t="n">
        <v>4</v>
      </c>
      <c r="L82" s="15" t="n">
        <v>13</v>
      </c>
      <c r="M82" s="5">
        <f>IF(ISBLANK($E82),"",VLOOKUP($I82,PLAYERS_IDS,2,FALSE)*VLOOKUP($J82,PLAYERS_IDS,2,FALSE))</f>
        <v/>
      </c>
      <c r="N82" s="25">
        <f>IF(ISBLANK($E82)," ", COUNTIF($M$4:$M82,$M82))</f>
        <v/>
      </c>
      <c r="O82" s="25" t="n">
        <v>15</v>
      </c>
      <c r="P82" s="5">
        <f>IF(ISBLANK($F82),"",VLOOKUP($C82,PLAYERS_IDS,2,FALSE)*VLOOKUP($D82,PLAYERS_IDS,2,FALSE))</f>
        <v/>
      </c>
      <c r="Q82" s="5">
        <f>IF(ISBLANK($F82), "",VLOOKUP($F82,PLAYERS_IDS,2,FALSE)*VLOOKUP($G82,PLAYERS_IDS,2,FALSE))</f>
        <v/>
      </c>
      <c r="R82" s="5">
        <f>IFERROR((P82*100000)+Q82,"")</f>
        <v/>
      </c>
    </row>
    <row r="83" ht="20.25" customHeight="1" s="106">
      <c r="A83" s="14" t="n">
        <v>46285</v>
      </c>
      <c r="B83" s="15" t="n">
        <v>79</v>
      </c>
      <c r="C83" s="22" t="inlineStr">
        <is>
          <t>Waqas</t>
        </is>
      </c>
      <c r="D83" s="15" t="inlineStr">
        <is>
          <t>Deepak</t>
        </is>
      </c>
      <c r="E83" s="23" t="n">
        <v>21</v>
      </c>
      <c r="F83" s="15" t="inlineStr">
        <is>
          <t>Mansoor</t>
        </is>
      </c>
      <c r="G83" s="15" t="inlineStr">
        <is>
          <t>Hasan</t>
        </is>
      </c>
      <c r="H83" s="24" t="n">
        <v>15</v>
      </c>
      <c r="I83" s="15" t="inlineStr">
        <is>
          <t>Waqas</t>
        </is>
      </c>
      <c r="J83" s="15" t="inlineStr">
        <is>
          <t>Deepak</t>
        </is>
      </c>
      <c r="K83" s="15" t="n">
        <v>4</v>
      </c>
      <c r="L83" s="15" t="n">
        <v>6</v>
      </c>
      <c r="M83" s="5">
        <f>IF(ISBLANK($E83),"",VLOOKUP($I83,PLAYERS_IDS,2,FALSE)*VLOOKUP($J83,PLAYERS_IDS,2,FALSE))</f>
        <v/>
      </c>
      <c r="N83" s="25">
        <f>IF(ISBLANK($E83)," ", COUNTIF($M$4:$M83,$M83))</f>
        <v/>
      </c>
      <c r="O83" s="25" t="n">
        <v>15</v>
      </c>
      <c r="P83" s="5">
        <f>IF(ISBLANK($F83),"",VLOOKUP($C83,PLAYERS_IDS,2,FALSE)*VLOOKUP($D83,PLAYERS_IDS,2,FALSE))</f>
        <v/>
      </c>
      <c r="Q83" s="5">
        <f>IF(ISBLANK($F83), "",VLOOKUP($F83,PLAYERS_IDS,2,FALSE)*VLOOKUP($G83,PLAYERS_IDS,2,FALSE))</f>
        <v/>
      </c>
      <c r="R83" s="5">
        <f>IFERROR((P83*100000)+Q83,"")</f>
        <v/>
      </c>
    </row>
    <row r="84" ht="20.25" customHeight="1" s="106">
      <c r="A84" s="14" t="n">
        <v>46285</v>
      </c>
      <c r="B84" s="15" t="n">
        <v>80</v>
      </c>
      <c r="C84" s="22" t="inlineStr">
        <is>
          <t>Rahul</t>
        </is>
      </c>
      <c r="D84" s="15" t="inlineStr">
        <is>
          <t>Altamash</t>
        </is>
      </c>
      <c r="E84" s="23" t="n">
        <v>21</v>
      </c>
      <c r="F84" s="15" t="inlineStr">
        <is>
          <t>Prasanna</t>
        </is>
      </c>
      <c r="G84" s="15" t="inlineStr">
        <is>
          <t>Zaheer</t>
        </is>
      </c>
      <c r="H84" s="24" t="n">
        <v>16</v>
      </c>
      <c r="I84" s="15" t="inlineStr">
        <is>
          <t>Rahul</t>
        </is>
      </c>
      <c r="J84" s="15" t="inlineStr">
        <is>
          <t>Altamash</t>
        </is>
      </c>
      <c r="K84" s="15" t="n">
        <v>2</v>
      </c>
      <c r="L84" s="15" t="n">
        <v>5</v>
      </c>
      <c r="M84" s="5">
        <f>IF(ISBLANK($E84),"",VLOOKUP($I84,PLAYERS_IDS,2,FALSE)*VLOOKUP($J84,PLAYERS_IDS,2,FALSE))</f>
        <v/>
      </c>
      <c r="N84" s="25">
        <f>IF(ISBLANK($E84)," ", COUNTIF($M$4:$M84,$M84))</f>
        <v/>
      </c>
      <c r="O84" s="25" t="n">
        <v>15</v>
      </c>
      <c r="P84" s="5">
        <f>IF(ISBLANK($F84),"",VLOOKUP($C84,PLAYERS_IDS,2,FALSE)*VLOOKUP($D84,PLAYERS_IDS,2,FALSE))</f>
        <v/>
      </c>
      <c r="Q84" s="5">
        <f>IF(ISBLANK($F84), "",VLOOKUP($F84,PLAYERS_IDS,2,FALSE)*VLOOKUP($G84,PLAYERS_IDS,2,FALSE))</f>
        <v/>
      </c>
      <c r="R84" s="5">
        <f>IFERROR((P84*100000)+Q84,"")</f>
        <v/>
      </c>
    </row>
    <row r="85" ht="20.25" customHeight="1" s="106">
      <c r="A85" s="14" t="n">
        <v>46285</v>
      </c>
      <c r="B85" s="15" t="n">
        <v>81</v>
      </c>
      <c r="C85" s="22" t="inlineStr">
        <is>
          <t>Deepesh</t>
        </is>
      </c>
      <c r="D85" s="15" t="inlineStr">
        <is>
          <t>Aahil</t>
        </is>
      </c>
      <c r="E85" s="23" t="n">
        <v>21</v>
      </c>
      <c r="F85" s="15" t="inlineStr">
        <is>
          <t>Sandip</t>
        </is>
      </c>
      <c r="G85" s="15" t="inlineStr">
        <is>
          <t>Rahul</t>
        </is>
      </c>
      <c r="H85" s="24" t="n">
        <v>18</v>
      </c>
      <c r="I85" s="15" t="inlineStr">
        <is>
          <t>Deepesh</t>
        </is>
      </c>
      <c r="J85" s="15" t="inlineStr">
        <is>
          <t>Aahil</t>
        </is>
      </c>
      <c r="K85" s="15" t="n">
        <v>1</v>
      </c>
      <c r="L85" s="15" t="n">
        <v>3</v>
      </c>
      <c r="M85" s="5">
        <f>IF(ISBLANK($E85),"",VLOOKUP($I85,PLAYERS_IDS,2,FALSE)*VLOOKUP($J85,PLAYERS_IDS,2,FALSE))</f>
        <v/>
      </c>
      <c r="N85" s="25">
        <f>IF(ISBLANK($E85)," ", COUNTIF($M$4:$M85,$M85))</f>
        <v/>
      </c>
      <c r="O85" s="25" t="n">
        <v>15</v>
      </c>
      <c r="P85" s="5">
        <f>IF(ISBLANK($F85),"",VLOOKUP($C85,PLAYERS_IDS,2,FALSE)*VLOOKUP($D85,PLAYERS_IDS,2,FALSE))</f>
        <v/>
      </c>
      <c r="Q85" s="5">
        <f>IF(ISBLANK($F85), "",VLOOKUP($F85,PLAYERS_IDS,2,FALSE)*VLOOKUP($G85,PLAYERS_IDS,2,FALSE))</f>
        <v/>
      </c>
      <c r="R85" s="5">
        <f>IFERROR((P85*100000)+Q85,"")</f>
        <v/>
      </c>
    </row>
    <row r="86" ht="20.25" customHeight="1" s="106">
      <c r="A86" s="14" t="n">
        <v>46285</v>
      </c>
      <c r="B86" s="15" t="n">
        <v>82</v>
      </c>
      <c r="C86" s="22" t="inlineStr">
        <is>
          <t>Aahil</t>
        </is>
      </c>
      <c r="D86" s="15" t="inlineStr">
        <is>
          <t>Sandip</t>
        </is>
      </c>
      <c r="E86" s="23" t="n">
        <v>19</v>
      </c>
      <c r="F86" s="15" t="inlineStr">
        <is>
          <t>Santosh</t>
        </is>
      </c>
      <c r="G86" s="15" t="inlineStr">
        <is>
          <t>Altamash</t>
        </is>
      </c>
      <c r="H86" s="24" t="n">
        <v>15</v>
      </c>
      <c r="I86" s="15" t="inlineStr">
        <is>
          <t>Aahil</t>
        </is>
      </c>
      <c r="J86" s="15" t="inlineStr">
        <is>
          <t>Sandip</t>
        </is>
      </c>
      <c r="K86" s="15" t="n">
        <v>1</v>
      </c>
      <c r="L86" s="15" t="n">
        <v>4</v>
      </c>
      <c r="M86" s="5">
        <f>IF(ISBLANK($E86),"",VLOOKUP($I86,PLAYERS_IDS,2,FALSE)*VLOOKUP($J86,PLAYERS_IDS,2,FALSE))</f>
        <v/>
      </c>
      <c r="N86" s="25">
        <f>IF(ISBLANK($E86)," ", COUNTIF($M$4:$M86,$M86))</f>
        <v/>
      </c>
      <c r="O86" s="25" t="n">
        <v>15</v>
      </c>
      <c r="P86" s="5">
        <f>IF(ISBLANK($F86),"",VLOOKUP($C86,PLAYERS_IDS,2,FALSE)*VLOOKUP($D86,PLAYERS_IDS,2,FALSE))</f>
        <v/>
      </c>
      <c r="Q86" s="5">
        <f>IF(ISBLANK($F86), "",VLOOKUP($F86,PLAYERS_IDS,2,FALSE)*VLOOKUP($G86,PLAYERS_IDS,2,FALSE))</f>
        <v/>
      </c>
      <c r="R86" s="5">
        <f>IFERROR((P86*100000)+Q86,"")</f>
        <v/>
      </c>
    </row>
    <row r="87" ht="20.25" customHeight="1" s="106">
      <c r="A87" s="14" t="n">
        <v>46285</v>
      </c>
      <c r="B87" s="15" t="n">
        <v>83</v>
      </c>
      <c r="C87" s="22" t="inlineStr">
        <is>
          <t>Atul</t>
        </is>
      </c>
      <c r="D87" s="15" t="inlineStr">
        <is>
          <t>Altamash</t>
        </is>
      </c>
      <c r="E87" s="23" t="n">
        <v>21</v>
      </c>
      <c r="F87" s="15" t="inlineStr">
        <is>
          <t>Santosh</t>
        </is>
      </c>
      <c r="G87" s="15" t="inlineStr">
        <is>
          <t>Zaheer</t>
        </is>
      </c>
      <c r="H87" s="24" t="n">
        <v>14</v>
      </c>
      <c r="I87" s="15" t="inlineStr">
        <is>
          <t>Atul</t>
        </is>
      </c>
      <c r="J87" s="15" t="inlineStr">
        <is>
          <t>Altamash</t>
        </is>
      </c>
      <c r="K87" s="15" t="n">
        <v>2</v>
      </c>
      <c r="L87" s="15" t="n">
        <v>7</v>
      </c>
      <c r="M87" s="5">
        <f>IF(ISBLANK($E87),"",VLOOKUP($I87,PLAYERS_IDS,2,FALSE)*VLOOKUP($J87,PLAYERS_IDS,2,FALSE))</f>
        <v/>
      </c>
      <c r="N87" s="25">
        <f>IF(ISBLANK($E87)," ", COUNTIF($M$4:$M87,$M87))</f>
        <v/>
      </c>
      <c r="O87" s="25" t="n">
        <v>15</v>
      </c>
      <c r="P87" s="5">
        <f>IF(ISBLANK($F87),"",VLOOKUP($C87,PLAYERS_IDS,2,FALSE)*VLOOKUP($D87,PLAYERS_IDS,2,FALSE))</f>
        <v/>
      </c>
      <c r="Q87" s="5">
        <f>IF(ISBLANK($F87), "",VLOOKUP($F87,PLAYERS_IDS,2,FALSE)*VLOOKUP($G87,PLAYERS_IDS,2,FALSE))</f>
        <v/>
      </c>
      <c r="R87" s="5">
        <f>IFERROR((P87*100000)+Q87,"")</f>
        <v/>
      </c>
    </row>
    <row r="88" ht="20.25" customHeight="1" s="106">
      <c r="A88" s="14" t="n">
        <v>46285</v>
      </c>
      <c r="B88" s="15" t="n">
        <v>84</v>
      </c>
      <c r="C88" s="22" t="inlineStr">
        <is>
          <t>Rukhsar</t>
        </is>
      </c>
      <c r="D88" s="15" t="inlineStr">
        <is>
          <t>Deepesh</t>
        </is>
      </c>
      <c r="E88" s="23" t="n">
        <v>21</v>
      </c>
      <c r="F88" s="15" t="inlineStr">
        <is>
          <t>Atul</t>
        </is>
      </c>
      <c r="G88" s="15" t="inlineStr">
        <is>
          <t>Zaheer</t>
        </is>
      </c>
      <c r="H88" s="24" t="n">
        <v>16</v>
      </c>
      <c r="I88" s="15" t="inlineStr">
        <is>
          <t>Rukhsar</t>
        </is>
      </c>
      <c r="J88" s="15" t="inlineStr">
        <is>
          <t>Deepesh</t>
        </is>
      </c>
      <c r="K88" s="15" t="n">
        <v>2</v>
      </c>
      <c r="L88" s="15" t="n">
        <v>5</v>
      </c>
      <c r="M88" s="5">
        <f>IF(ISBLANK($E88),"",VLOOKUP($I88,PLAYERS_IDS,2,FALSE)*VLOOKUP($J88,PLAYERS_IDS,2,FALSE))</f>
        <v/>
      </c>
      <c r="N88" s="25">
        <f>IF(ISBLANK($E88)," ", COUNTIF($M$4:$M88,$M88))</f>
        <v/>
      </c>
      <c r="O88" s="25" t="n">
        <v>15</v>
      </c>
      <c r="P88" s="5">
        <f>IF(ISBLANK($F88),"",VLOOKUP($C88,PLAYERS_IDS,2,FALSE)*VLOOKUP($D88,PLAYERS_IDS,2,FALSE))</f>
        <v/>
      </c>
      <c r="Q88" s="5">
        <f>IF(ISBLANK($F88), "",VLOOKUP($F88,PLAYERS_IDS,2,FALSE)*VLOOKUP($G88,PLAYERS_IDS,2,FALSE))</f>
        <v/>
      </c>
      <c r="R88" s="5">
        <f>IFERROR((P88*100000)+Q88,"")</f>
        <v/>
      </c>
    </row>
    <row r="89" ht="20.25" customHeight="1" s="106">
      <c r="A89" s="14" t="n">
        <v>46285</v>
      </c>
      <c r="B89" s="15" t="n">
        <v>85</v>
      </c>
      <c r="C89" s="22" t="inlineStr">
        <is>
          <t>Sandip</t>
        </is>
      </c>
      <c r="D89" s="15" t="inlineStr">
        <is>
          <t>Prasanna</t>
        </is>
      </c>
      <c r="E89" s="23" t="n">
        <v>21</v>
      </c>
      <c r="F89" s="15" t="inlineStr">
        <is>
          <t>Deepesh</t>
        </is>
      </c>
      <c r="G89" s="15" t="inlineStr">
        <is>
          <t>Rahul</t>
        </is>
      </c>
      <c r="H89" s="24" t="n">
        <v>17</v>
      </c>
      <c r="I89" s="15" t="inlineStr">
        <is>
          <t>Sandip</t>
        </is>
      </c>
      <c r="J89" s="15" t="inlineStr">
        <is>
          <t>Prasanna</t>
        </is>
      </c>
      <c r="K89" s="15" t="n">
        <v>1</v>
      </c>
      <c r="L89" s="15" t="n">
        <v>4</v>
      </c>
      <c r="M89" s="5">
        <f>IF(ISBLANK($E89),"",VLOOKUP($I89,PLAYERS_IDS,2,FALSE)*VLOOKUP($J89,PLAYERS_IDS,2,FALSE))</f>
        <v/>
      </c>
      <c r="N89" s="25">
        <f>IF(ISBLANK($E89)," ", COUNTIF($M$4:$M89,$M89))</f>
        <v/>
      </c>
      <c r="O89" s="25" t="n">
        <v>15</v>
      </c>
      <c r="P89" s="5">
        <f>IF(ISBLANK($F89),"",VLOOKUP($C89,PLAYERS_IDS,2,FALSE)*VLOOKUP($D89,PLAYERS_IDS,2,FALSE))</f>
        <v/>
      </c>
      <c r="Q89" s="5">
        <f>IF(ISBLANK($F89), "",VLOOKUP($F89,PLAYERS_IDS,2,FALSE)*VLOOKUP($G89,PLAYERS_IDS,2,FALSE))</f>
        <v/>
      </c>
      <c r="R89" s="5">
        <f>IFERROR((P89*100000)+Q89,"")</f>
        <v/>
      </c>
    </row>
    <row r="90" ht="20.25" customHeight="1" s="106">
      <c r="A90" s="14" t="n">
        <v>46285</v>
      </c>
      <c r="B90" s="15" t="n">
        <v>86</v>
      </c>
      <c r="C90" s="22" t="inlineStr">
        <is>
          <t>Hasan</t>
        </is>
      </c>
      <c r="D90" s="15" t="inlineStr">
        <is>
          <t>Tousif</t>
        </is>
      </c>
      <c r="E90" s="23" t="n">
        <v>21</v>
      </c>
      <c r="F90" s="15" t="inlineStr">
        <is>
          <t>Sengole</t>
        </is>
      </c>
      <c r="G90" s="15" t="inlineStr">
        <is>
          <t>Deepak</t>
        </is>
      </c>
      <c r="H90" s="24" t="n">
        <v>14</v>
      </c>
      <c r="I90" s="15" t="inlineStr">
        <is>
          <t>Hasan</t>
        </is>
      </c>
      <c r="J90" s="15" t="inlineStr">
        <is>
          <t>Tousif</t>
        </is>
      </c>
      <c r="K90" s="15" t="n">
        <v>4</v>
      </c>
      <c r="L90" s="15" t="n">
        <v>7</v>
      </c>
      <c r="M90" s="5">
        <f>IF(ISBLANK($E90),"",VLOOKUP($I90,PLAYERS_IDS,2,FALSE)*VLOOKUP($J90,PLAYERS_IDS,2,FALSE))</f>
        <v/>
      </c>
      <c r="N90" s="25">
        <f>IF(ISBLANK($E90)," ", COUNTIF($M$4:$M90,$M90))</f>
        <v/>
      </c>
      <c r="O90" s="25" t="n">
        <v>15</v>
      </c>
      <c r="P90" s="5">
        <f>IF(ISBLANK($F90),"",VLOOKUP($C90,PLAYERS_IDS,2,FALSE)*VLOOKUP($D90,PLAYERS_IDS,2,FALSE))</f>
        <v/>
      </c>
      <c r="Q90" s="5">
        <f>IF(ISBLANK($F90), "",VLOOKUP($F90,PLAYERS_IDS,2,FALSE)*VLOOKUP($G90,PLAYERS_IDS,2,FALSE))</f>
        <v/>
      </c>
      <c r="R90" s="5">
        <f>IFERROR((P90*100000)+Q90,"")</f>
        <v/>
      </c>
    </row>
    <row r="91" ht="20.25" customHeight="1" s="106">
      <c r="A91" s="14" t="n">
        <v>46285</v>
      </c>
      <c r="B91" s="15" t="n">
        <v>87</v>
      </c>
      <c r="C91" s="22" t="inlineStr">
        <is>
          <t>Waqas</t>
        </is>
      </c>
      <c r="D91" s="15" t="inlineStr">
        <is>
          <t>Shiva</t>
        </is>
      </c>
      <c r="E91" s="23" t="n">
        <v>21</v>
      </c>
      <c r="F91" s="15" t="inlineStr">
        <is>
          <t>Tousif</t>
        </is>
      </c>
      <c r="G91" s="15" t="inlineStr">
        <is>
          <t>Deepak</t>
        </is>
      </c>
      <c r="H91" s="24" t="n">
        <v>14</v>
      </c>
      <c r="I91" s="15" t="inlineStr">
        <is>
          <t>Waqas</t>
        </is>
      </c>
      <c r="J91" s="15" t="inlineStr">
        <is>
          <t>Shiva</t>
        </is>
      </c>
      <c r="K91" s="15" t="n">
        <v>4</v>
      </c>
      <c r="L91" s="15" t="n">
        <v>7</v>
      </c>
      <c r="M91" s="5">
        <f>IF(ISBLANK($E91),"",VLOOKUP($I91,PLAYERS_IDS,2,FALSE)*VLOOKUP($J91,PLAYERS_IDS,2,FALSE))</f>
        <v/>
      </c>
      <c r="N91" s="25">
        <f>IF(ISBLANK($E91)," ", COUNTIF($M$4:$M91,$M91))</f>
        <v/>
      </c>
      <c r="O91" s="25" t="n">
        <v>15</v>
      </c>
      <c r="P91" s="5">
        <f>IF(ISBLANK($F91),"",VLOOKUP($C91,PLAYERS_IDS,2,FALSE)*VLOOKUP($D91,PLAYERS_IDS,2,FALSE))</f>
        <v/>
      </c>
      <c r="Q91" s="5">
        <f>IF(ISBLANK($F91), "",VLOOKUP($F91,PLAYERS_IDS,2,FALSE)*VLOOKUP($G91,PLAYERS_IDS,2,FALSE))</f>
        <v/>
      </c>
      <c r="R91" s="5">
        <f>IFERROR((P91*100000)+Q91,"")</f>
        <v/>
      </c>
    </row>
    <row r="92" ht="20.25" customHeight="1" s="106">
      <c r="A92" s="14" t="n">
        <v>46285</v>
      </c>
      <c r="B92" s="15" t="n">
        <v>88</v>
      </c>
      <c r="C92" s="22" t="inlineStr">
        <is>
          <t>Waqas</t>
        </is>
      </c>
      <c r="D92" s="15" t="inlineStr">
        <is>
          <t>Mehtab</t>
        </is>
      </c>
      <c r="E92" s="23" t="n">
        <v>23</v>
      </c>
      <c r="F92" s="15" t="inlineStr">
        <is>
          <t>Shiva</t>
        </is>
      </c>
      <c r="G92" s="15" t="inlineStr">
        <is>
          <t>Vasu</t>
        </is>
      </c>
      <c r="H92" s="24" t="n">
        <v>21</v>
      </c>
      <c r="I92" s="15" t="inlineStr">
        <is>
          <t>Waqas</t>
        </is>
      </c>
      <c r="J92" s="15" t="inlineStr">
        <is>
          <t>Mehtab</t>
        </is>
      </c>
      <c r="K92" s="15" t="n">
        <v>3</v>
      </c>
      <c r="L92" s="15" t="n">
        <v>2</v>
      </c>
      <c r="M92" s="5">
        <f>IF(ISBLANK($E92),"",VLOOKUP($I92,PLAYERS_IDS,2,FALSE)*VLOOKUP($J92,PLAYERS_IDS,2,FALSE))</f>
        <v/>
      </c>
      <c r="N92" s="25">
        <f>IF(ISBLANK($E92)," ", COUNTIF($M$4:$M92,$M92))</f>
        <v/>
      </c>
      <c r="O92" s="25" t="n">
        <v>15</v>
      </c>
      <c r="P92" s="5">
        <f>IF(ISBLANK($F92),"",VLOOKUP($C92,PLAYERS_IDS,2,FALSE)*VLOOKUP($D92,PLAYERS_IDS,2,FALSE))</f>
        <v/>
      </c>
      <c r="Q92" s="5">
        <f>IF(ISBLANK($F92), "",VLOOKUP($F92,PLAYERS_IDS,2,FALSE)*VLOOKUP($G92,PLAYERS_IDS,2,FALSE))</f>
        <v/>
      </c>
      <c r="R92" s="5">
        <f>IFERROR((P92*100000)+Q92,"")</f>
        <v/>
      </c>
    </row>
    <row r="93" ht="20.25" customHeight="1" s="106">
      <c r="A93" s="14" t="n">
        <v>46285</v>
      </c>
      <c r="B93" s="15" t="n">
        <v>89</v>
      </c>
      <c r="C93" s="22" t="inlineStr">
        <is>
          <t>Tousif</t>
        </is>
      </c>
      <c r="D93" s="15" t="inlineStr">
        <is>
          <t>Nawaz</t>
        </is>
      </c>
      <c r="E93" s="23" t="n">
        <v>22</v>
      </c>
      <c r="F93" s="15" t="inlineStr">
        <is>
          <t>Zaheer</t>
        </is>
      </c>
      <c r="G93" s="15" t="inlineStr">
        <is>
          <t>Sengole</t>
        </is>
      </c>
      <c r="H93" s="24" t="n">
        <v>20</v>
      </c>
      <c r="I93" s="15" t="inlineStr">
        <is>
          <t>Tousif</t>
        </is>
      </c>
      <c r="J93" s="15" t="inlineStr">
        <is>
          <t>Nawaz</t>
        </is>
      </c>
      <c r="K93" s="15" t="n">
        <v>1</v>
      </c>
      <c r="L93" s="15" t="n">
        <v>2</v>
      </c>
      <c r="M93" s="5">
        <f>IF(ISBLANK($E93),"",VLOOKUP($I93,PLAYERS_IDS,2,FALSE)*VLOOKUP($J93,PLAYERS_IDS,2,FALSE))</f>
        <v/>
      </c>
      <c r="N93" s="25">
        <f>IF(ISBLANK($E93)," ", COUNTIF($M$4:$M93,$M93))</f>
        <v/>
      </c>
      <c r="O93" s="25" t="n">
        <v>15</v>
      </c>
      <c r="P93" s="5">
        <f>IF(ISBLANK($F93),"",VLOOKUP($C93,PLAYERS_IDS,2,FALSE)*VLOOKUP($D93,PLAYERS_IDS,2,FALSE))</f>
        <v/>
      </c>
      <c r="Q93" s="5">
        <f>IF(ISBLANK($F93), "",VLOOKUP($F93,PLAYERS_IDS,2,FALSE)*VLOOKUP($G93,PLAYERS_IDS,2,FALSE))</f>
        <v/>
      </c>
      <c r="R93" s="5">
        <f>IFERROR((P93*100000)+Q93,"")</f>
        <v/>
      </c>
    </row>
    <row r="94" ht="20.25" customHeight="1" s="106">
      <c r="A94" s="14" t="n">
        <v>46285</v>
      </c>
      <c r="B94" s="15" t="n">
        <v>90</v>
      </c>
      <c r="C94" s="22" t="inlineStr">
        <is>
          <t>Santosh</t>
        </is>
      </c>
      <c r="D94" s="15" t="inlineStr">
        <is>
          <t>Tousif</t>
        </is>
      </c>
      <c r="E94" s="23" t="n">
        <v>21</v>
      </c>
      <c r="F94" s="15" t="inlineStr">
        <is>
          <t>Rahul</t>
        </is>
      </c>
      <c r="G94" s="15" t="inlineStr">
        <is>
          <t>Waqas</t>
        </is>
      </c>
      <c r="H94" s="24" t="n">
        <v>11</v>
      </c>
      <c r="I94" s="15" t="inlineStr">
        <is>
          <t>Santosh</t>
        </is>
      </c>
      <c r="J94" s="15" t="inlineStr">
        <is>
          <t>Tousif</t>
        </is>
      </c>
      <c r="K94" s="15" t="n">
        <v>3</v>
      </c>
      <c r="L94" s="15" t="n">
        <v>10</v>
      </c>
      <c r="M94" s="5">
        <f>IF(ISBLANK($E94),"",VLOOKUP($I94,PLAYERS_IDS,2,FALSE)*VLOOKUP($J94,PLAYERS_IDS,2,FALSE))</f>
        <v/>
      </c>
      <c r="N94" s="25">
        <f>IF(ISBLANK($E94)," ", COUNTIF($M$4:$M94,$M94))</f>
        <v/>
      </c>
      <c r="O94" s="25" t="n">
        <v>15</v>
      </c>
      <c r="P94" s="5">
        <f>IF(ISBLANK($F94),"",VLOOKUP($C94,PLAYERS_IDS,2,FALSE)*VLOOKUP($D94,PLAYERS_IDS,2,FALSE))</f>
        <v/>
      </c>
      <c r="Q94" s="5">
        <f>IF(ISBLANK($F94), "",VLOOKUP($F94,PLAYERS_IDS,2,FALSE)*VLOOKUP($G94,PLAYERS_IDS,2,FALSE))</f>
        <v/>
      </c>
      <c r="R94" s="5">
        <f>IFERROR((P94*100000)+Q94,"")</f>
        <v/>
      </c>
    </row>
    <row r="95" ht="20.25" customHeight="1" s="106">
      <c r="A95" s="14" t="n">
        <v>46285</v>
      </c>
      <c r="B95" s="15" t="n">
        <v>91</v>
      </c>
      <c r="C95" s="22" t="inlineStr">
        <is>
          <t>Santosh</t>
        </is>
      </c>
      <c r="D95" s="15" t="inlineStr">
        <is>
          <t>Mansoor</t>
        </is>
      </c>
      <c r="E95" s="23" t="n">
        <v>21</v>
      </c>
      <c r="F95" s="15" t="inlineStr">
        <is>
          <t>Prasanna</t>
        </is>
      </c>
      <c r="G95" s="15" t="inlineStr">
        <is>
          <t>Purvaiz</t>
        </is>
      </c>
      <c r="H95" s="24" t="n">
        <v>11</v>
      </c>
      <c r="I95" s="15" t="inlineStr">
        <is>
          <t>Santosh</t>
        </is>
      </c>
      <c r="J95" s="15" t="inlineStr">
        <is>
          <t>Mansoor</t>
        </is>
      </c>
      <c r="K95" s="15" t="n">
        <v>3</v>
      </c>
      <c r="L95" s="15" t="n">
        <v>10</v>
      </c>
      <c r="M95" s="5">
        <f>IF(ISBLANK($E95),"",VLOOKUP($I95,PLAYERS_IDS,2,FALSE)*VLOOKUP($J95,PLAYERS_IDS,2,FALSE))</f>
        <v/>
      </c>
      <c r="N95" s="25">
        <f>IF(ISBLANK($E95)," ", COUNTIF($M$4:$M95,$M95))</f>
        <v/>
      </c>
      <c r="O95" s="25" t="n">
        <v>15</v>
      </c>
      <c r="P95" s="5">
        <f>IF(ISBLANK($F95),"",VLOOKUP($C95,PLAYERS_IDS,2,FALSE)*VLOOKUP($D95,PLAYERS_IDS,2,FALSE))</f>
        <v/>
      </c>
      <c r="Q95" s="5">
        <f>IF(ISBLANK($F95), "",VLOOKUP($F95,PLAYERS_IDS,2,FALSE)*VLOOKUP($G95,PLAYERS_IDS,2,FALSE))</f>
        <v/>
      </c>
      <c r="R95" s="5">
        <f>IFERROR((P95*100000)+Q95,"")</f>
        <v/>
      </c>
    </row>
    <row r="96" ht="20.25" customHeight="1" s="106">
      <c r="A96" s="14" t="n">
        <v>46285</v>
      </c>
      <c r="B96" s="15" t="n">
        <v>92</v>
      </c>
      <c r="C96" s="22" t="inlineStr">
        <is>
          <t>Santosh</t>
        </is>
      </c>
      <c r="D96" s="15" t="inlineStr">
        <is>
          <t>Sengole</t>
        </is>
      </c>
      <c r="E96" s="23" t="n">
        <v>21</v>
      </c>
      <c r="F96" s="15" t="inlineStr">
        <is>
          <t>Zaheer</t>
        </is>
      </c>
      <c r="G96" s="15" t="inlineStr">
        <is>
          <t>Mansoor</t>
        </is>
      </c>
      <c r="H96" s="24" t="n">
        <v>16</v>
      </c>
      <c r="I96" s="15" t="inlineStr">
        <is>
          <t>Santosh</t>
        </is>
      </c>
      <c r="J96" s="15" t="inlineStr">
        <is>
          <t>Sengole</t>
        </is>
      </c>
      <c r="K96" s="15" t="n">
        <v>2</v>
      </c>
      <c r="L96" s="15" t="n">
        <v>5</v>
      </c>
      <c r="M96" s="5">
        <f>IF(ISBLANK($E96),"",VLOOKUP($I96,PLAYERS_IDS,2,FALSE)*VLOOKUP($J96,PLAYERS_IDS,2,FALSE))</f>
        <v/>
      </c>
      <c r="N96" s="25">
        <f>IF(ISBLANK($E96)," ", COUNTIF($M$4:$M96,$M96))</f>
        <v/>
      </c>
      <c r="O96" s="25" t="n">
        <v>15</v>
      </c>
      <c r="P96" s="5">
        <f>IF(ISBLANK($F96),"",VLOOKUP($C96,PLAYERS_IDS,2,FALSE)*VLOOKUP($D96,PLAYERS_IDS,2,FALSE))</f>
        <v/>
      </c>
      <c r="Q96" s="5">
        <f>IF(ISBLANK($F96), "",VLOOKUP($F96,PLAYERS_IDS,2,FALSE)*VLOOKUP($G96,PLAYERS_IDS,2,FALSE))</f>
        <v/>
      </c>
      <c r="R96" s="5">
        <f>IFERROR((P96*100000)+Q96,"")</f>
        <v/>
      </c>
    </row>
    <row r="97" ht="20.25" customHeight="1" s="106">
      <c r="A97" s="14" t="n">
        <v>46285</v>
      </c>
      <c r="B97" s="15" t="n">
        <v>93</v>
      </c>
      <c r="C97" s="22" t="inlineStr">
        <is>
          <t>Santosh</t>
        </is>
      </c>
      <c r="D97" s="15" t="inlineStr">
        <is>
          <t>Rukhsar</t>
        </is>
      </c>
      <c r="E97" s="23" t="n">
        <v>21</v>
      </c>
      <c r="F97" s="15" t="inlineStr">
        <is>
          <t>Prasanna</t>
        </is>
      </c>
      <c r="G97" s="15" t="inlineStr">
        <is>
          <t>Atul</t>
        </is>
      </c>
      <c r="H97" s="24" t="n">
        <v>9</v>
      </c>
      <c r="I97" s="15" t="inlineStr">
        <is>
          <t>Santosh</t>
        </is>
      </c>
      <c r="J97" s="15" t="inlineStr">
        <is>
          <t>Rukhsar</t>
        </is>
      </c>
      <c r="K97" s="15" t="n">
        <v>1</v>
      </c>
      <c r="L97" s="15" t="n">
        <v>12</v>
      </c>
      <c r="M97" s="5">
        <f>IF(ISBLANK($E97),"",VLOOKUP($I97,PLAYERS_IDS,2,FALSE)*VLOOKUP($J97,PLAYERS_IDS,2,FALSE))</f>
        <v/>
      </c>
      <c r="N97" s="25">
        <f>IF(ISBLANK($E97)," ", COUNTIF($M$4:$M97,$M97))</f>
        <v/>
      </c>
      <c r="O97" s="25" t="n">
        <v>15</v>
      </c>
      <c r="P97" s="5">
        <f>IF(ISBLANK($F97),"",VLOOKUP($C97,PLAYERS_IDS,2,FALSE)*VLOOKUP($D97,PLAYERS_IDS,2,FALSE))</f>
        <v/>
      </c>
      <c r="Q97" s="5">
        <f>IF(ISBLANK($F97), "",VLOOKUP($F97,PLAYERS_IDS,2,FALSE)*VLOOKUP($G97,PLAYERS_IDS,2,FALSE))</f>
        <v/>
      </c>
      <c r="R97" s="5">
        <f>IFERROR((P97*100000)+Q97,"")</f>
        <v/>
      </c>
    </row>
    <row r="98" ht="20.25" customHeight="1" s="106">
      <c r="A98" s="14" t="n">
        <v>46285</v>
      </c>
      <c r="B98" s="15" t="n">
        <v>94</v>
      </c>
      <c r="C98" s="22" t="inlineStr">
        <is>
          <t>Santosh</t>
        </is>
      </c>
      <c r="D98" s="15" t="inlineStr">
        <is>
          <t>Aahil</t>
        </is>
      </c>
      <c r="E98" s="23" t="n">
        <v>19</v>
      </c>
      <c r="F98" s="15" t="inlineStr">
        <is>
          <t>Rukhsar</t>
        </is>
      </c>
      <c r="G98" s="15" t="inlineStr">
        <is>
          <t>Deepesh</t>
        </is>
      </c>
      <c r="H98" s="24" t="n">
        <v>16</v>
      </c>
      <c r="I98" s="15" t="inlineStr">
        <is>
          <t>Santosh</t>
        </is>
      </c>
      <c r="J98" s="15" t="inlineStr">
        <is>
          <t>Aahil</t>
        </is>
      </c>
      <c r="K98" s="15" t="n">
        <v>1</v>
      </c>
      <c r="L98" s="15" t="n">
        <v>3</v>
      </c>
      <c r="M98" s="5">
        <f>IF(ISBLANK($E98),"",VLOOKUP($I98,PLAYERS_IDS,2,FALSE)*VLOOKUP($J98,PLAYERS_IDS,2,FALSE))</f>
        <v/>
      </c>
      <c r="N98" s="25">
        <f>IF(ISBLANK($E98)," ", COUNTIF($M$4:$M98,$M98))</f>
        <v/>
      </c>
      <c r="O98" s="25" t="n">
        <v>15</v>
      </c>
      <c r="P98" s="5">
        <f>IF(ISBLANK($F98),"",VLOOKUP($C98,PLAYERS_IDS,2,FALSE)*VLOOKUP($D98,PLAYERS_IDS,2,FALSE))</f>
        <v/>
      </c>
      <c r="Q98" s="5">
        <f>IF(ISBLANK($F98), "",VLOOKUP($F98,PLAYERS_IDS,2,FALSE)*VLOOKUP($G98,PLAYERS_IDS,2,FALSE))</f>
        <v/>
      </c>
      <c r="R98" s="5">
        <f>IFERROR((P98*100000)+Q98,"")</f>
        <v/>
      </c>
    </row>
    <row r="99" ht="20.25" customHeight="1" s="106">
      <c r="A99" s="14" t="n">
        <v>46285</v>
      </c>
      <c r="B99" s="15" t="n">
        <v>95</v>
      </c>
      <c r="C99" s="22" t="inlineStr">
        <is>
          <t>Santosh</t>
        </is>
      </c>
      <c r="D99" s="15" t="inlineStr">
        <is>
          <t>Prasanna</t>
        </is>
      </c>
      <c r="E99" s="23" t="n">
        <v>16</v>
      </c>
      <c r="F99" s="15" t="inlineStr">
        <is>
          <t>Zaheer</t>
        </is>
      </c>
      <c r="G99" s="15" t="inlineStr">
        <is>
          <t>Rahul</t>
        </is>
      </c>
      <c r="H99" s="24" t="n">
        <v>13</v>
      </c>
      <c r="I99" s="15" t="inlineStr">
        <is>
          <t>Santosh</t>
        </is>
      </c>
      <c r="J99" s="15" t="inlineStr">
        <is>
          <t>Prasanna</t>
        </is>
      </c>
      <c r="K99" s="15" t="n">
        <v>2</v>
      </c>
      <c r="L99" s="15" t="n">
        <v>3</v>
      </c>
      <c r="M99" s="5">
        <f>IF(ISBLANK($E99),"",VLOOKUP($I99,PLAYERS_IDS,2,FALSE)*VLOOKUP($J99,PLAYERS_IDS,2,FALSE))</f>
        <v/>
      </c>
      <c r="N99" s="25">
        <f>IF(ISBLANK($E99)," ", COUNTIF($M$4:$M99,$M99))</f>
        <v/>
      </c>
      <c r="O99" s="25" t="n">
        <v>15</v>
      </c>
      <c r="P99" s="5">
        <f>IF(ISBLANK($F99),"",VLOOKUP($C99,PLAYERS_IDS,2,FALSE)*VLOOKUP($D99,PLAYERS_IDS,2,FALSE))</f>
        <v/>
      </c>
      <c r="Q99" s="5">
        <f>IF(ISBLANK($F99), "",VLOOKUP($F99,PLAYERS_IDS,2,FALSE)*VLOOKUP($G99,PLAYERS_IDS,2,FALSE))</f>
        <v/>
      </c>
      <c r="R99" s="5">
        <f>IFERROR((P99*100000)+Q99,"")</f>
        <v/>
      </c>
    </row>
    <row r="100" ht="20.25" customHeight="1" s="106">
      <c r="A100" s="14" t="n">
        <v>46285</v>
      </c>
      <c r="B100" s="15" t="n">
        <v>96</v>
      </c>
      <c r="C100" s="22" t="inlineStr">
        <is>
          <t>Thomas</t>
        </is>
      </c>
      <c r="D100" s="15" t="inlineStr">
        <is>
          <t>Vishal</t>
        </is>
      </c>
      <c r="E100" s="23" t="n">
        <v>21</v>
      </c>
      <c r="F100" s="15" t="inlineStr">
        <is>
          <t>Faiyaz</t>
        </is>
      </c>
      <c r="G100" s="15" t="inlineStr">
        <is>
          <t>Rafay</t>
        </is>
      </c>
      <c r="H100" s="24" t="n">
        <v>15</v>
      </c>
      <c r="I100" s="15" t="inlineStr">
        <is>
          <t>Thomas</t>
        </is>
      </c>
      <c r="J100" s="15" t="inlineStr">
        <is>
          <t>Vishal</t>
        </is>
      </c>
      <c r="K100" s="15" t="inlineStr">
        <is>
          <t>Parklands</t>
        </is>
      </c>
      <c r="L100" s="15" t="n">
        <v>6</v>
      </c>
      <c r="M100" s="5">
        <f>IF(ISBLANK($E100),"",VLOOKUP($I100,PLAYERS_IDS,2,FALSE)*VLOOKUP($J100,PLAYERS_IDS,2,FALSE))</f>
        <v/>
      </c>
      <c r="N100" s="25">
        <f>IF(ISBLANK($E100)," ", COUNTIF($M$4:$M100,$M100))</f>
        <v/>
      </c>
      <c r="O100" s="25" t="n">
        <v>15</v>
      </c>
      <c r="P100" s="5">
        <f>IF(ISBLANK($F100),"",VLOOKUP($C100,PLAYERS_IDS,2,FALSE)*VLOOKUP($D100,PLAYERS_IDS,2,FALSE))</f>
        <v/>
      </c>
      <c r="Q100" s="5">
        <f>IF(ISBLANK($F100), "",VLOOKUP($F100,PLAYERS_IDS,2,FALSE)*VLOOKUP($G100,PLAYERS_IDS,2,FALSE))</f>
        <v/>
      </c>
      <c r="R100" s="5">
        <f>IFERROR((P100*100000)+Q100,"")</f>
        <v/>
      </c>
    </row>
    <row r="101" ht="20.25" customHeight="1" s="106">
      <c r="A101" s="14" t="n">
        <v>46285</v>
      </c>
      <c r="B101" s="15" t="n">
        <v>97</v>
      </c>
      <c r="C101" s="22" t="inlineStr">
        <is>
          <t>Thomas</t>
        </is>
      </c>
      <c r="D101" s="15" t="inlineStr">
        <is>
          <t>Rafay</t>
        </is>
      </c>
      <c r="E101" s="23" t="n">
        <v>21</v>
      </c>
      <c r="F101" s="15" t="inlineStr">
        <is>
          <t>Shreya</t>
        </is>
      </c>
      <c r="G101" s="15" t="inlineStr">
        <is>
          <t>Vishal</t>
        </is>
      </c>
      <c r="H101" s="24" t="n">
        <v>19</v>
      </c>
      <c r="I101" s="15" t="inlineStr">
        <is>
          <t>Thomas</t>
        </is>
      </c>
      <c r="J101" s="15" t="inlineStr">
        <is>
          <t>Rafay</t>
        </is>
      </c>
      <c r="K101" s="15" t="inlineStr">
        <is>
          <t>Parklands</t>
        </is>
      </c>
      <c r="L101" s="15" t="n">
        <v>2</v>
      </c>
      <c r="M101" s="5">
        <f>IF(ISBLANK($E101),"",VLOOKUP($I101,PLAYERS_IDS,2,FALSE)*VLOOKUP($J101,PLAYERS_IDS,2,FALSE))</f>
        <v/>
      </c>
      <c r="N101" s="25">
        <f>IF(ISBLANK($E101)," ", COUNTIF($M$4:$M101,$M101))</f>
        <v/>
      </c>
      <c r="O101" s="25" t="n">
        <v>15</v>
      </c>
      <c r="P101" s="5">
        <f>IF(ISBLANK($F101),"",VLOOKUP($C101,PLAYERS_IDS,2,FALSE)*VLOOKUP($D101,PLAYERS_IDS,2,FALSE))</f>
        <v/>
      </c>
      <c r="Q101" s="5">
        <f>IF(ISBLANK($F101), "",VLOOKUP($F101,PLAYERS_IDS,2,FALSE)*VLOOKUP($G101,PLAYERS_IDS,2,FALSE))</f>
        <v/>
      </c>
      <c r="R101" s="5">
        <f>IFERROR((P101*100000)+Q101,"")</f>
        <v/>
      </c>
    </row>
    <row r="102" ht="20.25" customHeight="1" s="106">
      <c r="A102" s="14" t="n">
        <v>46285</v>
      </c>
      <c r="B102" s="15" t="n">
        <v>98</v>
      </c>
      <c r="C102" s="22" t="inlineStr">
        <is>
          <t>Thomas</t>
        </is>
      </c>
      <c r="D102" s="15" t="inlineStr">
        <is>
          <t>Shreya</t>
        </is>
      </c>
      <c r="E102" s="23" t="n">
        <v>21</v>
      </c>
      <c r="F102" s="15" t="inlineStr">
        <is>
          <t>Faiyaz</t>
        </is>
      </c>
      <c r="G102" s="15" t="inlineStr">
        <is>
          <t>Vishal</t>
        </is>
      </c>
      <c r="H102" s="24" t="n">
        <v>16</v>
      </c>
      <c r="I102" s="15" t="inlineStr">
        <is>
          <t>Thomas</t>
        </is>
      </c>
      <c r="J102" s="15" t="inlineStr">
        <is>
          <t>Shreya</t>
        </is>
      </c>
      <c r="K102" s="15" t="inlineStr">
        <is>
          <t>Parklands</t>
        </is>
      </c>
      <c r="L102" s="15" t="n">
        <v>5</v>
      </c>
      <c r="M102" s="5">
        <f>IF(ISBLANK($E102),"",VLOOKUP($I102,PLAYERS_IDS,2,FALSE)*VLOOKUP($J102,PLAYERS_IDS,2,FALSE))</f>
        <v/>
      </c>
      <c r="N102" s="25">
        <f>IF(ISBLANK($E102)," ", COUNTIF($M$4:$M102,$M102))</f>
        <v/>
      </c>
      <c r="O102" s="25" t="n">
        <v>15</v>
      </c>
      <c r="P102" s="5">
        <f>IF(ISBLANK($F102),"",VLOOKUP($C102,PLAYERS_IDS,2,FALSE)*VLOOKUP($D102,PLAYERS_IDS,2,FALSE))</f>
        <v/>
      </c>
      <c r="Q102" s="5">
        <f>IF(ISBLANK($F102), "",VLOOKUP($F102,PLAYERS_IDS,2,FALSE)*VLOOKUP($G102,PLAYERS_IDS,2,FALSE))</f>
        <v/>
      </c>
      <c r="R102" s="5">
        <f>IFERROR((P102*100000)+Q102,"")</f>
        <v/>
      </c>
    </row>
    <row r="103" ht="20.25" customHeight="1" s="106">
      <c r="A103" s="14" t="n">
        <v>46285</v>
      </c>
      <c r="B103" s="15" t="n">
        <v>99</v>
      </c>
      <c r="C103" s="22" t="inlineStr">
        <is>
          <t>Thomas</t>
        </is>
      </c>
      <c r="D103" s="15" t="inlineStr">
        <is>
          <t>Faiyaz</t>
        </is>
      </c>
      <c r="E103" s="23" t="n">
        <v>21</v>
      </c>
      <c r="F103" s="15" t="inlineStr">
        <is>
          <t>Rafay</t>
        </is>
      </c>
      <c r="G103" s="15" t="inlineStr">
        <is>
          <t>Vishal</t>
        </is>
      </c>
      <c r="H103" s="24" t="n">
        <v>8</v>
      </c>
      <c r="I103" s="15" t="inlineStr">
        <is>
          <t>Thomas</t>
        </is>
      </c>
      <c r="J103" s="15" t="inlineStr">
        <is>
          <t>Faiyaz</t>
        </is>
      </c>
      <c r="K103" s="15" t="inlineStr">
        <is>
          <t>Parklands</t>
        </is>
      </c>
      <c r="L103" s="15" t="n">
        <v>13</v>
      </c>
      <c r="M103" s="5">
        <f>IF(ISBLANK($E103),"",VLOOKUP($I103,PLAYERS_IDS,2,FALSE)*VLOOKUP($J103,PLAYERS_IDS,2,FALSE))</f>
        <v/>
      </c>
      <c r="N103" s="25">
        <f>IF(ISBLANK($E103)," ", COUNTIF($M$4:$M103,$M103))</f>
        <v/>
      </c>
      <c r="O103" s="25" t="n">
        <v>15</v>
      </c>
      <c r="P103" s="5">
        <f>IF(ISBLANK($F103),"",VLOOKUP($C103,PLAYERS_IDS,2,FALSE)*VLOOKUP($D103,PLAYERS_IDS,2,FALSE))</f>
        <v/>
      </c>
      <c r="Q103" s="5">
        <f>IF(ISBLANK($F103), "",VLOOKUP($F103,PLAYERS_IDS,2,FALSE)*VLOOKUP($G103,PLAYERS_IDS,2,FALSE))</f>
        <v/>
      </c>
      <c r="R103" s="5">
        <f>IFERROR((P103*100000)+Q103,"")</f>
        <v/>
      </c>
    </row>
    <row r="104" ht="20.25" customHeight="1" s="106">
      <c r="A104" s="14" t="n">
        <v>46285</v>
      </c>
      <c r="B104" s="15" t="n">
        <v>100</v>
      </c>
      <c r="C104" s="22" t="inlineStr">
        <is>
          <t>Shreya</t>
        </is>
      </c>
      <c r="D104" s="15" t="inlineStr">
        <is>
          <t>Rafay</t>
        </is>
      </c>
      <c r="E104" s="23" t="n">
        <v>21</v>
      </c>
      <c r="F104" s="15" t="inlineStr">
        <is>
          <t>Thomas</t>
        </is>
      </c>
      <c r="G104" s="15" t="inlineStr">
        <is>
          <t>Faiyaz</t>
        </is>
      </c>
      <c r="H104" s="24" t="n">
        <v>17</v>
      </c>
      <c r="I104" s="15" t="inlineStr">
        <is>
          <t>Shreya</t>
        </is>
      </c>
      <c r="J104" s="15" t="inlineStr">
        <is>
          <t>Rafay</t>
        </is>
      </c>
      <c r="K104" s="15" t="inlineStr">
        <is>
          <t>Parklands</t>
        </is>
      </c>
      <c r="L104" s="15" t="n">
        <v>4</v>
      </c>
      <c r="M104" s="5">
        <f>IF(ISBLANK($E104),"",VLOOKUP($I104,PLAYERS_IDS,2,FALSE)*VLOOKUP($J104,PLAYERS_IDS,2,FALSE))</f>
        <v/>
      </c>
      <c r="N104" s="25">
        <f>IF(ISBLANK($E104)," ", COUNTIF($M$4:$M104,$M104))</f>
        <v/>
      </c>
      <c r="O104" s="25" t="n">
        <v>15</v>
      </c>
      <c r="P104" s="5">
        <f>IF(ISBLANK($F104),"",VLOOKUP($C104,PLAYERS_IDS,2,FALSE)*VLOOKUP($D104,PLAYERS_IDS,2,FALSE))</f>
        <v/>
      </c>
      <c r="Q104" s="5">
        <f>IF(ISBLANK($F104), "",VLOOKUP($F104,PLAYERS_IDS,2,FALSE)*VLOOKUP($G104,PLAYERS_IDS,2,FALSE))</f>
        <v/>
      </c>
      <c r="R104" s="5">
        <f>IFERROR((P104*100000)+Q104,"")</f>
        <v/>
      </c>
    </row>
    <row r="105" ht="20.25" customHeight="1" s="106">
      <c r="A105" s="14" t="n">
        <v>46285</v>
      </c>
      <c r="B105" s="15" t="n">
        <v>101</v>
      </c>
      <c r="C105" s="22" t="inlineStr">
        <is>
          <t>Sandip</t>
        </is>
      </c>
      <c r="D105" s="15" t="inlineStr">
        <is>
          <t>Atul</t>
        </is>
      </c>
      <c r="E105" s="23" t="n">
        <v>21</v>
      </c>
      <c r="F105" s="15" t="inlineStr">
        <is>
          <t>Aahil</t>
        </is>
      </c>
      <c r="G105" s="15" t="inlineStr">
        <is>
          <t>Rukhsar</t>
        </is>
      </c>
      <c r="H105" s="24" t="n">
        <v>17</v>
      </c>
      <c r="I105" s="15" t="inlineStr">
        <is>
          <t>Sandip</t>
        </is>
      </c>
      <c r="J105" s="15" t="inlineStr">
        <is>
          <t>Atul</t>
        </is>
      </c>
      <c r="K105" s="15" t="n">
        <v>4</v>
      </c>
      <c r="L105" s="15" t="n">
        <v>4</v>
      </c>
      <c r="M105" s="5">
        <f>IF(ISBLANK($E105),"",VLOOKUP($I105,PLAYERS_IDS,2,FALSE)*VLOOKUP($J105,PLAYERS_IDS,2,FALSE))</f>
        <v/>
      </c>
      <c r="N105" s="25">
        <f>IF(ISBLANK($E105)," ", COUNTIF($M$4:$M105,$M105))</f>
        <v/>
      </c>
      <c r="O105" s="25" t="n">
        <v>15</v>
      </c>
      <c r="P105" s="5">
        <f>IF(ISBLANK($F105),"",VLOOKUP($C105,PLAYERS_IDS,2,FALSE)*VLOOKUP($D105,PLAYERS_IDS,2,FALSE))</f>
        <v/>
      </c>
      <c r="Q105" s="5">
        <f>IF(ISBLANK($F105), "",VLOOKUP($F105,PLAYERS_IDS,2,FALSE)*VLOOKUP($G105,PLAYERS_IDS,2,FALSE))</f>
        <v/>
      </c>
      <c r="R105" s="5">
        <f>IFERROR((P105*100000)+Q105,"")</f>
        <v/>
      </c>
    </row>
    <row r="106" ht="20.25" customHeight="1" s="106">
      <c r="A106" s="14" t="n">
        <v>46285</v>
      </c>
      <c r="B106" s="15" t="n">
        <v>102</v>
      </c>
      <c r="C106" s="22" t="inlineStr">
        <is>
          <t>Shreya</t>
        </is>
      </c>
      <c r="D106" s="15" t="inlineStr">
        <is>
          <t>Faiyaz</t>
        </is>
      </c>
      <c r="E106" s="23" t="n">
        <v>21</v>
      </c>
      <c r="F106" s="15" t="inlineStr">
        <is>
          <t>Rafay</t>
        </is>
      </c>
      <c r="G106" s="15" t="inlineStr">
        <is>
          <t>Vishal</t>
        </is>
      </c>
      <c r="H106" s="24" t="n">
        <v>12</v>
      </c>
      <c r="I106" s="15" t="inlineStr">
        <is>
          <t>Shreya</t>
        </is>
      </c>
      <c r="J106" s="15" t="inlineStr">
        <is>
          <t>Faiyaz</t>
        </is>
      </c>
      <c r="K106" s="15" t="inlineStr">
        <is>
          <t>Parklands</t>
        </is>
      </c>
      <c r="L106" s="15" t="n">
        <v>9</v>
      </c>
      <c r="M106" s="5">
        <f>IF(ISBLANK($E106),"",VLOOKUP($I106,PLAYERS_IDS,2,FALSE)*VLOOKUP($J106,PLAYERS_IDS,2,FALSE))</f>
        <v/>
      </c>
      <c r="N106" s="25">
        <f>IF(ISBLANK($E106)," ", COUNTIF($M$4:$M106,$M106))</f>
        <v/>
      </c>
      <c r="O106" s="25" t="n">
        <v>15</v>
      </c>
      <c r="P106" s="5">
        <f>IF(ISBLANK($F106),"",VLOOKUP($C106,PLAYERS_IDS,2,FALSE)*VLOOKUP($D106,PLAYERS_IDS,2,FALSE))</f>
        <v/>
      </c>
      <c r="Q106" s="5">
        <f>IF(ISBLANK($F106), "",VLOOKUP($F106,PLAYERS_IDS,2,FALSE)*VLOOKUP($G106,PLAYERS_IDS,2,FALSE))</f>
        <v/>
      </c>
      <c r="R106" s="5">
        <f>IFERROR((P106*100000)+Q106,"")</f>
        <v/>
      </c>
    </row>
    <row r="107" ht="20.25" customHeight="1" s="106">
      <c r="A107" s="14" t="n">
        <v>46285</v>
      </c>
      <c r="B107" s="15" t="n">
        <v>103</v>
      </c>
      <c r="C107" s="22" t="inlineStr">
        <is>
          <t>Shreya</t>
        </is>
      </c>
      <c r="D107" s="15" t="inlineStr">
        <is>
          <t>Vishal</t>
        </is>
      </c>
      <c r="E107" s="23" t="n">
        <v>22</v>
      </c>
      <c r="F107" s="15" t="inlineStr">
        <is>
          <t>Faiyaz</t>
        </is>
      </c>
      <c r="G107" s="15" t="inlineStr">
        <is>
          <t>Rafay</t>
        </is>
      </c>
      <c r="H107" s="24" t="n">
        <v>20</v>
      </c>
      <c r="I107" s="15" t="inlineStr">
        <is>
          <t>Shreya</t>
        </is>
      </c>
      <c r="J107" s="15" t="inlineStr">
        <is>
          <t>Vishal</t>
        </is>
      </c>
      <c r="K107" s="15" t="inlineStr">
        <is>
          <t>Parklands</t>
        </is>
      </c>
      <c r="L107" s="15" t="n">
        <v>2</v>
      </c>
      <c r="M107" s="5">
        <f>IF(ISBLANK($E107),"",VLOOKUP($I107,PLAYERS_IDS,2,FALSE)*VLOOKUP($J107,PLAYERS_IDS,2,FALSE))</f>
        <v/>
      </c>
      <c r="N107" s="25">
        <f>IF(ISBLANK($E107)," ", COUNTIF($M$4:$M107,$M107))</f>
        <v/>
      </c>
      <c r="O107" s="25" t="n">
        <v>15</v>
      </c>
      <c r="P107" s="5">
        <f>IF(ISBLANK($F107),"",VLOOKUP($C107,PLAYERS_IDS,2,FALSE)*VLOOKUP($D107,PLAYERS_IDS,2,FALSE))</f>
        <v/>
      </c>
      <c r="Q107" s="5">
        <f>IF(ISBLANK($F107), "",VLOOKUP($F107,PLAYERS_IDS,2,FALSE)*VLOOKUP($G107,PLAYERS_IDS,2,FALSE))</f>
        <v/>
      </c>
      <c r="R107" s="5">
        <f>IFERROR((P107*100000)+Q107,"")</f>
        <v/>
      </c>
    </row>
    <row r="108" ht="20.25" customHeight="1" s="106">
      <c r="A108" s="14" t="n">
        <v>46285</v>
      </c>
      <c r="B108" s="15" t="n">
        <v>104</v>
      </c>
      <c r="C108" s="22" t="inlineStr">
        <is>
          <t>Rahul</t>
        </is>
      </c>
      <c r="D108" s="15" t="inlineStr">
        <is>
          <t>Shiva</t>
        </is>
      </c>
      <c r="E108" s="23" t="n">
        <v>21</v>
      </c>
      <c r="F108" s="15" t="inlineStr">
        <is>
          <t>Aahil</t>
        </is>
      </c>
      <c r="G108" s="15" t="inlineStr">
        <is>
          <t>Hasan</t>
        </is>
      </c>
      <c r="H108" s="24" t="n">
        <v>15</v>
      </c>
      <c r="I108" s="15" t="inlineStr">
        <is>
          <t>Rahul</t>
        </is>
      </c>
      <c r="J108" s="15" t="inlineStr">
        <is>
          <t>Shiva</t>
        </is>
      </c>
      <c r="K108" s="15" t="n">
        <v>2</v>
      </c>
      <c r="L108" s="15" t="n">
        <v>6</v>
      </c>
      <c r="M108" s="5">
        <f>IF(ISBLANK($E108),"",VLOOKUP($I108,PLAYERS_IDS,2,FALSE)*VLOOKUP($J108,PLAYERS_IDS,2,FALSE))</f>
        <v/>
      </c>
      <c r="N108" s="25">
        <f>IF(ISBLANK($E108)," ", COUNTIF($M$4:$M108,$M108))</f>
        <v/>
      </c>
      <c r="O108" s="25" t="n">
        <v>15</v>
      </c>
      <c r="P108" s="5">
        <f>IF(ISBLANK($F108),"",VLOOKUP($C108,PLAYERS_IDS,2,FALSE)*VLOOKUP($D108,PLAYERS_IDS,2,FALSE))</f>
        <v/>
      </c>
      <c r="Q108" s="5">
        <f>IF(ISBLANK($F108), "",VLOOKUP($F108,PLAYERS_IDS,2,FALSE)*VLOOKUP($G108,PLAYERS_IDS,2,FALSE))</f>
        <v/>
      </c>
      <c r="R108" s="5">
        <f>IFERROR((P108*100000)+Q108,"")</f>
        <v/>
      </c>
    </row>
    <row r="109" ht="20.25" customHeight="1" s="106">
      <c r="A109" s="14" t="n">
        <v>46285</v>
      </c>
      <c r="B109" s="15" t="n">
        <v>105</v>
      </c>
      <c r="C109" s="22" t="inlineStr">
        <is>
          <t>Tousif</t>
        </is>
      </c>
      <c r="D109" s="15" t="inlineStr">
        <is>
          <t>Shiva</t>
        </is>
      </c>
      <c r="E109" s="23" t="n">
        <v>21</v>
      </c>
      <c r="F109" s="15" t="inlineStr">
        <is>
          <t>Waqas</t>
        </is>
      </c>
      <c r="G109" s="15" t="inlineStr">
        <is>
          <t>Hasan</t>
        </is>
      </c>
      <c r="H109" s="24" t="n">
        <v>13</v>
      </c>
      <c r="I109" s="15" t="inlineStr">
        <is>
          <t>Tousif</t>
        </is>
      </c>
      <c r="J109" s="15" t="inlineStr">
        <is>
          <t>Shiva</t>
        </is>
      </c>
      <c r="K109" s="15" t="n">
        <v>3</v>
      </c>
      <c r="L109" s="15" t="n">
        <v>8</v>
      </c>
      <c r="M109" s="5">
        <f>IF(ISBLANK($E109),"",VLOOKUP($I109,PLAYERS_IDS,2,FALSE)*VLOOKUP($J109,PLAYERS_IDS,2,FALSE))</f>
        <v/>
      </c>
      <c r="N109" s="25">
        <f>IF(ISBLANK($E109)," ", COUNTIF($M$4:$M109,$M109))</f>
        <v/>
      </c>
      <c r="O109" s="25" t="n">
        <v>15</v>
      </c>
      <c r="P109" s="5">
        <f>IF(ISBLANK($F109),"",VLOOKUP($C109,PLAYERS_IDS,2,FALSE)*VLOOKUP($D109,PLAYERS_IDS,2,FALSE))</f>
        <v/>
      </c>
      <c r="Q109" s="5">
        <f>IF(ISBLANK($F109), "",VLOOKUP($F109,PLAYERS_IDS,2,FALSE)*VLOOKUP($G109,PLAYERS_IDS,2,FALSE))</f>
        <v/>
      </c>
      <c r="R109" s="5">
        <f>IFERROR((P109*100000)+Q109,"")</f>
        <v/>
      </c>
    </row>
    <row r="110" ht="20.25" customHeight="1" s="106">
      <c r="A110" s="14" t="n">
        <v>46285</v>
      </c>
      <c r="B110" s="15" t="n">
        <v>106</v>
      </c>
      <c r="C110" s="22" t="inlineStr">
        <is>
          <t>Rukhsar</t>
        </is>
      </c>
      <c r="D110" s="15" t="inlineStr">
        <is>
          <t>Hasan</t>
        </is>
      </c>
      <c r="E110" s="23" t="n">
        <v>21</v>
      </c>
      <c r="F110" s="15" t="inlineStr">
        <is>
          <t>Sandip</t>
        </is>
      </c>
      <c r="G110" s="15" t="inlineStr">
        <is>
          <t>Deepak</t>
        </is>
      </c>
      <c r="H110" s="24" t="n">
        <v>14</v>
      </c>
      <c r="I110" s="15" t="inlineStr">
        <is>
          <t>Rukhsar</t>
        </is>
      </c>
      <c r="J110" s="15" t="inlineStr">
        <is>
          <t>Hasan</t>
        </is>
      </c>
      <c r="K110" s="15" t="n">
        <v>4</v>
      </c>
      <c r="L110" s="15" t="n">
        <v>7</v>
      </c>
      <c r="M110" s="5">
        <f>IF(ISBLANK($E110),"",VLOOKUP($I110,PLAYERS_IDS,2,FALSE)*VLOOKUP($J110,PLAYERS_IDS,2,FALSE))</f>
        <v/>
      </c>
      <c r="N110" s="25">
        <f>IF(ISBLANK($E110)," ", COUNTIF($M$4:$M110,$M110))</f>
        <v/>
      </c>
      <c r="O110" s="25" t="n">
        <v>15</v>
      </c>
      <c r="P110" s="5">
        <f>IF(ISBLANK($F110),"",VLOOKUP($C110,PLAYERS_IDS,2,FALSE)*VLOOKUP($D110,PLAYERS_IDS,2,FALSE))</f>
        <v/>
      </c>
      <c r="Q110" s="5">
        <f>IF(ISBLANK($F110), "",VLOOKUP($F110,PLAYERS_IDS,2,FALSE)*VLOOKUP($G110,PLAYERS_IDS,2,FALSE))</f>
        <v/>
      </c>
      <c r="R110" s="5">
        <f>IFERROR((P110*100000)+Q110,"")</f>
        <v/>
      </c>
    </row>
    <row r="111" ht="20.25" customHeight="1" s="106">
      <c r="A111" s="14" t="n">
        <v>46285</v>
      </c>
      <c r="B111" s="15" t="n">
        <v>107</v>
      </c>
      <c r="C111" s="22" t="inlineStr">
        <is>
          <t>Rukhsar</t>
        </is>
      </c>
      <c r="D111" s="15" t="inlineStr">
        <is>
          <t>Nawaz</t>
        </is>
      </c>
      <c r="E111" s="23" t="n">
        <v>21</v>
      </c>
      <c r="F111" s="15" t="inlineStr">
        <is>
          <t>Waqas</t>
        </is>
      </c>
      <c r="G111" s="15" t="inlineStr">
        <is>
          <t>Sengole</t>
        </is>
      </c>
      <c r="H111" s="24" t="n">
        <v>15</v>
      </c>
      <c r="I111" s="15" t="inlineStr">
        <is>
          <t>Rukhsar</t>
        </is>
      </c>
      <c r="J111" s="15" t="inlineStr">
        <is>
          <t>Nawaz</t>
        </is>
      </c>
      <c r="K111" s="15" t="n">
        <v>1</v>
      </c>
      <c r="L111" s="15" t="n">
        <v>6</v>
      </c>
      <c r="M111" s="5">
        <f>IF(ISBLANK($E111),"",VLOOKUP($I111,PLAYERS_IDS,2,FALSE)*VLOOKUP($J111,PLAYERS_IDS,2,FALSE))</f>
        <v/>
      </c>
      <c r="N111" s="25">
        <f>IF(ISBLANK($E111)," ", COUNTIF($M$4:$M111,$M111))</f>
        <v/>
      </c>
      <c r="O111" s="25" t="n">
        <v>15</v>
      </c>
      <c r="P111" s="5">
        <f>IF(ISBLANK($F111),"",VLOOKUP($C111,PLAYERS_IDS,2,FALSE)*VLOOKUP($D111,PLAYERS_IDS,2,FALSE))</f>
        <v/>
      </c>
      <c r="Q111" s="5">
        <f>IF(ISBLANK($F111), "",VLOOKUP($F111,PLAYERS_IDS,2,FALSE)*VLOOKUP($G111,PLAYERS_IDS,2,FALSE))</f>
        <v/>
      </c>
      <c r="R111" s="5">
        <f>IFERROR((P111*100000)+Q111,"")</f>
        <v/>
      </c>
    </row>
    <row r="112" ht="20.25" customHeight="1" s="106">
      <c r="A112" s="14" t="n">
        <v>46285</v>
      </c>
      <c r="B112" s="15" t="n">
        <v>108</v>
      </c>
      <c r="C112" s="22" t="inlineStr">
        <is>
          <t>Shiva</t>
        </is>
      </c>
      <c r="D112" s="15" t="inlineStr">
        <is>
          <t>Purvaiz</t>
        </is>
      </c>
      <c r="E112" s="23" t="n">
        <v>21</v>
      </c>
      <c r="F112" s="15" t="inlineStr">
        <is>
          <t>Tousif</t>
        </is>
      </c>
      <c r="G112" s="15" t="inlineStr">
        <is>
          <t>Vasu</t>
        </is>
      </c>
      <c r="H112" s="24" t="n">
        <v>18</v>
      </c>
      <c r="I112" s="15" t="inlineStr">
        <is>
          <t>Shiva</t>
        </is>
      </c>
      <c r="J112" s="15" t="inlineStr">
        <is>
          <t>Purvaiz</t>
        </is>
      </c>
      <c r="K112" s="15" t="n">
        <v>3</v>
      </c>
      <c r="L112" s="15" t="n">
        <v>3</v>
      </c>
      <c r="M112" s="5">
        <f>IF(ISBLANK($E112),"",VLOOKUP($I112,PLAYERS_IDS,2,FALSE)*VLOOKUP($J112,PLAYERS_IDS,2,FALSE))</f>
        <v/>
      </c>
      <c r="N112" s="25">
        <f>IF(ISBLANK($E112)," ", COUNTIF($M$4:$M112,$M112))</f>
        <v/>
      </c>
      <c r="O112" s="25" t="n">
        <v>15</v>
      </c>
      <c r="P112" s="5">
        <f>IF(ISBLANK($F112),"",VLOOKUP($C112,PLAYERS_IDS,2,FALSE)*VLOOKUP($D112,PLAYERS_IDS,2,FALSE))</f>
        <v/>
      </c>
      <c r="Q112" s="5">
        <f>IF(ISBLANK($F112), "",VLOOKUP($F112,PLAYERS_IDS,2,FALSE)*VLOOKUP($G112,PLAYERS_IDS,2,FALSE))</f>
        <v/>
      </c>
      <c r="R112" s="5">
        <f>IFERROR((P112*100000)+Q112,"")</f>
        <v/>
      </c>
    </row>
    <row r="113" ht="20.25" customHeight="1" s="106">
      <c r="A113" s="14" t="n">
        <v>46285</v>
      </c>
      <c r="B113" s="15" t="n">
        <v>109</v>
      </c>
      <c r="C113" s="22" t="inlineStr">
        <is>
          <t>Mehtab</t>
        </is>
      </c>
      <c r="D113" s="15" t="inlineStr">
        <is>
          <t>Sengole</t>
        </is>
      </c>
      <c r="E113" s="23" t="n">
        <v>21</v>
      </c>
      <c r="F113" s="15" t="inlineStr">
        <is>
          <t>Mansoor</t>
        </is>
      </c>
      <c r="G113" s="15" t="inlineStr">
        <is>
          <t>Deepak</t>
        </is>
      </c>
      <c r="H113" s="24" t="n">
        <v>18</v>
      </c>
      <c r="I113" s="15" t="inlineStr">
        <is>
          <t>Mehtab</t>
        </is>
      </c>
      <c r="J113" s="15" t="inlineStr">
        <is>
          <t>Sengole</t>
        </is>
      </c>
      <c r="K113" s="15" t="n">
        <v>4</v>
      </c>
      <c r="L113" s="15" t="n">
        <v>3</v>
      </c>
      <c r="M113" s="5">
        <f>IF(ISBLANK($E113),"",VLOOKUP($I113,PLAYERS_IDS,2,FALSE)*VLOOKUP($J113,PLAYERS_IDS,2,FALSE))</f>
        <v/>
      </c>
      <c r="N113" s="25">
        <f>IF(ISBLANK($E113)," ", COUNTIF($M$4:$M113,$M113))</f>
        <v/>
      </c>
      <c r="O113" s="25" t="n">
        <v>15</v>
      </c>
      <c r="P113" s="5">
        <f>IF(ISBLANK($F113),"",VLOOKUP($C113,PLAYERS_IDS,2,FALSE)*VLOOKUP($D113,PLAYERS_IDS,2,FALSE))</f>
        <v/>
      </c>
      <c r="Q113" s="5">
        <f>IF(ISBLANK($F113), "",VLOOKUP($F113,PLAYERS_IDS,2,FALSE)*VLOOKUP($G113,PLAYERS_IDS,2,FALSE))</f>
        <v/>
      </c>
      <c r="R113" s="5">
        <f>IFERROR((P113*100000)+Q113,"")</f>
        <v/>
      </c>
    </row>
    <row r="114" ht="20.25" customHeight="1" s="106">
      <c r="A114" s="14" t="n">
        <v>46285</v>
      </c>
      <c r="B114" s="15" t="n">
        <v>110</v>
      </c>
      <c r="C114" s="22" t="inlineStr">
        <is>
          <t>Mehtab</t>
        </is>
      </c>
      <c r="D114" s="15" t="inlineStr">
        <is>
          <t>Purvaiz</t>
        </is>
      </c>
      <c r="E114" s="23" t="n">
        <v>21</v>
      </c>
      <c r="F114" s="15" t="inlineStr">
        <is>
          <t>Shiva</t>
        </is>
      </c>
      <c r="G114" s="15" t="inlineStr">
        <is>
          <t>Deepak</t>
        </is>
      </c>
      <c r="H114" s="24" t="n">
        <v>18</v>
      </c>
      <c r="I114" s="15" t="inlineStr">
        <is>
          <t>Mehtab</t>
        </is>
      </c>
      <c r="J114" s="15" t="inlineStr">
        <is>
          <t>Purvaiz</t>
        </is>
      </c>
      <c r="K114" s="15" t="n">
        <v>3</v>
      </c>
      <c r="L114" s="15" t="n">
        <v>3</v>
      </c>
      <c r="M114" s="5">
        <f>IF(ISBLANK($E114),"",VLOOKUP($I114,PLAYERS_IDS,2,FALSE)*VLOOKUP($J114,PLAYERS_IDS,2,FALSE))</f>
        <v/>
      </c>
      <c r="N114" s="25">
        <f>IF(ISBLANK($E114)," ", COUNTIF($M$4:$M114,$M114))</f>
        <v/>
      </c>
      <c r="O114" s="25" t="n">
        <v>15</v>
      </c>
      <c r="P114" s="5">
        <f>IF(ISBLANK($F114),"",VLOOKUP($C114,PLAYERS_IDS,2,FALSE)*VLOOKUP($D114,PLAYERS_IDS,2,FALSE))</f>
        <v/>
      </c>
      <c r="Q114" s="5">
        <f>IF(ISBLANK($F114), "",VLOOKUP($F114,PLAYERS_IDS,2,FALSE)*VLOOKUP($G114,PLAYERS_IDS,2,FALSE))</f>
        <v/>
      </c>
      <c r="R114" s="5">
        <f>IFERROR((P114*100000)+Q114,"")</f>
        <v/>
      </c>
    </row>
    <row r="115" ht="20.25" customHeight="1" s="106">
      <c r="A115" s="14" t="n">
        <v>46285</v>
      </c>
      <c r="B115" s="15" t="n">
        <v>111</v>
      </c>
      <c r="C115" s="22" t="inlineStr">
        <is>
          <t>Mehtab</t>
        </is>
      </c>
      <c r="D115" s="15" t="inlineStr">
        <is>
          <t>Vasu</t>
        </is>
      </c>
      <c r="E115" s="23" t="n">
        <v>21</v>
      </c>
      <c r="F115" s="15" t="inlineStr">
        <is>
          <t>Hasan</t>
        </is>
      </c>
      <c r="G115" s="15" t="inlineStr">
        <is>
          <t>Sengole</t>
        </is>
      </c>
      <c r="H115" s="24" t="n">
        <v>9</v>
      </c>
      <c r="I115" s="15" t="inlineStr">
        <is>
          <t>Mehtab</t>
        </is>
      </c>
      <c r="J115" s="15" t="inlineStr">
        <is>
          <t>Vasu</t>
        </is>
      </c>
      <c r="K115" s="15" t="n">
        <v>3</v>
      </c>
      <c r="L115" s="15" t="n">
        <v>12</v>
      </c>
      <c r="M115" s="5">
        <f>IF(ISBLANK($E115),"",VLOOKUP($I115,PLAYERS_IDS,2,FALSE)*VLOOKUP($J115,PLAYERS_IDS,2,FALSE))</f>
        <v/>
      </c>
      <c r="N115" s="25">
        <f>IF(ISBLANK($E115)," ", COUNTIF($M$4:$M115,$M115))</f>
        <v/>
      </c>
      <c r="O115" s="25" t="n">
        <v>15</v>
      </c>
      <c r="P115" s="5">
        <f>IF(ISBLANK($F115),"",VLOOKUP($C115,PLAYERS_IDS,2,FALSE)*VLOOKUP($D115,PLAYERS_IDS,2,FALSE))</f>
        <v/>
      </c>
      <c r="Q115" s="5">
        <f>IF(ISBLANK($F115), "",VLOOKUP($F115,PLAYERS_IDS,2,FALSE)*VLOOKUP($G115,PLAYERS_IDS,2,FALSE))</f>
        <v/>
      </c>
      <c r="R115" s="5">
        <f>IFERROR((P115*100000)+Q115,"")</f>
        <v/>
      </c>
    </row>
    <row r="116" ht="20.25" customHeight="1" s="106">
      <c r="A116" s="14" t="n">
        <v>46292</v>
      </c>
      <c r="B116" s="15" t="n">
        <v>112</v>
      </c>
      <c r="C116" s="22" t="inlineStr">
        <is>
          <t>Aahil</t>
        </is>
      </c>
      <c r="D116" s="15" t="inlineStr">
        <is>
          <t>Tousif</t>
        </is>
      </c>
      <c r="E116" s="23" t="n">
        <v>21</v>
      </c>
      <c r="F116" s="15" t="inlineStr">
        <is>
          <t>Thomas</t>
        </is>
      </c>
      <c r="G116" s="15" t="inlineStr">
        <is>
          <t>Nawaz</t>
        </is>
      </c>
      <c r="H116" s="24" t="n">
        <v>19</v>
      </c>
      <c r="I116" s="15" t="inlineStr">
        <is>
          <t>Aahil</t>
        </is>
      </c>
      <c r="J116" s="15" t="inlineStr">
        <is>
          <t>Tousif</t>
        </is>
      </c>
      <c r="K116" s="15" t="n">
        <v>2</v>
      </c>
      <c r="L116" s="15" t="n">
        <v>2</v>
      </c>
      <c r="M116" s="5">
        <f>IF(ISBLANK($E116),"",VLOOKUP($I116,PLAYERS_IDS,2,FALSE)*VLOOKUP($J116,PLAYERS_IDS,2,FALSE))</f>
        <v/>
      </c>
      <c r="N116" s="25">
        <f>IF(ISBLANK($E116)," ", COUNTIF($M$4:$M116,$M116))</f>
        <v/>
      </c>
      <c r="O116" s="25" t="n">
        <v>15</v>
      </c>
      <c r="P116" s="5">
        <f>IF(ISBLANK($F116),"",VLOOKUP($C116,PLAYERS_IDS,2,FALSE)*VLOOKUP($D116,PLAYERS_IDS,2,FALSE))</f>
        <v/>
      </c>
      <c r="Q116" s="5">
        <f>IF(ISBLANK($F116), "",VLOOKUP($F116,PLAYERS_IDS,2,FALSE)*VLOOKUP($G116,PLAYERS_IDS,2,FALSE))</f>
        <v/>
      </c>
      <c r="R116" s="5">
        <f>IFERROR((P116*100000)+Q116,"")</f>
        <v/>
      </c>
    </row>
    <row r="117" ht="20.25" customHeight="1" s="106">
      <c r="A117" s="14" t="n">
        <v>46292</v>
      </c>
      <c r="B117" s="15" t="n">
        <v>113</v>
      </c>
      <c r="C117" s="22" t="inlineStr">
        <is>
          <t>Waqas</t>
        </is>
      </c>
      <c r="D117" s="15" t="inlineStr">
        <is>
          <t>Zaheer</t>
        </is>
      </c>
      <c r="E117" s="23" t="n">
        <v>21</v>
      </c>
      <c r="F117" s="15" t="inlineStr">
        <is>
          <t>Asim</t>
        </is>
      </c>
      <c r="G117" s="15" t="inlineStr">
        <is>
          <t>Suraj</t>
        </is>
      </c>
      <c r="H117" s="24" t="n">
        <v>9</v>
      </c>
      <c r="I117" s="15" t="inlineStr">
        <is>
          <t>Waqas</t>
        </is>
      </c>
      <c r="J117" s="15" t="inlineStr">
        <is>
          <t>Zaheer</t>
        </is>
      </c>
      <c r="K117" s="15" t="n">
        <v>4</v>
      </c>
      <c r="L117" s="15" t="n">
        <v>12</v>
      </c>
      <c r="M117" s="5">
        <f>IF(ISBLANK($E117),"",VLOOKUP($I117,PLAYERS_IDS,2,FALSE)*VLOOKUP($J117,PLAYERS_IDS,2,FALSE))</f>
        <v/>
      </c>
      <c r="N117" s="25">
        <f>IF(ISBLANK($E117)," ", COUNTIF($M$4:$M117,$M117))</f>
        <v/>
      </c>
      <c r="O117" s="25" t="n">
        <v>15</v>
      </c>
      <c r="P117" s="5">
        <f>IF(ISBLANK($F117),"",VLOOKUP($C117,PLAYERS_IDS,2,FALSE)*VLOOKUP($D117,PLAYERS_IDS,2,FALSE))</f>
        <v/>
      </c>
      <c r="Q117" s="5">
        <f>IF(ISBLANK($F117), "",VLOOKUP($F117,PLAYERS_IDS,2,FALSE)*VLOOKUP($G117,PLAYERS_IDS,2,FALSE))</f>
        <v/>
      </c>
      <c r="R117" s="5">
        <f>IFERROR((P117*100000)+Q117,"")</f>
        <v/>
      </c>
    </row>
    <row r="118" ht="20.25" customHeight="1" s="106">
      <c r="A118" s="14" t="n">
        <v>46292</v>
      </c>
      <c r="B118" s="15" t="n">
        <v>114</v>
      </c>
      <c r="C118" s="22" t="inlineStr">
        <is>
          <t>Aahil</t>
        </is>
      </c>
      <c r="D118" s="15" t="inlineStr">
        <is>
          <t>Faiyaz</t>
        </is>
      </c>
      <c r="E118" s="23" t="n">
        <v>20</v>
      </c>
      <c r="F118" s="15" t="inlineStr">
        <is>
          <t>Rukhsar</t>
        </is>
      </c>
      <c r="G118" s="15" t="inlineStr">
        <is>
          <t>Tousif</t>
        </is>
      </c>
      <c r="H118" s="24" t="n">
        <v>13</v>
      </c>
      <c r="I118" s="15" t="inlineStr">
        <is>
          <t>Aahil</t>
        </is>
      </c>
      <c r="J118" s="15" t="inlineStr">
        <is>
          <t>Faiyaz</t>
        </is>
      </c>
      <c r="K118" s="15" t="n">
        <v>1</v>
      </c>
      <c r="L118" s="15" t="n">
        <v>7</v>
      </c>
      <c r="M118" s="5">
        <f>IF(ISBLANK($E118),"",VLOOKUP($I118,PLAYERS_IDS,2,FALSE)*VLOOKUP($J118,PLAYERS_IDS,2,FALSE))</f>
        <v/>
      </c>
      <c r="N118" s="25">
        <f>IF(ISBLANK($E118)," ", COUNTIF($M$4:$M118,$M118))</f>
        <v/>
      </c>
      <c r="O118" s="25" t="n">
        <v>15</v>
      </c>
      <c r="P118" s="5">
        <f>IF(ISBLANK($F118),"",VLOOKUP($C118,PLAYERS_IDS,2,FALSE)*VLOOKUP($D118,PLAYERS_IDS,2,FALSE))</f>
        <v/>
      </c>
      <c r="Q118" s="5">
        <f>IF(ISBLANK($F118), "",VLOOKUP($F118,PLAYERS_IDS,2,FALSE)*VLOOKUP($G118,PLAYERS_IDS,2,FALSE))</f>
        <v/>
      </c>
      <c r="R118" s="5">
        <f>IFERROR((P118*100000)+Q118,"")</f>
        <v/>
      </c>
    </row>
    <row r="119" ht="20.25" customHeight="1" s="106">
      <c r="A119" s="14" t="n">
        <v>46292</v>
      </c>
      <c r="B119" s="15" t="n">
        <v>115</v>
      </c>
      <c r="C119" s="22" t="inlineStr">
        <is>
          <t>Aahil</t>
        </is>
      </c>
      <c r="D119" s="15" t="inlineStr">
        <is>
          <t>Rahul</t>
        </is>
      </c>
      <c r="E119" s="23" t="n">
        <v>21</v>
      </c>
      <c r="F119" s="15" t="inlineStr">
        <is>
          <t>Faiyaz</t>
        </is>
      </c>
      <c r="G119" s="15" t="inlineStr">
        <is>
          <t>Ken</t>
        </is>
      </c>
      <c r="H119" s="24" t="n">
        <v>16</v>
      </c>
      <c r="I119" s="15" t="inlineStr">
        <is>
          <t>Aahil</t>
        </is>
      </c>
      <c r="J119" s="15" t="inlineStr">
        <is>
          <t>Rahul</t>
        </is>
      </c>
      <c r="K119" s="15" t="n">
        <v>1</v>
      </c>
      <c r="L119" s="15" t="n">
        <v>5</v>
      </c>
      <c r="M119" s="5">
        <f>IF(ISBLANK($E119),"",VLOOKUP($I119,PLAYERS_IDS,2,FALSE)*VLOOKUP($J119,PLAYERS_IDS,2,FALSE))</f>
        <v/>
      </c>
      <c r="N119" s="25">
        <f>IF(ISBLANK($E119)," ", COUNTIF($M$4:$M119,$M119))</f>
        <v/>
      </c>
      <c r="O119" s="25" t="n">
        <v>15</v>
      </c>
      <c r="P119" s="5">
        <f>IF(ISBLANK($F119),"",VLOOKUP($C119,PLAYERS_IDS,2,FALSE)*VLOOKUP($D119,PLAYERS_IDS,2,FALSE))</f>
        <v/>
      </c>
      <c r="Q119" s="5">
        <f>IF(ISBLANK($F119), "",VLOOKUP($F119,PLAYERS_IDS,2,FALSE)*VLOOKUP($G119,PLAYERS_IDS,2,FALSE))</f>
        <v/>
      </c>
      <c r="R119" s="5">
        <f>IFERROR((P119*100000)+Q119,"")</f>
        <v/>
      </c>
    </row>
    <row r="120" ht="20.25" customHeight="1" s="106">
      <c r="A120" s="14" t="n">
        <v>46292</v>
      </c>
      <c r="B120" s="15" t="n">
        <v>116</v>
      </c>
      <c r="C120" s="22" t="inlineStr">
        <is>
          <t>Aahil</t>
        </is>
      </c>
      <c r="D120" s="15" t="inlineStr">
        <is>
          <t>Thomas</t>
        </is>
      </c>
      <c r="E120" s="23" t="n">
        <v>21</v>
      </c>
      <c r="F120" s="15" t="inlineStr">
        <is>
          <t>Rahul</t>
        </is>
      </c>
      <c r="G120" s="15" t="inlineStr">
        <is>
          <t>Tousif</t>
        </is>
      </c>
      <c r="H120" s="24" t="n">
        <v>7</v>
      </c>
      <c r="I120" s="15" t="inlineStr">
        <is>
          <t>Aahil</t>
        </is>
      </c>
      <c r="J120" s="15" t="inlineStr">
        <is>
          <t>Thomas</t>
        </is>
      </c>
      <c r="K120" s="15" t="n">
        <v>1</v>
      </c>
      <c r="L120" s="15" t="n">
        <v>14</v>
      </c>
      <c r="M120" s="5">
        <f>IF(ISBLANK($E120),"",VLOOKUP($I120,PLAYERS_IDS,2,FALSE)*VLOOKUP($J120,PLAYERS_IDS,2,FALSE))</f>
        <v/>
      </c>
      <c r="N120" s="25">
        <f>IF(ISBLANK($E120)," ", COUNTIF($M$4:$M120,$M120))</f>
        <v/>
      </c>
      <c r="O120" s="25" t="n">
        <v>15</v>
      </c>
      <c r="P120" s="5">
        <f>IF(ISBLANK($F120),"",VLOOKUP($C120,PLAYERS_IDS,2,FALSE)*VLOOKUP($D120,PLAYERS_IDS,2,FALSE))</f>
        <v/>
      </c>
      <c r="Q120" s="5">
        <f>IF(ISBLANK($F120), "",VLOOKUP($F120,PLAYERS_IDS,2,FALSE)*VLOOKUP($G120,PLAYERS_IDS,2,FALSE))</f>
        <v/>
      </c>
      <c r="R120" s="5">
        <f>IFERROR((P120*100000)+Q120,"")</f>
        <v/>
      </c>
    </row>
    <row r="121" ht="20.25" customHeight="1" s="106">
      <c r="A121" s="14" t="n">
        <v>46292</v>
      </c>
      <c r="B121" s="15" t="n">
        <v>117</v>
      </c>
      <c r="C121" s="22" t="inlineStr">
        <is>
          <t>Zaheer</t>
        </is>
      </c>
      <c r="D121" s="15" t="inlineStr">
        <is>
          <t>Faiyaz</t>
        </is>
      </c>
      <c r="E121" s="23" t="n">
        <v>19</v>
      </c>
      <c r="F121" s="15" t="inlineStr">
        <is>
          <t>Deepesh</t>
        </is>
      </c>
      <c r="G121" s="15" t="inlineStr">
        <is>
          <t>Ken</t>
        </is>
      </c>
      <c r="H121" s="24" t="n">
        <v>18</v>
      </c>
      <c r="I121" s="15" t="inlineStr">
        <is>
          <t>Zaheer</t>
        </is>
      </c>
      <c r="J121" s="15" t="inlineStr">
        <is>
          <t>Faiyaz</t>
        </is>
      </c>
      <c r="K121" s="15" t="n">
        <v>2</v>
      </c>
      <c r="L121" s="15" t="n">
        <v>1</v>
      </c>
      <c r="M121" s="5">
        <f>IF(ISBLANK($E121),"",VLOOKUP($I121,PLAYERS_IDS,2,FALSE)*VLOOKUP($J121,PLAYERS_IDS,2,FALSE))</f>
        <v/>
      </c>
      <c r="N121" s="25">
        <f>IF(ISBLANK($E121)," ", COUNTIF($M$4:$M121,$M121))</f>
        <v/>
      </c>
      <c r="O121" s="25" t="n">
        <v>15</v>
      </c>
      <c r="P121" s="5">
        <f>IF(ISBLANK($F121),"",VLOOKUP($C121,PLAYERS_IDS,2,FALSE)*VLOOKUP($D121,PLAYERS_IDS,2,FALSE))</f>
        <v/>
      </c>
      <c r="Q121" s="5">
        <f>IF(ISBLANK($F121), "",VLOOKUP($F121,PLAYERS_IDS,2,FALSE)*VLOOKUP($G121,PLAYERS_IDS,2,FALSE))</f>
        <v/>
      </c>
      <c r="R121" s="5">
        <f>IFERROR((P121*100000)+Q121,"")</f>
        <v/>
      </c>
    </row>
    <row r="122" ht="20.25" customHeight="1" s="106">
      <c r="A122" s="14" t="n">
        <v>46292</v>
      </c>
      <c r="B122" s="15" t="n">
        <v>118</v>
      </c>
      <c r="C122" s="22" t="inlineStr">
        <is>
          <t>Waqas</t>
        </is>
      </c>
      <c r="D122" s="15" t="inlineStr">
        <is>
          <t>Mehtab</t>
        </is>
      </c>
      <c r="E122" s="23" t="n">
        <v>21</v>
      </c>
      <c r="F122" s="15" t="inlineStr">
        <is>
          <t>Shoaib</t>
        </is>
      </c>
      <c r="G122" s="15" t="inlineStr">
        <is>
          <t>Sengole</t>
        </is>
      </c>
      <c r="H122" s="24" t="n">
        <v>13</v>
      </c>
      <c r="I122" s="15" t="inlineStr">
        <is>
          <t>Waqas</t>
        </is>
      </c>
      <c r="J122" s="15" t="inlineStr">
        <is>
          <t>Mehtab</t>
        </is>
      </c>
      <c r="K122" s="15" t="n">
        <v>1</v>
      </c>
      <c r="L122" s="15" t="n">
        <v>8</v>
      </c>
      <c r="M122" s="5">
        <f>IF(ISBLANK($E122),"",VLOOKUP($I122,PLAYERS_IDS,2,FALSE)*VLOOKUP($J122,PLAYERS_IDS,2,FALSE))</f>
        <v/>
      </c>
      <c r="N122" s="25">
        <f>IF(ISBLANK($E122)," ", COUNTIF($M$4:$M122,$M122))</f>
        <v/>
      </c>
      <c r="O122" s="25" t="n">
        <v>15</v>
      </c>
      <c r="P122" s="5">
        <f>IF(ISBLANK($F122),"",VLOOKUP($C122,PLAYERS_IDS,2,FALSE)*VLOOKUP($D122,PLAYERS_IDS,2,FALSE))</f>
        <v/>
      </c>
      <c r="Q122" s="5">
        <f>IF(ISBLANK($F122), "",VLOOKUP($F122,PLAYERS_IDS,2,FALSE)*VLOOKUP($G122,PLAYERS_IDS,2,FALSE))</f>
        <v/>
      </c>
      <c r="R122" s="5">
        <f>IFERROR((P122*100000)+Q122,"")</f>
        <v/>
      </c>
    </row>
    <row r="123" ht="20.25" customHeight="1" s="106">
      <c r="A123" s="14" t="n">
        <v>46292</v>
      </c>
      <c r="B123" s="15" t="n">
        <v>119</v>
      </c>
      <c r="C123" s="22" t="inlineStr">
        <is>
          <t>Waqas</t>
        </is>
      </c>
      <c r="D123" s="15" t="inlineStr">
        <is>
          <t>Ken</t>
        </is>
      </c>
      <c r="E123" s="3" t="n">
        <v>21</v>
      </c>
      <c r="F123" s="15" t="inlineStr">
        <is>
          <t>Asim</t>
        </is>
      </c>
      <c r="G123" s="15" t="inlineStr">
        <is>
          <t>Mehtab</t>
        </is>
      </c>
      <c r="H123" s="24" t="n">
        <v>11</v>
      </c>
      <c r="I123" s="15" t="inlineStr">
        <is>
          <t>Waqas</t>
        </is>
      </c>
      <c r="J123" s="15" t="inlineStr">
        <is>
          <t>Ken</t>
        </is>
      </c>
      <c r="K123" s="15" t="n">
        <v>1</v>
      </c>
      <c r="L123" s="15" t="n">
        <v>10</v>
      </c>
      <c r="M123" s="5">
        <f>IF(ISBLANK($E123),"",VLOOKUP($I123,PLAYERS_IDS,2,FALSE)*VLOOKUP($J123,PLAYERS_IDS,2,FALSE))</f>
        <v/>
      </c>
      <c r="N123" s="25">
        <f>IF(ISBLANK($E123)," ", COUNTIF($M$4:$M123,$M123))</f>
        <v/>
      </c>
      <c r="O123" s="25" t="n">
        <v>15</v>
      </c>
      <c r="P123" s="5">
        <f>IF(ISBLANK($F123),"",VLOOKUP($C123,PLAYERS_IDS,2,FALSE)*VLOOKUP($D123,PLAYERS_IDS,2,FALSE))</f>
        <v/>
      </c>
      <c r="Q123" s="5">
        <f>IF(ISBLANK($F123), "",VLOOKUP($F123,PLAYERS_IDS,2,FALSE)*VLOOKUP($G123,PLAYERS_IDS,2,FALSE))</f>
        <v/>
      </c>
      <c r="R123" s="5">
        <f>IFERROR((P123*100000)+Q123,"")</f>
        <v/>
      </c>
    </row>
    <row r="124" ht="20.25" customHeight="1" s="106">
      <c r="A124" s="14" t="n">
        <v>46292</v>
      </c>
      <c r="B124" s="15" t="n">
        <v>120</v>
      </c>
      <c r="C124" s="22" t="inlineStr">
        <is>
          <t>Rukhsar</t>
        </is>
      </c>
      <c r="D124" s="15" t="inlineStr">
        <is>
          <t>Aahil</t>
        </is>
      </c>
      <c r="E124" s="3" t="n">
        <v>21</v>
      </c>
      <c r="F124" s="15" t="inlineStr">
        <is>
          <t>Suraj</t>
        </is>
      </c>
      <c r="G124" s="15" t="inlineStr">
        <is>
          <t>Faiyaz</t>
        </is>
      </c>
      <c r="H124" s="24" t="n">
        <v>14</v>
      </c>
      <c r="I124" s="15" t="inlineStr">
        <is>
          <t>Rukhsar</t>
        </is>
      </c>
      <c r="J124" s="15" t="inlineStr">
        <is>
          <t>Aahil</t>
        </is>
      </c>
      <c r="K124" s="15" t="n">
        <v>3</v>
      </c>
      <c r="L124" s="15" t="n">
        <v>7</v>
      </c>
      <c r="M124" s="5">
        <f>IF(ISBLANK($E124),"",VLOOKUP($I124,PLAYERS_IDS,2,FALSE)*VLOOKUP($J124,PLAYERS_IDS,2,FALSE))</f>
        <v/>
      </c>
      <c r="N124" s="25">
        <f>IF(ISBLANK($E124)," ", COUNTIF($M$4:$M124,$M124))</f>
        <v/>
      </c>
      <c r="O124" s="25" t="n">
        <v>15</v>
      </c>
      <c r="P124" s="5">
        <f>IF(ISBLANK($F124),"",VLOOKUP($C124,PLAYERS_IDS,2,FALSE)*VLOOKUP($D124,PLAYERS_IDS,2,FALSE))</f>
        <v/>
      </c>
      <c r="Q124" s="5">
        <f>IF(ISBLANK($F124), "",VLOOKUP($F124,PLAYERS_IDS,2,FALSE)*VLOOKUP($G124,PLAYERS_IDS,2,FALSE))</f>
        <v/>
      </c>
      <c r="R124" s="5">
        <f>IFERROR((P124*100000)+Q124,"")</f>
        <v/>
      </c>
    </row>
    <row r="125" ht="20.25" customHeight="1" s="106">
      <c r="A125" s="14" t="n">
        <v>46292</v>
      </c>
      <c r="B125" s="15" t="n">
        <v>121</v>
      </c>
      <c r="C125" s="22" t="inlineStr">
        <is>
          <t>Deepesh</t>
        </is>
      </c>
      <c r="D125" s="15" t="inlineStr">
        <is>
          <t>Santosh</t>
        </is>
      </c>
      <c r="E125" s="3" t="n">
        <v>18</v>
      </c>
      <c r="F125" s="15" t="inlineStr">
        <is>
          <t>Zaheer</t>
        </is>
      </c>
      <c r="G125" s="15" t="inlineStr">
        <is>
          <t>Suraj</t>
        </is>
      </c>
      <c r="H125" s="24" t="n">
        <v>14</v>
      </c>
      <c r="I125" s="15" t="inlineStr">
        <is>
          <t>Deepesh</t>
        </is>
      </c>
      <c r="J125" s="15" t="inlineStr">
        <is>
          <t>Santosh</t>
        </is>
      </c>
      <c r="K125" s="15" t="n">
        <v>3</v>
      </c>
      <c r="L125" s="15" t="n">
        <v>4</v>
      </c>
      <c r="M125" s="5">
        <f>IF(ISBLANK($E125),"",VLOOKUP($I125,PLAYERS_IDS,2,FALSE)*VLOOKUP($J125,PLAYERS_IDS,2,FALSE))</f>
        <v/>
      </c>
      <c r="N125" s="25">
        <f>IF(ISBLANK($E125)," ", COUNTIF($M$4:$M125,$M125))</f>
        <v/>
      </c>
      <c r="O125" s="25" t="n">
        <v>15</v>
      </c>
      <c r="P125" s="5">
        <f>IF(ISBLANK($F125),"",VLOOKUP($C125,PLAYERS_IDS,2,FALSE)*VLOOKUP($D125,PLAYERS_IDS,2,FALSE))</f>
        <v/>
      </c>
      <c r="Q125" s="5">
        <f>IF(ISBLANK($F125), "",VLOOKUP($F125,PLAYERS_IDS,2,FALSE)*VLOOKUP($G125,PLAYERS_IDS,2,FALSE))</f>
        <v/>
      </c>
      <c r="R125" s="5">
        <f>IFERROR((P125*100000)+Q125,"")</f>
        <v/>
      </c>
    </row>
    <row r="126" ht="20.25" customHeight="1" s="106">
      <c r="A126" s="14" t="n">
        <v>46292</v>
      </c>
      <c r="B126" s="15" t="n">
        <v>122</v>
      </c>
      <c r="C126" s="22" t="inlineStr">
        <is>
          <t>Santosh</t>
        </is>
      </c>
      <c r="D126" s="15" t="inlineStr">
        <is>
          <t>Rahul</t>
        </is>
      </c>
      <c r="E126" s="3" t="n">
        <v>21</v>
      </c>
      <c r="F126" s="15" t="inlineStr">
        <is>
          <t>Sandip</t>
        </is>
      </c>
      <c r="G126" s="15" t="inlineStr">
        <is>
          <t>Deepesh</t>
        </is>
      </c>
      <c r="H126" s="24" t="n">
        <v>15</v>
      </c>
      <c r="I126" s="15" t="inlineStr">
        <is>
          <t>Santosh</t>
        </is>
      </c>
      <c r="J126" s="15" t="inlineStr">
        <is>
          <t>Rahul</t>
        </is>
      </c>
      <c r="K126" s="15" t="n">
        <v>2</v>
      </c>
      <c r="L126" s="15" t="n">
        <v>6</v>
      </c>
      <c r="M126" s="5">
        <f>IF(ISBLANK($E126),"",VLOOKUP($I126,PLAYERS_IDS,2,FALSE)*VLOOKUP($J126,PLAYERS_IDS,2,FALSE))</f>
        <v/>
      </c>
      <c r="N126" s="25">
        <f>IF(ISBLANK($E126)," ", COUNTIF($M$4:$M126,$M126))</f>
        <v/>
      </c>
      <c r="O126" s="25" t="n">
        <v>15</v>
      </c>
      <c r="P126" s="5">
        <f>IF(ISBLANK($F126),"",VLOOKUP($C126,PLAYERS_IDS,2,FALSE)*VLOOKUP($D126,PLAYERS_IDS,2,FALSE))</f>
        <v/>
      </c>
      <c r="Q126" s="5">
        <f>IF(ISBLANK($F126), "",VLOOKUP($F126,PLAYERS_IDS,2,FALSE)*VLOOKUP($G126,PLAYERS_IDS,2,FALSE))</f>
        <v/>
      </c>
      <c r="R126" s="5">
        <f>IFERROR((P126*100000)+Q126,"")</f>
        <v/>
      </c>
    </row>
    <row r="127" ht="20.25" customHeight="1" s="106">
      <c r="A127" s="14" t="n">
        <v>46292</v>
      </c>
      <c r="B127" s="15" t="n">
        <v>123</v>
      </c>
      <c r="C127" s="22" t="inlineStr">
        <is>
          <t>Deepesh</t>
        </is>
      </c>
      <c r="D127" s="15" t="inlineStr">
        <is>
          <t>Zaheer</t>
        </is>
      </c>
      <c r="E127" s="3" t="n">
        <v>21</v>
      </c>
      <c r="F127" s="15" t="inlineStr">
        <is>
          <t>Sandip</t>
        </is>
      </c>
      <c r="G127" s="15" t="inlineStr">
        <is>
          <t>Waqas</t>
        </is>
      </c>
      <c r="H127" s="24" t="n">
        <v>18</v>
      </c>
      <c r="I127" s="15" t="inlineStr">
        <is>
          <t>Deepesh</t>
        </is>
      </c>
      <c r="J127" s="15" t="inlineStr">
        <is>
          <t>Zaheer</t>
        </is>
      </c>
      <c r="K127" s="15" t="n">
        <v>3</v>
      </c>
      <c r="L127" s="15" t="n">
        <v>3</v>
      </c>
      <c r="M127" s="5">
        <f>IF(ISBLANK($E127),"",VLOOKUP($I127,PLAYERS_IDS,2,FALSE)*VLOOKUP($J127,PLAYERS_IDS,2,FALSE))</f>
        <v/>
      </c>
      <c r="N127" s="25">
        <f>IF(ISBLANK($E127)," ", COUNTIF($M$4:$M127,$M127))</f>
        <v/>
      </c>
      <c r="O127" s="25" t="n">
        <v>15</v>
      </c>
      <c r="P127" s="5">
        <f>IF(ISBLANK($F127),"",VLOOKUP($C127,PLAYERS_IDS,2,FALSE)*VLOOKUP($D127,PLAYERS_IDS,2,FALSE))</f>
        <v/>
      </c>
      <c r="Q127" s="5">
        <f>IF(ISBLANK($F127), "",VLOOKUP($F127,PLAYERS_IDS,2,FALSE)*VLOOKUP($G127,PLAYERS_IDS,2,FALSE))</f>
        <v/>
      </c>
      <c r="R127" s="5">
        <f>IFERROR((P127*100000)+Q127,"")</f>
        <v/>
      </c>
    </row>
    <row r="128" ht="20.25" customHeight="1" s="106">
      <c r="A128" s="14" t="n">
        <v>46292</v>
      </c>
      <c r="B128" s="15" t="n">
        <v>124</v>
      </c>
      <c r="C128" s="22" t="inlineStr">
        <is>
          <t>Santosh</t>
        </is>
      </c>
      <c r="D128" s="15" t="inlineStr">
        <is>
          <t>Ken</t>
        </is>
      </c>
      <c r="E128" s="3" t="n">
        <v>21</v>
      </c>
      <c r="F128" s="15" t="inlineStr">
        <is>
          <t>Deepesh</t>
        </is>
      </c>
      <c r="G128" s="15" t="inlineStr">
        <is>
          <t>Asim</t>
        </is>
      </c>
      <c r="H128" s="24" t="n">
        <v>15</v>
      </c>
      <c r="I128" s="15" t="inlineStr">
        <is>
          <t>Santosh</t>
        </is>
      </c>
      <c r="J128" s="15" t="inlineStr">
        <is>
          <t>Ken</t>
        </is>
      </c>
      <c r="K128" s="15" t="n">
        <v>3</v>
      </c>
      <c r="L128" s="15" t="n">
        <v>6</v>
      </c>
      <c r="M128" s="5">
        <f>IF(ISBLANK($E128),"",VLOOKUP($I128,PLAYERS_IDS,2,FALSE)*VLOOKUP($J128,PLAYERS_IDS,2,FALSE))</f>
        <v/>
      </c>
      <c r="N128" s="25">
        <f>IF(ISBLANK($E128)," ", COUNTIF($M$4:$M128,$M128))</f>
        <v/>
      </c>
      <c r="O128" s="25" t="n">
        <v>15</v>
      </c>
      <c r="P128" s="5">
        <f>IF(ISBLANK($F128),"",VLOOKUP($C128,PLAYERS_IDS,2,FALSE)*VLOOKUP($D128,PLAYERS_IDS,2,FALSE))</f>
        <v/>
      </c>
      <c r="Q128" s="5">
        <f>IF(ISBLANK($F128), "",VLOOKUP($F128,PLAYERS_IDS,2,FALSE)*VLOOKUP($G128,PLAYERS_IDS,2,FALSE))</f>
        <v/>
      </c>
      <c r="R128" s="5">
        <f>IFERROR((P128*100000)+Q128,"")</f>
        <v/>
      </c>
    </row>
    <row r="129" ht="20.25" customHeight="1" s="106">
      <c r="A129" s="14" t="n">
        <v>46292</v>
      </c>
      <c r="B129" s="15" t="n">
        <v>125</v>
      </c>
      <c r="C129" s="22" t="inlineStr">
        <is>
          <t>Deepesh</t>
        </is>
      </c>
      <c r="D129" s="15" t="inlineStr">
        <is>
          <t>Thomas</t>
        </is>
      </c>
      <c r="E129" s="3" t="n">
        <v>23</v>
      </c>
      <c r="F129" s="15" t="inlineStr">
        <is>
          <t>Santosh</t>
        </is>
      </c>
      <c r="G129" s="15" t="inlineStr">
        <is>
          <t>Zaheer</t>
        </is>
      </c>
      <c r="H129" s="24" t="n">
        <v>22</v>
      </c>
      <c r="I129" s="15" t="inlineStr">
        <is>
          <t>Deepesh</t>
        </is>
      </c>
      <c r="J129" s="15" t="inlineStr">
        <is>
          <t>Thomas</t>
        </is>
      </c>
      <c r="K129" s="15" t="n">
        <v>4</v>
      </c>
      <c r="L129" s="15" t="n">
        <v>1</v>
      </c>
      <c r="M129" s="5">
        <f>IF(ISBLANK($E129),"",VLOOKUP($I129,PLAYERS_IDS,2,FALSE)*VLOOKUP($J129,PLAYERS_IDS,2,FALSE))</f>
        <v/>
      </c>
      <c r="N129" s="25">
        <f>IF(ISBLANK($E129)," ", COUNTIF($M$4:$M129,$M129))</f>
        <v/>
      </c>
      <c r="O129" s="25" t="n">
        <v>15</v>
      </c>
      <c r="P129" s="5">
        <f>IF(ISBLANK($F129),"",VLOOKUP($C129,PLAYERS_IDS,2,FALSE)*VLOOKUP($D129,PLAYERS_IDS,2,FALSE))</f>
        <v/>
      </c>
      <c r="Q129" s="5">
        <f>IF(ISBLANK($F129), "",VLOOKUP($F129,PLAYERS_IDS,2,FALSE)*VLOOKUP($G129,PLAYERS_IDS,2,FALSE))</f>
        <v/>
      </c>
      <c r="R129" s="5">
        <f>IFERROR((P129*100000)+Q129,"")</f>
        <v/>
      </c>
    </row>
    <row r="130" ht="20.25" customHeight="1" s="106">
      <c r="A130" s="14" t="n">
        <v>46292</v>
      </c>
      <c r="B130" s="15" t="n">
        <v>126</v>
      </c>
      <c r="C130" s="22" t="inlineStr">
        <is>
          <t>Santosh</t>
        </is>
      </c>
      <c r="D130" s="15" t="inlineStr">
        <is>
          <t>Faiyaz</t>
        </is>
      </c>
      <c r="E130" s="3" t="n">
        <v>21</v>
      </c>
      <c r="F130" s="15" t="inlineStr">
        <is>
          <t>Deepesh</t>
        </is>
      </c>
      <c r="G130" s="15" t="inlineStr">
        <is>
          <t>Suraj</t>
        </is>
      </c>
      <c r="H130" s="24" t="n">
        <v>8</v>
      </c>
      <c r="I130" s="15" t="inlineStr">
        <is>
          <t>Santosh</t>
        </is>
      </c>
      <c r="J130" s="15" t="inlineStr">
        <is>
          <t>Faiyaz</t>
        </is>
      </c>
      <c r="K130" s="15" t="n">
        <v>4</v>
      </c>
      <c r="L130" s="15" t="n">
        <v>13</v>
      </c>
      <c r="M130" s="5">
        <f>IF(ISBLANK($E130),"",VLOOKUP($I130,PLAYERS_IDS,2,FALSE)*VLOOKUP($J130,PLAYERS_IDS,2,FALSE))</f>
        <v/>
      </c>
      <c r="N130" s="25">
        <f>IF(ISBLANK($E130)," ", COUNTIF($M$4:$M130,$M130))</f>
        <v/>
      </c>
      <c r="O130" s="25" t="n">
        <v>15</v>
      </c>
      <c r="P130" s="5">
        <f>IF(ISBLANK($F130),"",VLOOKUP($C130,PLAYERS_IDS,2,FALSE)*VLOOKUP($D130,PLAYERS_IDS,2,FALSE))</f>
        <v/>
      </c>
      <c r="Q130" s="5">
        <f>IF(ISBLANK($F130), "",VLOOKUP($F130,PLAYERS_IDS,2,FALSE)*VLOOKUP($G130,PLAYERS_IDS,2,FALSE))</f>
        <v/>
      </c>
      <c r="R130" s="5">
        <f>IFERROR((P130*100000)+Q130,"")</f>
        <v/>
      </c>
    </row>
    <row r="131" ht="20.25" customHeight="1" s="106">
      <c r="A131" s="14" t="n">
        <v>46292</v>
      </c>
      <c r="B131" s="15" t="n">
        <v>127</v>
      </c>
      <c r="C131" s="22" t="inlineStr">
        <is>
          <t>Waqas</t>
        </is>
      </c>
      <c r="D131" s="15" t="inlineStr">
        <is>
          <t>Rahul</t>
        </is>
      </c>
      <c r="E131" s="3" t="n">
        <v>21</v>
      </c>
      <c r="F131" s="15" t="inlineStr">
        <is>
          <t>Mansoor</t>
        </is>
      </c>
      <c r="G131" s="15" t="inlineStr">
        <is>
          <t>Ken</t>
        </is>
      </c>
      <c r="H131" s="24" t="n">
        <v>16</v>
      </c>
      <c r="I131" s="15" t="inlineStr">
        <is>
          <t>Waqas</t>
        </is>
      </c>
      <c r="J131" s="15" t="inlineStr">
        <is>
          <t>Rahul</t>
        </is>
      </c>
      <c r="K131" s="15" t="n">
        <v>1</v>
      </c>
      <c r="L131" s="15" t="n">
        <v>5</v>
      </c>
      <c r="M131" s="5">
        <f>IF(ISBLANK($E131),"",VLOOKUP($I131,PLAYERS_IDS,2,FALSE)*VLOOKUP($J131,PLAYERS_IDS,2,FALSE))</f>
        <v/>
      </c>
      <c r="N131" s="25">
        <f>IF(ISBLANK($E131)," ", COUNTIF($M$4:$M131,$M131))</f>
        <v/>
      </c>
      <c r="O131" s="25" t="n">
        <v>15</v>
      </c>
      <c r="P131" s="5">
        <f>IF(ISBLANK($F131),"",VLOOKUP($C131,PLAYERS_IDS,2,FALSE)*VLOOKUP($D131,PLAYERS_IDS,2,FALSE))</f>
        <v/>
      </c>
      <c r="Q131" s="5">
        <f>IF(ISBLANK($F131), "",VLOOKUP($F131,PLAYERS_IDS,2,FALSE)*VLOOKUP($G131,PLAYERS_IDS,2,FALSE))</f>
        <v/>
      </c>
      <c r="R131" s="5">
        <f>IFERROR((P131*100000)+Q131,"")</f>
        <v/>
      </c>
    </row>
    <row r="132" ht="20.25" customHeight="1" s="106">
      <c r="A132" s="14" t="n">
        <v>46292</v>
      </c>
      <c r="B132" s="15" t="n">
        <v>128</v>
      </c>
      <c r="C132" s="22" t="inlineStr">
        <is>
          <t>Aahil</t>
        </is>
      </c>
      <c r="D132" s="15" t="inlineStr">
        <is>
          <t>Sandip</t>
        </is>
      </c>
      <c r="E132" s="3" t="n">
        <v>21</v>
      </c>
      <c r="F132" s="15" t="inlineStr">
        <is>
          <t>Rukhsar</t>
        </is>
      </c>
      <c r="G132" s="15" t="inlineStr">
        <is>
          <t>Thomas</t>
        </is>
      </c>
      <c r="H132" s="24" t="n">
        <v>17</v>
      </c>
      <c r="I132" s="15" t="inlineStr">
        <is>
          <t>Aahil</t>
        </is>
      </c>
      <c r="J132" s="15" t="inlineStr">
        <is>
          <t>Sandip</t>
        </is>
      </c>
      <c r="K132" s="15" t="n">
        <v>3</v>
      </c>
      <c r="L132" s="15" t="n">
        <v>4</v>
      </c>
      <c r="M132" s="5">
        <f>IF(ISBLANK($E132),"",VLOOKUP($I132,PLAYERS_IDS,2,FALSE)*VLOOKUP($J132,PLAYERS_IDS,2,FALSE))</f>
        <v/>
      </c>
      <c r="N132" s="25">
        <f>IF(ISBLANK($E132)," ", COUNTIF($M$4:$M132,$M132))</f>
        <v/>
      </c>
      <c r="O132" s="25" t="n">
        <v>15</v>
      </c>
      <c r="P132" s="5">
        <f>IF(ISBLANK($F132),"",VLOOKUP($C132,PLAYERS_IDS,2,FALSE)*VLOOKUP($D132,PLAYERS_IDS,2,FALSE))</f>
        <v/>
      </c>
      <c r="Q132" s="5">
        <f>IF(ISBLANK($F132), "",VLOOKUP($F132,PLAYERS_IDS,2,FALSE)*VLOOKUP($G132,PLAYERS_IDS,2,FALSE))</f>
        <v/>
      </c>
      <c r="R132" s="5">
        <f>IFERROR((P132*100000)+Q132,"")</f>
        <v/>
      </c>
    </row>
    <row r="133" ht="20.25" customHeight="1" s="106">
      <c r="A133" s="14" t="n">
        <v>46292</v>
      </c>
      <c r="B133" s="15" t="n">
        <v>129</v>
      </c>
      <c r="C133" s="22" t="inlineStr">
        <is>
          <t>Santosh</t>
        </is>
      </c>
      <c r="D133" s="15" t="inlineStr">
        <is>
          <t>Asim</t>
        </is>
      </c>
      <c r="E133" s="3" t="n">
        <v>21</v>
      </c>
      <c r="F133" s="15" t="inlineStr">
        <is>
          <t>Sandip</t>
        </is>
      </c>
      <c r="G133" s="15" t="inlineStr">
        <is>
          <t>Deepak</t>
        </is>
      </c>
      <c r="H133" s="24" t="n">
        <v>17</v>
      </c>
      <c r="I133" s="15" t="inlineStr">
        <is>
          <t>Santosh</t>
        </is>
      </c>
      <c r="J133" s="15" t="inlineStr">
        <is>
          <t>Asim</t>
        </is>
      </c>
      <c r="K133" s="15" t="n">
        <v>4</v>
      </c>
      <c r="L133" s="15" t="n">
        <v>4</v>
      </c>
      <c r="M133" s="5">
        <f>IF(ISBLANK($E133),"",VLOOKUP($I133,PLAYERS_IDS,2,FALSE)*VLOOKUP($J133,PLAYERS_IDS,2,FALSE))</f>
        <v/>
      </c>
      <c r="N133" s="25">
        <f>IF(ISBLANK($E133)," ", COUNTIF($M$4:$M133,$M133))</f>
        <v/>
      </c>
      <c r="O133" s="25" t="n">
        <v>15</v>
      </c>
      <c r="P133" s="5">
        <f>IF(ISBLANK($F133),"",VLOOKUP($C133,PLAYERS_IDS,2,FALSE)*VLOOKUP($D133,PLAYERS_IDS,2,FALSE))</f>
        <v/>
      </c>
      <c r="Q133" s="5">
        <f>IF(ISBLANK($F133), "",VLOOKUP($F133,PLAYERS_IDS,2,FALSE)*VLOOKUP($G133,PLAYERS_IDS,2,FALSE))</f>
        <v/>
      </c>
      <c r="R133" s="5">
        <f>IFERROR((P133*100000)+Q133,"")</f>
        <v/>
      </c>
    </row>
    <row r="134" ht="20.25" customHeight="1" s="106">
      <c r="A134" s="14" t="n">
        <v>46292</v>
      </c>
      <c r="B134" s="15" t="n">
        <v>130</v>
      </c>
      <c r="C134" s="22" t="inlineStr">
        <is>
          <t>Santosh</t>
        </is>
      </c>
      <c r="D134" s="15" t="inlineStr">
        <is>
          <t>Aahil</t>
        </is>
      </c>
      <c r="E134" s="3" t="n">
        <v>21</v>
      </c>
      <c r="F134" s="15" t="inlineStr">
        <is>
          <t>Sandip</t>
        </is>
      </c>
      <c r="G134" s="15" t="inlineStr">
        <is>
          <t>Faiyaz</t>
        </is>
      </c>
      <c r="H134" s="24" t="n">
        <v>12</v>
      </c>
      <c r="I134" s="15" t="inlineStr">
        <is>
          <t>Santosh</t>
        </is>
      </c>
      <c r="J134" s="15" t="inlineStr">
        <is>
          <t>Aahil</t>
        </is>
      </c>
      <c r="K134" s="15" t="n">
        <v>3</v>
      </c>
      <c r="L134" s="15" t="n">
        <v>9</v>
      </c>
      <c r="M134" s="5">
        <f>IF(ISBLANK($E134),"",VLOOKUP($I134,PLAYERS_IDS,2,FALSE)*VLOOKUP($J134,PLAYERS_IDS,2,FALSE))</f>
        <v/>
      </c>
      <c r="N134" s="25">
        <f>IF(ISBLANK($E134)," ", COUNTIF($M$4:$M134,$M134))</f>
        <v/>
      </c>
      <c r="O134" s="25" t="n">
        <v>15</v>
      </c>
      <c r="P134" s="5">
        <f>IF(ISBLANK($F134),"",VLOOKUP($C134,PLAYERS_IDS,2,FALSE)*VLOOKUP($D134,PLAYERS_IDS,2,FALSE))</f>
        <v/>
      </c>
      <c r="Q134" s="5">
        <f>IF(ISBLANK($F134), "",VLOOKUP($F134,PLAYERS_IDS,2,FALSE)*VLOOKUP($G134,PLAYERS_IDS,2,FALSE))</f>
        <v/>
      </c>
      <c r="R134" s="5">
        <f>IFERROR((P134*100000)+Q134,"")</f>
        <v/>
      </c>
    </row>
    <row r="135" ht="20.25" customHeight="1" s="106">
      <c r="A135" s="14" t="n">
        <v>46292</v>
      </c>
      <c r="B135" s="15" t="n">
        <v>131</v>
      </c>
      <c r="C135" s="22" t="inlineStr">
        <is>
          <t>Santosh</t>
        </is>
      </c>
      <c r="D135" s="15" t="inlineStr">
        <is>
          <t>Suraj</t>
        </is>
      </c>
      <c r="E135" s="3" t="n">
        <v>21</v>
      </c>
      <c r="F135" s="15" t="inlineStr">
        <is>
          <t>Aahil</t>
        </is>
      </c>
      <c r="G135" s="15" t="inlineStr">
        <is>
          <t>Deepesh</t>
        </is>
      </c>
      <c r="H135" s="24" t="n">
        <v>12</v>
      </c>
      <c r="I135" s="15" t="inlineStr">
        <is>
          <t>Santosh</t>
        </is>
      </c>
      <c r="J135" s="15" t="inlineStr">
        <is>
          <t>Suraj</t>
        </is>
      </c>
      <c r="K135" s="15" t="n">
        <v>3</v>
      </c>
      <c r="L135" s="15" t="n">
        <v>9</v>
      </c>
      <c r="M135" s="5">
        <f>IF(ISBLANK($E135),"",VLOOKUP($I135,PLAYERS_IDS,2,FALSE)*VLOOKUP($J135,PLAYERS_IDS,2,FALSE))</f>
        <v/>
      </c>
      <c r="N135" s="25">
        <f>IF(ISBLANK($E135)," ", COUNTIF($M$4:$M135,$M135))</f>
        <v/>
      </c>
      <c r="O135" s="25" t="n">
        <v>15</v>
      </c>
      <c r="P135" s="5">
        <f>IF(ISBLANK($F135),"",VLOOKUP($C135,PLAYERS_IDS,2,FALSE)*VLOOKUP($D135,PLAYERS_IDS,2,FALSE))</f>
        <v/>
      </c>
      <c r="Q135" s="5">
        <f>IF(ISBLANK($F135), "",VLOOKUP($F135,PLAYERS_IDS,2,FALSE)*VLOOKUP($G135,PLAYERS_IDS,2,FALSE))</f>
        <v/>
      </c>
      <c r="R135" s="5">
        <f>IFERROR((P135*100000)+Q135,"")</f>
        <v/>
      </c>
    </row>
    <row r="136" ht="20.25" customHeight="1" s="106">
      <c r="A136" s="14" t="n">
        <v>46292</v>
      </c>
      <c r="B136" s="15" t="n">
        <v>132</v>
      </c>
      <c r="C136" s="22" t="inlineStr">
        <is>
          <t>Suraj</t>
        </is>
      </c>
      <c r="D136" s="15" t="inlineStr">
        <is>
          <t>Nawaz</t>
        </is>
      </c>
      <c r="E136" s="3" t="n">
        <v>21</v>
      </c>
      <c r="F136" s="15" t="inlineStr">
        <is>
          <t>Asim</t>
        </is>
      </c>
      <c r="G136" s="15" t="inlineStr">
        <is>
          <t>Deepak</t>
        </is>
      </c>
      <c r="H136" s="24" t="n">
        <v>13</v>
      </c>
      <c r="I136" s="15" t="inlineStr">
        <is>
          <t>Suraj</t>
        </is>
      </c>
      <c r="J136" s="15" t="inlineStr">
        <is>
          <t>Nawaz</t>
        </is>
      </c>
      <c r="K136" s="15" t="n">
        <v>4</v>
      </c>
      <c r="L136" s="15" t="n">
        <v>8</v>
      </c>
      <c r="M136" s="5">
        <f>IF(ISBLANK($E136),"",VLOOKUP($I136,PLAYERS_IDS,2,FALSE)*VLOOKUP($J136,PLAYERS_IDS,2,FALSE))</f>
        <v/>
      </c>
      <c r="N136" s="25">
        <f>IF(ISBLANK($E136)," ", COUNTIF($M$4:$M136,$M136))</f>
        <v/>
      </c>
      <c r="O136" s="25" t="n">
        <v>15</v>
      </c>
      <c r="P136" s="5">
        <f>IF(ISBLANK($F136),"",VLOOKUP($C136,PLAYERS_IDS,2,FALSE)*VLOOKUP($D136,PLAYERS_IDS,2,FALSE))</f>
        <v/>
      </c>
      <c r="Q136" s="5">
        <f>IF(ISBLANK($F136), "",VLOOKUP($F136,PLAYERS_IDS,2,FALSE)*VLOOKUP($G136,PLAYERS_IDS,2,FALSE))</f>
        <v/>
      </c>
      <c r="R136" s="5">
        <f>IFERROR((P136*100000)+Q136,"")</f>
        <v/>
      </c>
    </row>
    <row r="137" ht="20.25" customHeight="1" s="106">
      <c r="A137" s="14" t="n">
        <v>46292</v>
      </c>
      <c r="B137" s="15" t="n">
        <v>133</v>
      </c>
      <c r="C137" s="22" t="inlineStr">
        <is>
          <t>Rukhsar</t>
        </is>
      </c>
      <c r="D137" s="15" t="inlineStr">
        <is>
          <t>Nawaz</t>
        </is>
      </c>
      <c r="E137" s="3" t="n">
        <v>21</v>
      </c>
      <c r="F137" s="15" t="inlineStr">
        <is>
          <t>Mansoor</t>
        </is>
      </c>
      <c r="G137" s="15" t="inlineStr">
        <is>
          <t>Suraj</t>
        </is>
      </c>
      <c r="H137" s="24" t="n">
        <v>15</v>
      </c>
      <c r="I137" s="15" t="inlineStr">
        <is>
          <t>Rukhsar</t>
        </is>
      </c>
      <c r="J137" s="15" t="inlineStr">
        <is>
          <t>Nawaz</t>
        </is>
      </c>
      <c r="K137" s="15" t="n">
        <v>3</v>
      </c>
      <c r="L137" s="15" t="n">
        <v>6</v>
      </c>
      <c r="M137" s="5">
        <f>IF(ISBLANK($E137),"",VLOOKUP($I137,PLAYERS_IDS,2,FALSE)*VLOOKUP($J137,PLAYERS_IDS,2,FALSE))</f>
        <v/>
      </c>
      <c r="N137" s="25">
        <f>IF(ISBLANK($E137)," ", COUNTIF($M$4:$M137,$M137))</f>
        <v/>
      </c>
      <c r="O137" s="25" t="n">
        <v>15</v>
      </c>
      <c r="P137" s="5">
        <f>IF(ISBLANK($F137),"",VLOOKUP($C137,PLAYERS_IDS,2,FALSE)*VLOOKUP($D137,PLAYERS_IDS,2,FALSE))</f>
        <v/>
      </c>
      <c r="Q137" s="5">
        <f>IF(ISBLANK($F137), "",VLOOKUP($F137,PLAYERS_IDS,2,FALSE)*VLOOKUP($G137,PLAYERS_IDS,2,FALSE))</f>
        <v/>
      </c>
      <c r="R137" s="5">
        <f>IFERROR((P137*100000)+Q137,"")</f>
        <v/>
      </c>
    </row>
    <row r="138" ht="20.25" customHeight="1" s="106">
      <c r="A138" s="14" t="n">
        <v>46292</v>
      </c>
      <c r="B138" s="15" t="n">
        <v>134</v>
      </c>
      <c r="C138" s="22" t="inlineStr">
        <is>
          <t>Mehtab</t>
        </is>
      </c>
      <c r="D138" s="15" t="inlineStr">
        <is>
          <t>Rahul</t>
        </is>
      </c>
      <c r="E138" s="3" t="n">
        <v>21</v>
      </c>
      <c r="F138" s="15" t="inlineStr">
        <is>
          <t>Waqas</t>
        </is>
      </c>
      <c r="G138" s="15" t="inlineStr">
        <is>
          <t>Deepak</t>
        </is>
      </c>
      <c r="H138" s="24" t="n">
        <v>11</v>
      </c>
      <c r="I138" s="15" t="inlineStr">
        <is>
          <t>Mehtab</t>
        </is>
      </c>
      <c r="J138" s="15" t="inlineStr">
        <is>
          <t>Rahul</t>
        </is>
      </c>
      <c r="K138" s="15" t="n">
        <v>1</v>
      </c>
      <c r="L138" s="15" t="n">
        <v>10</v>
      </c>
      <c r="M138" s="5">
        <f>IF(ISBLANK($E138),"",VLOOKUP($I138,PLAYERS_IDS,2,FALSE)*VLOOKUP($J138,PLAYERS_IDS,2,FALSE))</f>
        <v/>
      </c>
      <c r="N138" s="25">
        <f>IF(ISBLANK($E138)," ", COUNTIF($M$4:$M138,$M138))</f>
        <v/>
      </c>
      <c r="O138" s="25" t="n">
        <v>15</v>
      </c>
      <c r="P138" s="5">
        <f>IF(ISBLANK($F138),"",VLOOKUP($C138,PLAYERS_IDS,2,FALSE)*VLOOKUP($D138,PLAYERS_IDS,2,FALSE))</f>
        <v/>
      </c>
      <c r="Q138" s="5">
        <f>IF(ISBLANK($F138), "",VLOOKUP($F138,PLAYERS_IDS,2,FALSE)*VLOOKUP($G138,PLAYERS_IDS,2,FALSE))</f>
        <v/>
      </c>
      <c r="R138" s="5">
        <f>IFERROR((P138*100000)+Q138,"")</f>
        <v/>
      </c>
    </row>
    <row r="139" ht="20.25" customHeight="1" s="106">
      <c r="A139" s="14" t="n">
        <v>46292</v>
      </c>
      <c r="B139" s="15" t="n">
        <v>135</v>
      </c>
      <c r="C139" s="22" t="inlineStr">
        <is>
          <t>Mehtab</t>
        </is>
      </c>
      <c r="D139" s="15" t="inlineStr">
        <is>
          <t>Deepak</t>
        </is>
      </c>
      <c r="E139" s="3" t="n">
        <v>21</v>
      </c>
      <c r="F139" s="15" t="inlineStr">
        <is>
          <t>Shoaib</t>
        </is>
      </c>
      <c r="G139" s="15" t="inlineStr">
        <is>
          <t>Asim</t>
        </is>
      </c>
      <c r="H139" s="24" t="n">
        <v>5</v>
      </c>
      <c r="I139" s="15" t="inlineStr">
        <is>
          <t>Mehtab</t>
        </is>
      </c>
      <c r="J139" s="15" t="inlineStr">
        <is>
          <t>Deepak</t>
        </is>
      </c>
      <c r="K139" s="15" t="n">
        <v>2</v>
      </c>
      <c r="L139" s="15" t="n">
        <v>16</v>
      </c>
      <c r="M139" s="5">
        <f>IF(ISBLANK($E139),"",VLOOKUP($I139,PLAYERS_IDS,2,FALSE)*VLOOKUP($J139,PLAYERS_IDS,2,FALSE))</f>
        <v/>
      </c>
      <c r="N139" s="25">
        <f>IF(ISBLANK($E139)," ", COUNTIF($M$4:$M139,$M139))</f>
        <v/>
      </c>
      <c r="O139" s="25" t="n">
        <v>15</v>
      </c>
      <c r="P139" s="5">
        <f>IF(ISBLANK($F139),"",VLOOKUP($C139,PLAYERS_IDS,2,FALSE)*VLOOKUP($D139,PLAYERS_IDS,2,FALSE))</f>
        <v/>
      </c>
      <c r="Q139" s="5">
        <f>IF(ISBLANK($F139), "",VLOOKUP($F139,PLAYERS_IDS,2,FALSE)*VLOOKUP($G139,PLAYERS_IDS,2,FALSE))</f>
        <v/>
      </c>
      <c r="R139" s="5">
        <f>IFERROR((P139*100000)+Q139,"")</f>
        <v/>
      </c>
    </row>
    <row r="140" ht="20.25" customHeight="1" s="106">
      <c r="A140" s="14" t="n">
        <v>46292</v>
      </c>
      <c r="B140" s="15" t="n">
        <v>136</v>
      </c>
      <c r="C140" s="22" t="inlineStr">
        <is>
          <t>Mehtab</t>
        </is>
      </c>
      <c r="D140" s="15" t="inlineStr">
        <is>
          <t>Asim</t>
        </is>
      </c>
      <c r="E140" s="3" t="n">
        <v>21</v>
      </c>
      <c r="F140" s="15" t="inlineStr">
        <is>
          <t>Deepak</t>
        </is>
      </c>
      <c r="G140" s="15" t="inlineStr">
        <is>
          <t>Shoaib</t>
        </is>
      </c>
      <c r="H140" s="24" t="n">
        <v>10</v>
      </c>
      <c r="I140" s="15" t="inlineStr">
        <is>
          <t>Mehtab</t>
        </is>
      </c>
      <c r="J140" s="15" t="inlineStr">
        <is>
          <t>Asim</t>
        </is>
      </c>
      <c r="K140" s="15" t="n">
        <v>2</v>
      </c>
      <c r="L140" s="15" t="n">
        <v>11</v>
      </c>
      <c r="M140" s="5">
        <f>IF(ISBLANK($E140),"",VLOOKUP($I140,PLAYERS_IDS,2,FALSE)*VLOOKUP($J140,PLAYERS_IDS,2,FALSE))</f>
        <v/>
      </c>
      <c r="N140" s="25">
        <f>IF(ISBLANK($E140)," ", COUNTIF($M$4:$M140,$M140))</f>
        <v/>
      </c>
      <c r="O140" s="25" t="n">
        <v>15</v>
      </c>
      <c r="P140" s="5">
        <f>IF(ISBLANK($F140),"",VLOOKUP($C140,PLAYERS_IDS,2,FALSE)*VLOOKUP($D140,PLAYERS_IDS,2,FALSE))</f>
        <v/>
      </c>
      <c r="Q140" s="5">
        <f>IF(ISBLANK($F140), "",VLOOKUP($F140,PLAYERS_IDS,2,FALSE)*VLOOKUP($G140,PLAYERS_IDS,2,FALSE))</f>
        <v/>
      </c>
      <c r="R140" s="5">
        <f>IFERROR((P140*100000)+Q140,"")</f>
        <v/>
      </c>
    </row>
    <row r="141" ht="20.25" customHeight="1" s="106">
      <c r="A141" s="14" t="n">
        <v>46292</v>
      </c>
      <c r="B141" s="15" t="n">
        <v>137</v>
      </c>
      <c r="C141" s="22" t="inlineStr">
        <is>
          <t>Mansoor</t>
        </is>
      </c>
      <c r="D141" s="15" t="inlineStr">
        <is>
          <t>Rahul</t>
        </is>
      </c>
      <c r="E141" s="3" t="n">
        <v>21</v>
      </c>
      <c r="F141" s="15" t="inlineStr">
        <is>
          <t>Deepak</t>
        </is>
      </c>
      <c r="G141" s="15" t="inlineStr">
        <is>
          <t>Shoaib</t>
        </is>
      </c>
      <c r="H141" s="24" t="n">
        <v>14</v>
      </c>
      <c r="I141" s="15" t="inlineStr">
        <is>
          <t>Mansoor</t>
        </is>
      </c>
      <c r="J141" s="15" t="inlineStr">
        <is>
          <t>Rahul</t>
        </is>
      </c>
      <c r="K141" s="15" t="n">
        <v>2</v>
      </c>
      <c r="L141" s="15" t="n">
        <v>7</v>
      </c>
      <c r="M141" s="5">
        <f>IF(ISBLANK($E141),"",VLOOKUP($I141,PLAYERS_IDS,2,FALSE)*VLOOKUP($J141,PLAYERS_IDS,2,FALSE))</f>
        <v/>
      </c>
      <c r="N141" s="25">
        <f>IF(ISBLANK($E141)," ", COUNTIF($M$4:$M141,$M141))</f>
        <v/>
      </c>
      <c r="O141" s="25" t="n">
        <v>15</v>
      </c>
      <c r="P141" s="5">
        <f>IF(ISBLANK($F141),"",VLOOKUP($C141,PLAYERS_IDS,2,FALSE)*VLOOKUP($D141,PLAYERS_IDS,2,FALSE))</f>
        <v/>
      </c>
      <c r="Q141" s="5">
        <f>IF(ISBLANK($F141), "",VLOOKUP($F141,PLAYERS_IDS,2,FALSE)*VLOOKUP($G141,PLAYERS_IDS,2,FALSE))</f>
        <v/>
      </c>
      <c r="R141" s="5">
        <f>IFERROR((P141*100000)+Q141,"")</f>
        <v/>
      </c>
    </row>
    <row r="142" ht="20.25" customHeight="1" s="106">
      <c r="A142" s="14" t="n">
        <v>46292</v>
      </c>
      <c r="B142" s="15" t="n">
        <v>138</v>
      </c>
      <c r="C142" s="22" t="inlineStr">
        <is>
          <t>Rukhsar</t>
        </is>
      </c>
      <c r="D142" s="15" t="inlineStr">
        <is>
          <t>Asim</t>
        </is>
      </c>
      <c r="E142" s="3" t="n">
        <v>21</v>
      </c>
      <c r="F142" s="15" t="inlineStr">
        <is>
          <t>Ken</t>
        </is>
      </c>
      <c r="G142" s="15" t="inlineStr">
        <is>
          <t>Mansoor</t>
        </is>
      </c>
      <c r="H142" s="24" t="n">
        <v>14</v>
      </c>
      <c r="I142" s="15" t="inlineStr">
        <is>
          <t>Rukhsar</t>
        </is>
      </c>
      <c r="J142" s="15" t="inlineStr">
        <is>
          <t>Asim</t>
        </is>
      </c>
      <c r="K142" s="15" t="n">
        <v>2</v>
      </c>
      <c r="L142" s="15" t="n">
        <v>7</v>
      </c>
      <c r="M142" s="5">
        <f>IF(ISBLANK($E142),"",VLOOKUP($I142,PLAYERS_IDS,2,FALSE)*VLOOKUP($J142,PLAYERS_IDS,2,FALSE))</f>
        <v/>
      </c>
      <c r="N142" s="25">
        <f>IF(ISBLANK($E142)," ", COUNTIF($M$4:$M142,$M142))</f>
        <v/>
      </c>
      <c r="O142" s="25" t="n">
        <v>15</v>
      </c>
      <c r="P142" s="5">
        <f>IF(ISBLANK($F142),"",VLOOKUP($C142,PLAYERS_IDS,2,FALSE)*VLOOKUP($D142,PLAYERS_IDS,2,FALSE))</f>
        <v/>
      </c>
      <c r="Q142" s="5">
        <f>IF(ISBLANK($F142), "",VLOOKUP($F142,PLAYERS_IDS,2,FALSE)*VLOOKUP($G142,PLAYERS_IDS,2,FALSE))</f>
        <v/>
      </c>
      <c r="R142" s="5">
        <f>IFERROR((P142*100000)+Q142,"")</f>
        <v/>
      </c>
    </row>
    <row r="143" ht="20.25" customHeight="1" s="106">
      <c r="A143" s="14" t="n">
        <v>46292</v>
      </c>
      <c r="B143" s="15" t="n">
        <v>139</v>
      </c>
      <c r="C143" s="22" t="inlineStr">
        <is>
          <t>Rukhsar</t>
        </is>
      </c>
      <c r="D143" s="15" t="inlineStr">
        <is>
          <t>Faiyaz</t>
        </is>
      </c>
      <c r="E143" s="3" t="n">
        <v>21</v>
      </c>
      <c r="F143" s="15" t="inlineStr">
        <is>
          <t>Sandip</t>
        </is>
      </c>
      <c r="G143" s="15" t="inlineStr">
        <is>
          <t>Rahul</t>
        </is>
      </c>
      <c r="H143" s="24" t="n">
        <v>17</v>
      </c>
      <c r="I143" s="15" t="inlineStr">
        <is>
          <t>Rukhsar</t>
        </is>
      </c>
      <c r="J143" s="15" t="inlineStr">
        <is>
          <t>Faiyaz</t>
        </is>
      </c>
      <c r="K143" s="15" t="n">
        <v>1</v>
      </c>
      <c r="L143" s="15" t="n">
        <v>4</v>
      </c>
      <c r="M143" s="5">
        <f>IF(ISBLANK($E143),"",VLOOKUP($I143,PLAYERS_IDS,2,FALSE)*VLOOKUP($J143,PLAYERS_IDS,2,FALSE))</f>
        <v/>
      </c>
      <c r="N143" s="25">
        <f>IF(ISBLANK($E143)," ", COUNTIF($M$4:$M143,$M143))</f>
        <v/>
      </c>
      <c r="O143" s="25" t="n">
        <v>15</v>
      </c>
      <c r="P143" s="5">
        <f>IF(ISBLANK($F143),"",VLOOKUP($C143,PLAYERS_IDS,2,FALSE)*VLOOKUP($D143,PLAYERS_IDS,2,FALSE))</f>
        <v/>
      </c>
      <c r="Q143" s="5">
        <f>IF(ISBLANK($F143), "",VLOOKUP($F143,PLAYERS_IDS,2,FALSE)*VLOOKUP($G143,PLAYERS_IDS,2,FALSE))</f>
        <v/>
      </c>
      <c r="R143" s="5">
        <f>IFERROR((P143*100000)+Q143,"")</f>
        <v/>
      </c>
    </row>
    <row r="144" ht="20.25" customHeight="1" s="106">
      <c r="A144" s="14" t="n">
        <v>46292</v>
      </c>
      <c r="B144" s="15" t="n">
        <v>140</v>
      </c>
      <c r="C144" s="22" t="inlineStr">
        <is>
          <t>Rukhsar</t>
        </is>
      </c>
      <c r="D144" s="15" t="inlineStr">
        <is>
          <t>Tousif</t>
        </is>
      </c>
      <c r="E144" s="3" t="n">
        <v>21</v>
      </c>
      <c r="F144" s="15" t="inlineStr">
        <is>
          <t>Rahul</t>
        </is>
      </c>
      <c r="G144" s="15" t="inlineStr">
        <is>
          <t>Nawaz</t>
        </is>
      </c>
      <c r="H144" s="24" t="n">
        <v>7</v>
      </c>
      <c r="I144" s="15" t="inlineStr">
        <is>
          <t>Rukhsar</t>
        </is>
      </c>
      <c r="J144" s="15" t="inlineStr">
        <is>
          <t>Tousif</t>
        </is>
      </c>
      <c r="K144" s="15" t="n">
        <v>2</v>
      </c>
      <c r="L144" s="15" t="n">
        <v>14</v>
      </c>
      <c r="M144" s="5">
        <f>IF(ISBLANK($E144),"",VLOOKUP($I144,PLAYERS_IDS,2,FALSE)*VLOOKUP($J144,PLAYERS_IDS,2,FALSE))</f>
        <v/>
      </c>
      <c r="N144" s="25">
        <f>IF(ISBLANK($E144)," ", COUNTIF($M$4:$M144,$M144))</f>
        <v/>
      </c>
      <c r="O144" s="25" t="n">
        <v>15</v>
      </c>
      <c r="P144" s="5">
        <f>IF(ISBLANK($F144),"",VLOOKUP($C144,PLAYERS_IDS,2,FALSE)*VLOOKUP($D144,PLAYERS_IDS,2,FALSE))</f>
        <v/>
      </c>
      <c r="Q144" s="5">
        <f>IF(ISBLANK($F144), "",VLOOKUP($F144,PLAYERS_IDS,2,FALSE)*VLOOKUP($G144,PLAYERS_IDS,2,FALSE))</f>
        <v/>
      </c>
      <c r="R144" s="5">
        <f>IFERROR((P144*100000)+Q144,"")</f>
        <v/>
      </c>
    </row>
    <row r="145" ht="20.25" customHeight="1" s="106">
      <c r="A145" s="14" t="n">
        <v>46292</v>
      </c>
      <c r="B145" s="15" t="n">
        <v>141</v>
      </c>
      <c r="C145" s="22" t="inlineStr">
        <is>
          <t>Rukhsar</t>
        </is>
      </c>
      <c r="D145" s="15" t="inlineStr">
        <is>
          <t>Suraj</t>
        </is>
      </c>
      <c r="E145" s="3" t="n">
        <v>21</v>
      </c>
      <c r="F145" s="15" t="inlineStr">
        <is>
          <t>Thomas</t>
        </is>
      </c>
      <c r="G145" s="15" t="inlineStr">
        <is>
          <t>Zaheer</t>
        </is>
      </c>
      <c r="H145" s="24" t="n">
        <v>19</v>
      </c>
      <c r="I145" s="15" t="inlineStr">
        <is>
          <t>Rukhsar</t>
        </is>
      </c>
      <c r="J145" s="15" t="inlineStr">
        <is>
          <t>Suraj</t>
        </is>
      </c>
      <c r="K145" s="15" t="n">
        <v>4</v>
      </c>
      <c r="L145" s="15" t="n">
        <v>2</v>
      </c>
      <c r="M145" s="5">
        <f>IF(ISBLANK($E145),"",VLOOKUP($I145,PLAYERS_IDS,2,FALSE)*VLOOKUP($J145,PLAYERS_IDS,2,FALSE))</f>
        <v/>
      </c>
      <c r="N145" s="25">
        <f>IF(ISBLANK($E145)," ", COUNTIF($M$4:$M145,$M145))</f>
        <v/>
      </c>
      <c r="O145" s="25" t="n">
        <v>15</v>
      </c>
      <c r="P145" s="5">
        <f>IF(ISBLANK($F145),"",VLOOKUP($C145,PLAYERS_IDS,2,FALSE)*VLOOKUP($D145,PLAYERS_IDS,2,FALSE))</f>
        <v/>
      </c>
      <c r="Q145" s="5">
        <f>IF(ISBLANK($F145), "",VLOOKUP($F145,PLAYERS_IDS,2,FALSE)*VLOOKUP($G145,PLAYERS_IDS,2,FALSE))</f>
        <v/>
      </c>
      <c r="R145" s="5">
        <f>IFERROR((P145*100000)+Q145,"")</f>
        <v/>
      </c>
      <c r="T145" s="5" t="n"/>
      <c r="U145" s="26" t="inlineStr">
        <is>
          <t>Group A</t>
        </is>
      </c>
      <c r="V145" s="8" t="inlineStr">
        <is>
          <t>ID</t>
        </is>
      </c>
    </row>
    <row r="146" ht="20.25" customHeight="1" s="106">
      <c r="A146" s="14" t="n">
        <v>46292</v>
      </c>
      <c r="B146" s="15" t="n">
        <v>142</v>
      </c>
      <c r="C146" s="22" t="inlineStr">
        <is>
          <t>Thomas</t>
        </is>
      </c>
      <c r="D146" s="15" t="inlineStr">
        <is>
          <t>Mansoor</t>
        </is>
      </c>
      <c r="E146" s="3" t="n">
        <v>21</v>
      </c>
      <c r="F146" s="15" t="inlineStr">
        <is>
          <t>Nawaz</t>
        </is>
      </c>
      <c r="G146" s="15" t="inlineStr">
        <is>
          <t>Deepak</t>
        </is>
      </c>
      <c r="H146" s="24" t="n">
        <v>10</v>
      </c>
      <c r="I146" s="15" t="inlineStr">
        <is>
          <t>Thomas</t>
        </is>
      </c>
      <c r="J146" s="15" t="inlineStr">
        <is>
          <t>Mansoor</t>
        </is>
      </c>
      <c r="K146" s="15" t="n">
        <v>3</v>
      </c>
      <c r="L146" s="15" t="n">
        <v>11</v>
      </c>
      <c r="M146" s="5">
        <f>IF(ISBLANK($E146),"",VLOOKUP($I146,PLAYERS_IDS,2,FALSE)*VLOOKUP($J146,PLAYERS_IDS,2,FALSE))</f>
        <v/>
      </c>
      <c r="N146" s="25">
        <f>IF(ISBLANK($E146)," ", COUNTIF($M$4:$M146,$M146))</f>
        <v/>
      </c>
      <c r="O146" s="25" t="n">
        <v>15</v>
      </c>
      <c r="P146" s="5">
        <f>IF(ISBLANK($F146),"",VLOOKUP($C146,PLAYERS_IDS,2,FALSE)*VLOOKUP($D146,PLAYERS_IDS,2,FALSE))</f>
        <v/>
      </c>
      <c r="Q146" s="5">
        <f>IF(ISBLANK($F146), "",VLOOKUP($F146,PLAYERS_IDS,2,FALSE)*VLOOKUP($G146,PLAYERS_IDS,2,FALSE))</f>
        <v/>
      </c>
      <c r="R146" s="5">
        <f>IFERROR((P146*100000)+Q146,"")</f>
        <v/>
      </c>
      <c r="T146" s="5" t="n">
        <v>1</v>
      </c>
      <c r="U146" s="27" t="inlineStr">
        <is>
          <t>Deepesh</t>
        </is>
      </c>
      <c r="V146" s="6" t="n">
        <v>11</v>
      </c>
    </row>
    <row r="147" ht="20.25" customHeight="1" s="106">
      <c r="A147" s="14" t="n">
        <v>46292</v>
      </c>
      <c r="B147" s="15" t="n">
        <v>143</v>
      </c>
      <c r="C147" s="22" t="inlineStr">
        <is>
          <t>Thomas</t>
        </is>
      </c>
      <c r="D147" s="15" t="inlineStr">
        <is>
          <t>Tousif</t>
        </is>
      </c>
      <c r="E147" s="3" t="n">
        <v>21</v>
      </c>
      <c r="F147" s="15" t="inlineStr">
        <is>
          <t>Rukhsar</t>
        </is>
      </c>
      <c r="G147" s="15" t="inlineStr">
        <is>
          <t>Mansoor</t>
        </is>
      </c>
      <c r="H147" s="24" t="n">
        <v>10</v>
      </c>
      <c r="I147" s="15" t="inlineStr">
        <is>
          <t>Thomas</t>
        </is>
      </c>
      <c r="J147" s="15" t="inlineStr">
        <is>
          <t>Tousif</t>
        </is>
      </c>
      <c r="K147" s="15" t="n">
        <v>2</v>
      </c>
      <c r="L147" s="15" t="n">
        <v>11</v>
      </c>
      <c r="M147" s="5">
        <f>IF(ISBLANK($E147),"",VLOOKUP($I147,PLAYERS_IDS,2,FALSE)*VLOOKUP($J147,PLAYERS_IDS,2,FALSE))</f>
        <v/>
      </c>
      <c r="N147" s="25">
        <f>IF(ISBLANK($E147)," ", COUNTIF($M$4:$M147,$M147))</f>
        <v/>
      </c>
      <c r="O147" s="25" t="n">
        <v>15</v>
      </c>
      <c r="P147" s="5">
        <f>IF(ISBLANK($F147),"",VLOOKUP($C147,PLAYERS_IDS,2,FALSE)*VLOOKUP($D147,PLAYERS_IDS,2,FALSE))</f>
        <v/>
      </c>
      <c r="Q147" s="5">
        <f>IF(ISBLANK($F147), "",VLOOKUP($F147,PLAYERS_IDS,2,FALSE)*VLOOKUP($G147,PLAYERS_IDS,2,FALSE))</f>
        <v/>
      </c>
      <c r="R147" s="5">
        <f>IFERROR((P147*100000)+Q147,"")</f>
        <v/>
      </c>
      <c r="T147" s="5" t="n">
        <v>2</v>
      </c>
      <c r="U147" s="27" t="inlineStr">
        <is>
          <t>Rukhsar</t>
        </is>
      </c>
      <c r="V147" s="6" t="n">
        <v>13</v>
      </c>
    </row>
    <row r="148" ht="20.25" customHeight="1" s="106">
      <c r="A148" s="14" t="n">
        <v>46292</v>
      </c>
      <c r="B148" s="15" t="n">
        <v>144</v>
      </c>
      <c r="C148" s="22" t="inlineStr">
        <is>
          <t>Thomas</t>
        </is>
      </c>
      <c r="D148" s="15" t="inlineStr">
        <is>
          <t>Faiyaz</t>
        </is>
      </c>
      <c r="E148" s="3" t="n">
        <v>19</v>
      </c>
      <c r="F148" s="15" t="inlineStr">
        <is>
          <t>Aahil</t>
        </is>
      </c>
      <c r="G148" s="15" t="inlineStr">
        <is>
          <t>Zaheer</t>
        </is>
      </c>
      <c r="H148" s="24" t="n">
        <v>15</v>
      </c>
      <c r="I148" s="15" t="inlineStr">
        <is>
          <t>Thomas</t>
        </is>
      </c>
      <c r="J148" s="15" t="inlineStr">
        <is>
          <t>Faiyaz</t>
        </is>
      </c>
      <c r="K148" s="15" t="n">
        <v>1</v>
      </c>
      <c r="L148" s="15" t="n">
        <v>4</v>
      </c>
      <c r="M148" s="5">
        <f>IF(ISBLANK($E148),"",VLOOKUP($I148,PLAYERS_IDS,2,FALSE)*VLOOKUP($J148,PLAYERS_IDS,2,FALSE))</f>
        <v/>
      </c>
      <c r="N148" s="25">
        <f>IF(ISBLANK($E148)," ", COUNTIF($M$4:$M148,$M148))</f>
        <v/>
      </c>
      <c r="O148" s="25" t="n">
        <v>15</v>
      </c>
      <c r="P148" s="5">
        <f>IF(ISBLANK($F148),"",VLOOKUP($C148,PLAYERS_IDS,2,FALSE)*VLOOKUP($D148,PLAYERS_IDS,2,FALSE))</f>
        <v/>
      </c>
      <c r="Q148" s="5">
        <f>IF(ISBLANK($F148), "",VLOOKUP($F148,PLAYERS_IDS,2,FALSE)*VLOOKUP($G148,PLAYERS_IDS,2,FALSE))</f>
        <v/>
      </c>
      <c r="R148" s="5">
        <f>IFERROR((P148*100000)+Q148,"")</f>
        <v/>
      </c>
      <c r="T148" s="5" t="n">
        <v>3</v>
      </c>
      <c r="U148" s="27" t="inlineStr">
        <is>
          <t>Faiyaz</t>
        </is>
      </c>
      <c r="V148" s="6" t="n">
        <v>17</v>
      </c>
    </row>
    <row r="149" ht="20.25" customHeight="1" s="106">
      <c r="A149" s="14" t="n">
        <v>46292</v>
      </c>
      <c r="B149" s="15" t="n">
        <v>145</v>
      </c>
      <c r="C149" s="22" t="inlineStr">
        <is>
          <t>Thomas</t>
        </is>
      </c>
      <c r="D149" s="15" t="inlineStr">
        <is>
          <t>Zaheer</t>
        </is>
      </c>
      <c r="E149" s="3" t="n">
        <v>22</v>
      </c>
      <c r="F149" s="15" t="inlineStr">
        <is>
          <t>Faiyaz</t>
        </is>
      </c>
      <c r="G149" s="15" t="inlineStr">
        <is>
          <t>Sandip</t>
        </is>
      </c>
      <c r="H149" s="24" t="n">
        <v>20</v>
      </c>
      <c r="I149" s="15" t="inlineStr">
        <is>
          <t>Thomas</t>
        </is>
      </c>
      <c r="J149" s="15" t="inlineStr">
        <is>
          <t>Zaheer</t>
        </is>
      </c>
      <c r="K149" s="15" t="n">
        <v>4</v>
      </c>
      <c r="L149" s="15" t="n">
        <v>2</v>
      </c>
      <c r="M149" s="5">
        <f>IF(ISBLANK($E149),"",VLOOKUP($I149,PLAYERS_IDS,2,FALSE)*VLOOKUP($J149,PLAYERS_IDS,2,FALSE))</f>
        <v/>
      </c>
      <c r="N149" s="25">
        <f>IF(ISBLANK($E149)," ", COUNTIF($M$4:$M149,$M149))</f>
        <v/>
      </c>
      <c r="O149" s="25" t="n">
        <v>15</v>
      </c>
      <c r="P149" s="5">
        <f>IF(ISBLANK($F149),"",VLOOKUP($C149,PLAYERS_IDS,2,FALSE)*VLOOKUP($D149,PLAYERS_IDS,2,FALSE))</f>
        <v/>
      </c>
      <c r="Q149" s="5">
        <f>IF(ISBLANK($F149), "",VLOOKUP($F149,PLAYERS_IDS,2,FALSE)*VLOOKUP($G149,PLAYERS_IDS,2,FALSE))</f>
        <v/>
      </c>
      <c r="R149" s="5">
        <f>IFERROR((P149*100000)+Q149,"")</f>
        <v/>
      </c>
      <c r="T149" s="5" t="n">
        <v>4</v>
      </c>
      <c r="U149" s="27" t="inlineStr">
        <is>
          <t>Santosh</t>
        </is>
      </c>
      <c r="V149" s="6" t="n">
        <v>19</v>
      </c>
    </row>
    <row r="150" ht="20.25" customHeight="1" s="106">
      <c r="A150" s="14" t="n">
        <v>46292</v>
      </c>
      <c r="B150" s="15" t="n">
        <v>146</v>
      </c>
      <c r="C150" s="22" t="inlineStr">
        <is>
          <t>Sandip</t>
        </is>
      </c>
      <c r="D150" s="15" t="inlineStr">
        <is>
          <t>Mansoor</t>
        </is>
      </c>
      <c r="E150" s="3" t="n">
        <v>21</v>
      </c>
      <c r="F150" s="15" t="inlineStr">
        <is>
          <t>Deepak</t>
        </is>
      </c>
      <c r="G150" s="15" t="inlineStr">
        <is>
          <t>Waqas</t>
        </is>
      </c>
      <c r="H150" s="24" t="n">
        <v>19</v>
      </c>
      <c r="I150" s="15" t="inlineStr">
        <is>
          <t>Sandip</t>
        </is>
      </c>
      <c r="J150" s="15" t="inlineStr">
        <is>
          <t>Mansoor</t>
        </is>
      </c>
      <c r="K150" s="15" t="n">
        <v>3</v>
      </c>
      <c r="L150" s="15" t="n">
        <v>2</v>
      </c>
      <c r="M150" s="5">
        <f>IF(ISBLANK($E150),"",VLOOKUP($I150,PLAYERS_IDS,2,FALSE)*VLOOKUP($J150,PLAYERS_IDS,2,FALSE))</f>
        <v/>
      </c>
      <c r="N150" s="25">
        <f>IF(ISBLANK($E150)," ", COUNTIF($M$4:$M150,$M150))</f>
        <v/>
      </c>
      <c r="O150" s="25" t="n">
        <v>15</v>
      </c>
      <c r="P150" s="5">
        <f>IF(ISBLANK($F150),"",VLOOKUP($C150,PLAYERS_IDS,2,FALSE)*VLOOKUP($D150,PLAYERS_IDS,2,FALSE))</f>
        <v/>
      </c>
      <c r="Q150" s="5">
        <f>IF(ISBLANK($F150), "",VLOOKUP($F150,PLAYERS_IDS,2,FALSE)*VLOOKUP($G150,PLAYERS_IDS,2,FALSE))</f>
        <v/>
      </c>
      <c r="R150" s="5">
        <f>IFERROR((P150*100000)+Q150,"")</f>
        <v/>
      </c>
      <c r="T150" s="5" t="n">
        <v>5</v>
      </c>
      <c r="U150" s="27" t="inlineStr">
        <is>
          <t>Sandip</t>
        </is>
      </c>
      <c r="V150" s="6" t="n">
        <v>23</v>
      </c>
    </row>
    <row r="151" ht="20.25" customHeight="1" s="106">
      <c r="A151" s="14" t="n"/>
      <c r="B151" s="15" t="n">
        <v>147</v>
      </c>
      <c r="C151" s="22" t="n"/>
      <c r="D151" s="15" t="n"/>
      <c r="E151" s="3" t="n"/>
      <c r="F151" s="15" t="n"/>
      <c r="G151" s="15" t="n"/>
      <c r="H151" s="24" t="n"/>
      <c r="I151" s="15">
        <f>IF(ISBLANK($E151)," ",IF($E151&gt;$H151,$C151,$F151))</f>
        <v/>
      </c>
      <c r="J151" s="15">
        <f>IF(ISBLANK($E151)," ",IF($E151&gt;$H151,$D151,$G151))</f>
        <v/>
      </c>
      <c r="K151" s="15" t="n"/>
      <c r="L151" s="15">
        <f>E151-H151</f>
        <v/>
      </c>
      <c r="M151" s="5">
        <f>IF(ISBLANK($E151),"",VLOOKUP($I151,PLAYERS_IDS,2,FALSE)*VLOOKUP($J151,PLAYERS_IDS,2,FALSE))</f>
        <v/>
      </c>
      <c r="N151" s="25">
        <f>IF(ISBLANK($E151)," ", COUNTIF($M$4:$M151,$M151))</f>
        <v/>
      </c>
      <c r="O151" s="25">
        <f>IF(N151 =" ", " ", IF(N151=1,15,(IF(N151=2,15,(IF(N151=3,15,15))))))</f>
        <v/>
      </c>
      <c r="P151" s="5">
        <f>IF(ISBLANK($F151),"",VLOOKUP($C151,PLAYERS_IDS,2,FALSE)*VLOOKUP($D151,PLAYERS_IDS,2,FALSE))</f>
        <v/>
      </c>
      <c r="Q151" s="5">
        <f>IF(ISBLANK($F151), "",VLOOKUP($F151,PLAYERS_IDS,2,FALSE)*VLOOKUP($G151,PLAYERS_IDS,2,FALSE))</f>
        <v/>
      </c>
      <c r="R151" s="5">
        <f>IFERROR((P151*100000)+Q151,"")</f>
        <v/>
      </c>
      <c r="T151" s="5" t="n">
        <v>6</v>
      </c>
      <c r="U151" s="27" t="inlineStr">
        <is>
          <t>Rahul J</t>
        </is>
      </c>
      <c r="V151" s="6" t="n">
        <v>29</v>
      </c>
    </row>
    <row r="152" ht="20.25" customHeight="1" s="106">
      <c r="A152" s="14" t="n"/>
      <c r="B152" s="15" t="n">
        <v>148</v>
      </c>
      <c r="C152" s="15" t="n"/>
      <c r="D152" s="15" t="n"/>
      <c r="E152" s="3" t="n"/>
      <c r="F152" s="15" t="n"/>
      <c r="G152" s="15" t="n"/>
      <c r="H152" s="16" t="n"/>
      <c r="I152" s="15">
        <f>IF(ISBLANK($E152)," ",IF($E152&gt;$H152,$C152,$F152))</f>
        <v/>
      </c>
      <c r="J152" s="15">
        <f>IF(ISBLANK($E152)," ",IF($E152&gt;$H152,$D152,$G152))</f>
        <v/>
      </c>
      <c r="K152" s="15" t="n"/>
      <c r="L152" s="15">
        <f>E152-H152</f>
        <v/>
      </c>
      <c r="M152" s="5">
        <f>IF(ISBLANK($E152),"",VLOOKUP($I152,PLAYERS_IDS,2,FALSE)*VLOOKUP($J152,PLAYERS_IDS,2,FALSE))</f>
        <v/>
      </c>
      <c r="N152" s="25">
        <f>IF(ISBLANK($E152)," ", COUNTIF($M$4:$M152,$M152))</f>
        <v/>
      </c>
      <c r="O152" s="25">
        <f>IF(N152 =" ", " ", IF(N152=1,15,(IF(N152=2,15,(IF(N152=3,15,15))))))</f>
        <v/>
      </c>
      <c r="P152" s="5">
        <f>IF(ISBLANK($F152),"",VLOOKUP($C152,PLAYERS_IDS,2,FALSE)*VLOOKUP($D152,PLAYERS_IDS,2,FALSE))</f>
        <v/>
      </c>
      <c r="Q152" s="5">
        <f>IF(ISBLANK($F152), "",VLOOKUP($F152,PLAYERS_IDS,2,FALSE)*VLOOKUP($G152,PLAYERS_IDS,2,FALSE))</f>
        <v/>
      </c>
      <c r="R152" s="5">
        <f>IFERROR((P152*100000)+Q152,"")</f>
        <v/>
      </c>
      <c r="T152" s="5" t="n">
        <v>7</v>
      </c>
      <c r="U152" s="27" t="inlineStr">
        <is>
          <t>Yogi</t>
        </is>
      </c>
      <c r="V152" s="6" t="n">
        <v>31</v>
      </c>
    </row>
    <row r="153" ht="20.25" customHeight="1" s="106">
      <c r="A153" s="14" t="n"/>
      <c r="B153" s="15" t="n">
        <v>149</v>
      </c>
      <c r="C153" s="22" t="n"/>
      <c r="D153" s="15" t="n"/>
      <c r="E153" s="16" t="n"/>
      <c r="F153" s="15" t="n"/>
      <c r="G153" s="15" t="n"/>
      <c r="H153" s="16" t="n"/>
      <c r="I153" s="15">
        <f>IF(ISBLANK($E153)," ",IF($E153&gt;$H153,$C153,$F153))</f>
        <v/>
      </c>
      <c r="J153" s="15">
        <f>IF(ISBLANK($E153)," ",IF($E153&gt;$H153,$D153,$G153))</f>
        <v/>
      </c>
      <c r="K153" s="15" t="n"/>
      <c r="L153" s="15">
        <f>E153-H153</f>
        <v/>
      </c>
      <c r="M153" s="5">
        <f>IF(ISBLANK($E153),"",VLOOKUP($I153,PLAYERS_IDS,2,FALSE)*VLOOKUP($J153,PLAYERS_IDS,2,FALSE))</f>
        <v/>
      </c>
      <c r="N153" s="25">
        <f>IF(ISBLANK($E153)," ", COUNTIF($M$4:$M153,$M153))</f>
        <v/>
      </c>
      <c r="O153" s="25">
        <f>IF(N153 =" ", " ", IF(N153=1,15,(IF(N153=2,15,(IF(N153=3,15,15))))))</f>
        <v/>
      </c>
      <c r="P153" s="5">
        <f>IF(ISBLANK($F153),"",VLOOKUP($C153,PLAYERS_IDS,2,FALSE)*VLOOKUP($D153,PLAYERS_IDS,2,FALSE))</f>
        <v/>
      </c>
      <c r="Q153" s="5">
        <f>IF(ISBLANK($F153), "",VLOOKUP($F153,PLAYERS_IDS,2,FALSE)*VLOOKUP($G153,PLAYERS_IDS,2,FALSE))</f>
        <v/>
      </c>
      <c r="R153" s="5">
        <f>IFERROR((P153*100000)+Q153,"")</f>
        <v/>
      </c>
      <c r="T153" s="5" t="n">
        <v>8</v>
      </c>
      <c r="U153" s="27" t="inlineStr">
        <is>
          <t>Zaheer</t>
        </is>
      </c>
      <c r="V153" s="6" t="n">
        <v>37</v>
      </c>
    </row>
    <row r="154" ht="20.25" customHeight="1" s="106">
      <c r="A154" s="14" t="n"/>
      <c r="B154" s="15" t="n">
        <v>150</v>
      </c>
      <c r="C154" s="22" t="n"/>
      <c r="D154" s="22" t="n"/>
      <c r="E154" s="16" t="n"/>
      <c r="F154" s="15" t="n"/>
      <c r="G154" s="15" t="n"/>
      <c r="H154" s="16" t="n"/>
      <c r="I154" s="15">
        <f>IF(ISBLANK($E154)," ",IF($E154&gt;$H154,$C154,$F154))</f>
        <v/>
      </c>
      <c r="J154" s="15">
        <f>IF(ISBLANK($E154)," ",IF($E154&gt;$H154,$D154,$G154))</f>
        <v/>
      </c>
      <c r="K154" s="15" t="n"/>
      <c r="L154" s="15">
        <f>E154-H154</f>
        <v/>
      </c>
      <c r="M154" s="5">
        <f>IF(ISBLANK($E154),"",VLOOKUP($I154,PLAYERS_IDS,2,FALSE)*VLOOKUP($J154,PLAYERS_IDS,2,FALSE))</f>
        <v/>
      </c>
      <c r="N154" s="25">
        <f>IF(ISBLANK($E154)," ", COUNTIF($M$4:$M154,$M154))</f>
        <v/>
      </c>
      <c r="O154" s="25">
        <f>IF(N154 =" ", " ", IF(N154=1,15,(IF(N154=2,15,(IF(N154=3,15,15))))))</f>
        <v/>
      </c>
      <c r="P154" s="5">
        <f>IF(ISBLANK($F154),"",VLOOKUP($C154,PLAYERS_IDS,2,FALSE)*VLOOKUP($D154,PLAYERS_IDS,2,FALSE))</f>
        <v/>
      </c>
      <c r="Q154" s="5">
        <f>IF(ISBLANK($F154), "",VLOOKUP($F154,PLAYERS_IDS,2,FALSE)*VLOOKUP($G154,PLAYERS_IDS,2,FALSE))</f>
        <v/>
      </c>
      <c r="R154" s="5">
        <f>IFERROR((P154*100000)+Q154,"")</f>
        <v/>
      </c>
      <c r="T154" s="5" t="n">
        <v>9</v>
      </c>
      <c r="U154" s="27" t="inlineStr">
        <is>
          <t>Altamash</t>
        </is>
      </c>
      <c r="V154" s="6" t="n">
        <v>83</v>
      </c>
    </row>
    <row r="155" ht="20.25" customHeight="1" s="106">
      <c r="A155" s="14" t="n"/>
      <c r="B155" s="15" t="n">
        <v>151</v>
      </c>
      <c r="C155" s="22" t="n"/>
      <c r="D155" s="22" t="n"/>
      <c r="E155" s="16" t="n"/>
      <c r="F155" s="15" t="n"/>
      <c r="G155" s="15" t="n"/>
      <c r="H155" s="16" t="n"/>
      <c r="I155" s="15">
        <f>IF(ISBLANK($E155)," ",IF($E155&gt;$H155,$C155,$F155))</f>
        <v/>
      </c>
      <c r="J155" s="15">
        <f>IF(ISBLANK($E155)," ",IF($E155&gt;$H155,$D155,$G155))</f>
        <v/>
      </c>
      <c r="K155" s="15" t="n"/>
      <c r="L155" s="15">
        <f>E155-H155</f>
        <v/>
      </c>
      <c r="M155" s="5">
        <f>IF(ISBLANK($E155),"",VLOOKUP($I155,PLAYERS_IDS,2,FALSE)*VLOOKUP($J155,PLAYERS_IDS,2,FALSE))</f>
        <v/>
      </c>
      <c r="N155" s="25">
        <f>IF(ISBLANK($E155)," ", COUNTIF($M$4:$M155,$M155))</f>
        <v/>
      </c>
      <c r="O155" s="25">
        <f>IF(N155 =" ", " ", IF(N155=1,15,(IF(N155=2,15,(IF(N155=3,15,15))))))</f>
        <v/>
      </c>
      <c r="P155" s="5">
        <f>IF(ISBLANK($F155),"",VLOOKUP($C155,PLAYERS_IDS,2,FALSE)*VLOOKUP($D155,PLAYERS_IDS,2,FALSE))</f>
        <v/>
      </c>
      <c r="Q155" s="5">
        <f>IF(ISBLANK($F155), "",VLOOKUP($F155,PLAYERS_IDS,2,FALSE)*VLOOKUP($G155,PLAYERS_IDS,2,FALSE))</f>
        <v/>
      </c>
      <c r="R155" s="5">
        <f>IFERROR((P155*100000)+Q155,"")</f>
        <v/>
      </c>
      <c r="T155" s="5" t="n">
        <v>10</v>
      </c>
      <c r="U155" s="27" t="inlineStr">
        <is>
          <t>Usman</t>
        </is>
      </c>
      <c r="V155" s="6" t="n">
        <v>89</v>
      </c>
    </row>
    <row r="156" ht="20.25" customHeight="1" s="106">
      <c r="A156" s="14" t="n"/>
      <c r="B156" s="15" t="n">
        <v>152</v>
      </c>
      <c r="C156" s="22" t="n"/>
      <c r="D156" s="22" t="n"/>
      <c r="E156" s="16" t="n"/>
      <c r="F156" s="15" t="n"/>
      <c r="G156" s="15" t="n"/>
      <c r="H156" s="16" t="n"/>
      <c r="I156" s="15">
        <f>IF(ISBLANK($E156)," ",IF($E156&gt;$H156,$C156,$F156))</f>
        <v/>
      </c>
      <c r="J156" s="15">
        <f>IF(ISBLANK($E156)," ",IF($E156&gt;$H156,$D156,$G156))</f>
        <v/>
      </c>
      <c r="K156" s="15" t="n"/>
      <c r="L156" s="15">
        <f>E156-H156</f>
        <v/>
      </c>
      <c r="M156" s="5">
        <f>IF(ISBLANK($E156),"",VLOOKUP($I156,PLAYERS_IDS,2,FALSE)*VLOOKUP($J156,PLAYERS_IDS,2,FALSE))</f>
        <v/>
      </c>
      <c r="N156" s="25">
        <f>IF(ISBLANK($E156)," ", COUNTIF($M$4:$M156,$M156))</f>
        <v/>
      </c>
      <c r="O156" s="25">
        <f>IF(N156 =" ", " ", IF(N156=1,15,(IF(N156=2,15,(IF(N156=3,15,15))))))</f>
        <v/>
      </c>
      <c r="P156" s="5">
        <f>IF(ISBLANK($F156),"",VLOOKUP($C156,PLAYERS_IDS,2,FALSE)*VLOOKUP($D156,PLAYERS_IDS,2,FALSE))</f>
        <v/>
      </c>
      <c r="Q156" s="5">
        <f>IF(ISBLANK($F156), "",VLOOKUP($F156,PLAYERS_IDS,2,FALSE)*VLOOKUP($G156,PLAYERS_IDS,2,FALSE))</f>
        <v/>
      </c>
      <c r="R156" s="5">
        <f>IFERROR((P156*100000)+Q156,"")</f>
        <v/>
      </c>
      <c r="T156" s="38" t="n">
        <v>11</v>
      </c>
      <c r="U156" s="27" t="inlineStr">
        <is>
          <t>Rahul B</t>
        </is>
      </c>
      <c r="V156" s="6" t="n">
        <v>97</v>
      </c>
    </row>
    <row r="157" ht="20.25" customHeight="1" s="106">
      <c r="A157" s="14" t="n"/>
      <c r="B157" s="15" t="n">
        <v>153</v>
      </c>
      <c r="C157" s="22" t="n"/>
      <c r="D157" s="22" t="n"/>
      <c r="E157" s="16" t="n"/>
      <c r="F157" s="15" t="n"/>
      <c r="G157" s="15" t="n"/>
      <c r="H157" s="16" t="n"/>
      <c r="I157" s="15">
        <f>IF(ISBLANK($E157)," ",IF($E157&gt;$H157,$C157,$F157))</f>
        <v/>
      </c>
      <c r="J157" s="15">
        <f>IF(ISBLANK($E157)," ",IF($E157&gt;$H157,$D157,$G157))</f>
        <v/>
      </c>
      <c r="K157" s="15" t="n"/>
      <c r="L157" s="15">
        <f>E157-H157</f>
        <v/>
      </c>
      <c r="M157" s="5">
        <f>IF(ISBLANK($E157),"",VLOOKUP($I157,PLAYERS_IDS,2,FALSE)*VLOOKUP($J157,PLAYERS_IDS,2,FALSE))</f>
        <v/>
      </c>
      <c r="N157" s="25">
        <f>IF(ISBLANK($E157)," ", COUNTIF($M$4:$M157,$M157))</f>
        <v/>
      </c>
      <c r="O157" s="25">
        <f>IF(N157 =" ", " ", IF(N157=1,15,(IF(N157=2,15,(IF(N157=3,15,15))))))</f>
        <v/>
      </c>
      <c r="P157" s="5">
        <f>IF(ISBLANK($F157),"",VLOOKUP($C157,PLAYERS_IDS,2,FALSE)*VLOOKUP($D157,PLAYERS_IDS,2,FALSE))</f>
        <v/>
      </c>
      <c r="Q157" s="5">
        <f>IF(ISBLANK($F157), "",VLOOKUP($F157,PLAYERS_IDS,2,FALSE)*VLOOKUP($G157,PLAYERS_IDS,2,FALSE))</f>
        <v/>
      </c>
      <c r="R157" s="5">
        <f>IFERROR((P157*100000)+Q157,"")</f>
        <v/>
      </c>
      <c r="T157" s="38" t="n">
        <v>12</v>
      </c>
      <c r="U157" s="27" t="inlineStr">
        <is>
          <t>Jalal</t>
        </is>
      </c>
      <c r="V157" s="6" t="n">
        <v>109</v>
      </c>
    </row>
    <row r="158" ht="20.25" customHeight="1" s="106">
      <c r="A158" s="14" t="n"/>
      <c r="B158" s="15" t="n">
        <v>154</v>
      </c>
      <c r="C158" s="22" t="n"/>
      <c r="D158" s="22" t="n"/>
      <c r="E158" s="16" t="n"/>
      <c r="F158" s="15" t="n"/>
      <c r="G158" s="15" t="n"/>
      <c r="H158" s="16" t="n"/>
      <c r="I158" s="15">
        <f>IF(ISBLANK($E158)," ",IF($E158&gt;$H158,$C158,$F158))</f>
        <v/>
      </c>
      <c r="J158" s="15">
        <f>IF(ISBLANK($E158)," ",IF($E158&gt;$H158,$D158,$G158))</f>
        <v/>
      </c>
      <c r="K158" s="15" t="n"/>
      <c r="L158" s="15">
        <f>E158-H158</f>
        <v/>
      </c>
      <c r="M158" s="5">
        <f>IF(ISBLANK($E158),"",VLOOKUP($I158,PLAYERS_IDS,2,FALSE)*VLOOKUP($J158,PLAYERS_IDS,2,FALSE))</f>
        <v/>
      </c>
      <c r="N158" s="25">
        <f>IF(ISBLANK($E158)," ", COUNTIF($M$4:$M158,$M158))</f>
        <v/>
      </c>
      <c r="O158" s="25">
        <f>IF(N158 =" ", " ", IF(N158=1,15,(IF(N158=2,15,(IF(N158=3,15,15))))))</f>
        <v/>
      </c>
      <c r="P158" s="5">
        <f>IF(ISBLANK($F158),"",VLOOKUP($C158,PLAYERS_IDS,2,FALSE)*VLOOKUP($D158,PLAYERS_IDS,2,FALSE))</f>
        <v/>
      </c>
      <c r="Q158" s="5">
        <f>IF(ISBLANK($F158), "",VLOOKUP($F158,PLAYERS_IDS,2,FALSE)*VLOOKUP($G158,PLAYERS_IDS,2,FALSE))</f>
        <v/>
      </c>
      <c r="R158" s="5">
        <f>IFERROR((P158*100000)+Q158,"")</f>
        <v/>
      </c>
      <c r="T158" s="38" t="n">
        <v>13</v>
      </c>
      <c r="U158" s="27" t="inlineStr">
        <is>
          <t>Ken</t>
        </is>
      </c>
      <c r="V158" s="6" t="n">
        <v>127</v>
      </c>
    </row>
    <row r="159" ht="20.25" customHeight="1" s="106">
      <c r="A159" s="14" t="n"/>
      <c r="B159" s="15" t="n">
        <v>155</v>
      </c>
      <c r="C159" s="22" t="n"/>
      <c r="D159" s="22" t="n"/>
      <c r="E159" s="16" t="n"/>
      <c r="F159" s="15" t="n"/>
      <c r="G159" s="15" t="n"/>
      <c r="H159" s="16" t="n"/>
      <c r="I159" s="15">
        <f>IF(ISBLANK($E159)," ",IF($E159&gt;$H159,$C159,$F159))</f>
        <v/>
      </c>
      <c r="J159" s="15">
        <f>IF(ISBLANK($E159)," ",IF($E159&gt;$H159,$D159,$G159))</f>
        <v/>
      </c>
      <c r="K159" s="15" t="n"/>
      <c r="L159" s="15">
        <f>E159-H159</f>
        <v/>
      </c>
      <c r="M159" s="5">
        <f>IF(ISBLANK($E159),"",VLOOKUP($I159,PLAYERS_IDS,2,FALSE)*VLOOKUP($J159,PLAYERS_IDS,2,FALSE))</f>
        <v/>
      </c>
      <c r="N159" s="25">
        <f>IF(ISBLANK($E159)," ", COUNTIF($M$4:$M159,$M159))</f>
        <v/>
      </c>
      <c r="O159" s="25">
        <f>IF(N159 =" ", " ", IF(N159=1,15,(IF(N159=2,15,(IF(N159=3,15,15))))))</f>
        <v/>
      </c>
      <c r="P159" s="5">
        <f>IF(ISBLANK($F159),"",VLOOKUP($C159,PLAYERS_IDS,2,FALSE)*VLOOKUP($D159,PLAYERS_IDS,2,FALSE))</f>
        <v/>
      </c>
      <c r="Q159" s="5">
        <f>IF(ISBLANK($F159), "",VLOOKUP($F159,PLAYERS_IDS,2,FALSE)*VLOOKUP($G159,PLAYERS_IDS,2,FALSE))</f>
        <v/>
      </c>
      <c r="R159" s="5">
        <f>IFERROR((P159*100000)+Q159,"")</f>
        <v/>
      </c>
      <c r="T159" s="38" t="n">
        <v>14</v>
      </c>
      <c r="U159" s="27" t="inlineStr">
        <is>
          <t>Thomas</t>
        </is>
      </c>
      <c r="V159" s="6" t="n">
        <v>103</v>
      </c>
    </row>
    <row r="160" ht="20.25" customHeight="1" s="106">
      <c r="A160" s="14" t="n"/>
      <c r="B160" s="15" t="n">
        <v>156</v>
      </c>
      <c r="C160" s="22" t="n"/>
      <c r="D160" s="22" t="n"/>
      <c r="E160" s="16" t="n"/>
      <c r="F160" s="15" t="n"/>
      <c r="G160" s="15" t="n"/>
      <c r="H160" s="16" t="n"/>
      <c r="I160" s="15">
        <f>IF(ISBLANK($E160)," ",IF($E160&gt;$H160,$C160,$F160))</f>
        <v/>
      </c>
      <c r="J160" s="15">
        <f>IF(ISBLANK($E160)," ",IF($E160&gt;$H160,$D160,$G160))</f>
        <v/>
      </c>
      <c r="K160" s="15" t="n"/>
      <c r="L160" s="15">
        <f>E160-H160</f>
        <v/>
      </c>
      <c r="M160" s="5">
        <f>IF(ISBLANK($E160),"",VLOOKUP($I160,PLAYERS_IDS,2,FALSE)*VLOOKUP($J160,PLAYERS_IDS,2,FALSE))</f>
        <v/>
      </c>
      <c r="N160" s="25">
        <f>IF(ISBLANK($E160)," ", COUNTIF($M$4:$M160,$M160))</f>
        <v/>
      </c>
      <c r="O160" s="25">
        <f>IF(N160 =" ", " ", IF(N160=1,15,(IF(N160=2,15,(IF(N160=3,15,15))))))</f>
        <v/>
      </c>
      <c r="P160" s="5">
        <f>IF(ISBLANK($F160),"",VLOOKUP($C160,PLAYERS_IDS,2,FALSE)*VLOOKUP($D160,PLAYERS_IDS,2,FALSE))</f>
        <v/>
      </c>
      <c r="Q160" s="5">
        <f>IF(ISBLANK($F160), "",VLOOKUP($F160,PLAYERS_IDS,2,FALSE)*VLOOKUP($G160,PLAYERS_IDS,2,FALSE))</f>
        <v/>
      </c>
      <c r="R160" s="5">
        <f>IFERROR((P160*100000)+Q160,"")</f>
        <v/>
      </c>
      <c r="T160" s="38" t="n">
        <v>15</v>
      </c>
      <c r="U160" s="27" t="inlineStr">
        <is>
          <t>Farooq</t>
        </is>
      </c>
      <c r="V160" s="6" t="n">
        <v>143</v>
      </c>
    </row>
    <row r="161" ht="20.25" customHeight="1" s="106">
      <c r="A161" s="14" t="n"/>
      <c r="B161" s="15" t="n">
        <v>157</v>
      </c>
      <c r="C161" s="22" t="n"/>
      <c r="D161" s="22" t="n"/>
      <c r="E161" s="16" t="n"/>
      <c r="F161" s="15" t="n"/>
      <c r="G161" s="15" t="n"/>
      <c r="H161" s="16" t="n"/>
      <c r="I161" s="15">
        <f>IF(ISBLANK($E161)," ",IF($E161&gt;$H161,$C161,$F161))</f>
        <v/>
      </c>
      <c r="J161" s="15">
        <f>IF(ISBLANK($E161)," ",IF($E161&gt;$H161,$D161,$G161))</f>
        <v/>
      </c>
      <c r="K161" s="15" t="n"/>
      <c r="L161" s="15">
        <f>E161-H161</f>
        <v/>
      </c>
      <c r="M161" s="5">
        <f>IF(ISBLANK($E161),"",VLOOKUP($I161,PLAYERS_IDS,2,FALSE)*VLOOKUP($J161,PLAYERS_IDS,2,FALSE))</f>
        <v/>
      </c>
      <c r="N161" s="25">
        <f>IF(ISBLANK($E161)," ", COUNTIF($M$4:$M161,$M161))</f>
        <v/>
      </c>
      <c r="O161" s="25">
        <f>IF(N161 =" ", " ", IF(N161=1,15,(IF(N161=2,15,(IF(N161=3,15,15))))))</f>
        <v/>
      </c>
      <c r="P161" s="5">
        <f>IF(ISBLANK($F161),"",VLOOKUP($C161,PLAYERS_IDS,2,FALSE)*VLOOKUP($D161,PLAYERS_IDS,2,FALSE))</f>
        <v/>
      </c>
      <c r="Q161" s="5">
        <f>IF(ISBLANK($F161), "",VLOOKUP($F161,PLAYERS_IDS,2,FALSE)*VLOOKUP($G161,PLAYERS_IDS,2,FALSE))</f>
        <v/>
      </c>
      <c r="R161" s="5">
        <f>IFERROR((P161*100000)+Q161,"")</f>
        <v/>
      </c>
      <c r="T161" s="38" t="n">
        <v>16</v>
      </c>
      <c r="U161" s="27" t="inlineStr">
        <is>
          <t>Farooq A</t>
        </is>
      </c>
      <c r="V161" s="6" t="n">
        <v>171</v>
      </c>
    </row>
    <row r="162" ht="20.25" customHeight="1" s="106">
      <c r="A162" s="14" t="n"/>
      <c r="B162" s="15" t="n">
        <v>158</v>
      </c>
      <c r="C162" s="22" t="n"/>
      <c r="D162" s="22" t="n"/>
      <c r="E162" s="16" t="n"/>
      <c r="F162" s="15" t="n"/>
      <c r="G162" s="15" t="n"/>
      <c r="H162" s="16" t="n"/>
      <c r="I162" s="15">
        <f>IF(ISBLANK($E162)," ",IF($E162&gt;$H162,$C162,$F162))</f>
        <v/>
      </c>
      <c r="J162" s="15">
        <f>IF(ISBLANK($E162)," ",IF($E162&gt;$H162,$D162,$G162))</f>
        <v/>
      </c>
      <c r="K162" s="15" t="n"/>
      <c r="L162" s="15">
        <f>E162-H162</f>
        <v/>
      </c>
      <c r="M162" s="5">
        <f>IF(ISBLANK($E162),"",VLOOKUP($I162,PLAYERS_IDS,2,FALSE)*VLOOKUP($J162,PLAYERS_IDS,2,FALSE))</f>
        <v/>
      </c>
      <c r="N162" s="25">
        <f>IF(ISBLANK($E162)," ", COUNTIF($M$4:$M162,$M162))</f>
        <v/>
      </c>
      <c r="O162" s="25">
        <f>IF(N162 =" ", " ", IF(N162=1,15,(IF(N162=2,15,(IF(N162=3,15,15))))))</f>
        <v/>
      </c>
      <c r="P162" s="5">
        <f>IF(ISBLANK($F162),"",VLOOKUP($C162,PLAYERS_IDS,2,FALSE)*VLOOKUP($D162,PLAYERS_IDS,2,FALSE))</f>
        <v/>
      </c>
      <c r="Q162" s="5">
        <f>IF(ISBLANK($F162), "",VLOOKUP($F162,PLAYERS_IDS,2,FALSE)*VLOOKUP($G162,PLAYERS_IDS,2,FALSE))</f>
        <v/>
      </c>
      <c r="R162" s="5">
        <f>IFERROR((P162*100000)+Q162,"")</f>
        <v/>
      </c>
      <c r="T162" s="38" t="n">
        <v>17</v>
      </c>
      <c r="U162" s="27" t="inlineStr">
        <is>
          <t>Ammar</t>
        </is>
      </c>
      <c r="V162" s="6" t="n">
        <v>179</v>
      </c>
    </row>
    <row r="163" ht="20.25" customHeight="1" s="106">
      <c r="A163" s="14" t="n"/>
      <c r="B163" s="15" t="n">
        <v>159</v>
      </c>
      <c r="C163" s="22" t="n"/>
      <c r="D163" s="22" t="n"/>
      <c r="E163" s="16" t="n"/>
      <c r="F163" s="15" t="n"/>
      <c r="G163" s="15" t="n"/>
      <c r="H163" s="16" t="n"/>
      <c r="I163" s="15">
        <f>IF(ISBLANK($E163)," ",IF($E163&gt;$H163,$C163,$F163))</f>
        <v/>
      </c>
      <c r="J163" s="15">
        <f>IF(ISBLANK($E163)," ",IF($E163&gt;$H163,$D163,$G163))</f>
        <v/>
      </c>
      <c r="K163" s="15" t="n"/>
      <c r="L163" s="15">
        <f>E163-H163</f>
        <v/>
      </c>
      <c r="M163" s="5">
        <f>IF(ISBLANK($E163),"",VLOOKUP($I163,PLAYERS_IDS,2,FALSE)*VLOOKUP($J163,PLAYERS_IDS,2,FALSE))</f>
        <v/>
      </c>
      <c r="N163" s="25">
        <f>IF(ISBLANK($E163)," ", COUNTIF($M$4:$M163,$M163))</f>
        <v/>
      </c>
      <c r="O163" s="25">
        <f>IF(N163 =" ", " ", IF(N163=1,15,(IF(N163=2,15,(IF(N163=3,15,15))))))</f>
        <v/>
      </c>
      <c r="P163" s="5">
        <f>IF(ISBLANK($F163),"",VLOOKUP($C163,PLAYERS_IDS,2,FALSE)*VLOOKUP($D163,PLAYERS_IDS,2,FALSE))</f>
        <v/>
      </c>
      <c r="Q163" s="5">
        <f>IF(ISBLANK($F163), "",VLOOKUP($F163,PLAYERS_IDS,2,FALSE)*VLOOKUP($G163,PLAYERS_IDS,2,FALSE))</f>
        <v/>
      </c>
      <c r="R163" s="5">
        <f>IFERROR((P163*100000)+Q163,"")</f>
        <v/>
      </c>
      <c r="T163" s="38" t="n">
        <v>18</v>
      </c>
      <c r="U163" s="27" t="inlineStr">
        <is>
          <t>Shoaib</t>
        </is>
      </c>
      <c r="V163" s="6" t="n">
        <v>163</v>
      </c>
    </row>
    <row r="164" ht="20.25" customHeight="1" s="106">
      <c r="A164" s="14" t="n"/>
      <c r="B164" s="15" t="n">
        <v>160</v>
      </c>
      <c r="C164" s="22" t="n"/>
      <c r="D164" s="22" t="n"/>
      <c r="E164" s="16" t="n"/>
      <c r="F164" s="15" t="n"/>
      <c r="G164" s="15" t="n"/>
      <c r="H164" s="16" t="n"/>
      <c r="I164" s="15">
        <f>IF(ISBLANK($E164)," ",IF($E164&gt;$H164,$C164,$F164))</f>
        <v/>
      </c>
      <c r="J164" s="15">
        <f>IF(ISBLANK($E164)," ",IF($E164&gt;$H164,$D164,$G164))</f>
        <v/>
      </c>
      <c r="K164" s="15" t="n"/>
      <c r="L164" s="15">
        <f>E164-H164</f>
        <v/>
      </c>
      <c r="M164" s="5">
        <f>IF(ISBLANK($E164),"",VLOOKUP($I164,PLAYERS_IDS,2,FALSE)*VLOOKUP($J164,PLAYERS_IDS,2,FALSE))</f>
        <v/>
      </c>
      <c r="N164" s="25">
        <f>IF(ISBLANK($E164)," ", COUNTIF($M$4:$M164,$M164))</f>
        <v/>
      </c>
      <c r="O164" s="25">
        <f>IF(N164 =" ", " ", IF(N164=1,15,(IF(N164=2,15,(IF(N164=3,15,15))))))</f>
        <v/>
      </c>
      <c r="P164" s="5">
        <f>IF(ISBLANK($F164),"",VLOOKUP($C164,PLAYERS_IDS,2,FALSE)*VLOOKUP($D164,PLAYERS_IDS,2,FALSE))</f>
        <v/>
      </c>
      <c r="Q164" s="5">
        <f>IF(ISBLANK($F164), "",VLOOKUP($F164,PLAYERS_IDS,2,FALSE)*VLOOKUP($G164,PLAYERS_IDS,2,FALSE))</f>
        <v/>
      </c>
      <c r="R164" s="5">
        <f>IFERROR((P164*100000)+Q164,"")</f>
        <v/>
      </c>
      <c r="U164" s="7" t="n"/>
      <c r="V164" s="7" t="n"/>
    </row>
    <row r="165" ht="20.25" customHeight="1" s="106">
      <c r="A165" s="14" t="n"/>
      <c r="B165" s="15" t="n">
        <v>161</v>
      </c>
      <c r="C165" s="22" t="n"/>
      <c r="D165" s="22" t="n"/>
      <c r="E165" s="16" t="n"/>
      <c r="F165" s="15" t="n"/>
      <c r="G165" s="15" t="n"/>
      <c r="H165" s="16" t="n"/>
      <c r="I165" s="15">
        <f>IF(ISBLANK($E165)," ",IF($E165&gt;$H165,$C165,$F165))</f>
        <v/>
      </c>
      <c r="J165" s="15">
        <f>IF(ISBLANK($E165)," ",IF($E165&gt;$H165,$D165,$G165))</f>
        <v/>
      </c>
      <c r="K165" s="15" t="n"/>
      <c r="L165" s="15">
        <f>E165-H165</f>
        <v/>
      </c>
      <c r="M165" s="5">
        <f>IF(ISBLANK($E165),"",VLOOKUP($I165,PLAYERS_IDS,2,FALSE)*VLOOKUP($J165,PLAYERS_IDS,2,FALSE))</f>
        <v/>
      </c>
      <c r="N165" s="25">
        <f>IF(ISBLANK($E165)," ", COUNTIF($M$4:$M165,$M165))</f>
        <v/>
      </c>
      <c r="O165" s="25">
        <f>IF(N165 =" ", " ", IF(N165=1,15,(IF(N165=2,15,(IF(N165=3,15,15))))))</f>
        <v/>
      </c>
      <c r="P165" s="5">
        <f>IF(ISBLANK($F165),"",VLOOKUP($C165,PLAYERS_IDS,2,FALSE)*VLOOKUP($D165,PLAYERS_IDS,2,FALSE))</f>
        <v/>
      </c>
      <c r="Q165" s="5">
        <f>IF(ISBLANK($F165), "",VLOOKUP($F165,PLAYERS_IDS,2,FALSE)*VLOOKUP($G165,PLAYERS_IDS,2,FALSE))</f>
        <v/>
      </c>
      <c r="R165" s="5">
        <f>IFERROR((P165*100000)+Q165,"")</f>
        <v/>
      </c>
    </row>
    <row r="166" ht="20.25" customHeight="1" s="106">
      <c r="A166" s="14" t="n"/>
      <c r="B166" s="15" t="n">
        <v>162</v>
      </c>
      <c r="C166" s="22" t="n"/>
      <c r="D166" s="22" t="n"/>
      <c r="E166" s="16" t="n"/>
      <c r="F166" s="15" t="n"/>
      <c r="G166" s="15" t="n"/>
      <c r="H166" s="16" t="n"/>
      <c r="I166" s="15">
        <f>IF(ISBLANK($E166)," ",IF($E166&gt;$H166,$C166,$F166))</f>
        <v/>
      </c>
      <c r="J166" s="15">
        <f>IF(ISBLANK($E166)," ",IF($E166&gt;$H166,$D166,$G166))</f>
        <v/>
      </c>
      <c r="K166" s="15" t="n"/>
      <c r="L166" s="15">
        <f>E166-H166</f>
        <v/>
      </c>
      <c r="M166" s="5">
        <f>IF(ISBLANK($E166),"",VLOOKUP($I166,PLAYERS_IDS,2,FALSE)*VLOOKUP($J166,PLAYERS_IDS,2,FALSE))</f>
        <v/>
      </c>
      <c r="N166" s="25">
        <f>IF(ISBLANK($E166)," ", COUNTIF($M$4:$M166,$M166))</f>
        <v/>
      </c>
      <c r="O166" s="25">
        <f>IF(N166 =" ", " ", IF(N166=1,15,(IF(N166=2,15,(IF(N166=3,15,15))))))</f>
        <v/>
      </c>
      <c r="P166" s="5">
        <f>IF(ISBLANK($F166),"",VLOOKUP($C166,PLAYERS_IDS,2,FALSE)*VLOOKUP($D166,PLAYERS_IDS,2,FALSE))</f>
        <v/>
      </c>
      <c r="Q166" s="5">
        <f>IF(ISBLANK($F166), "",VLOOKUP($F166,PLAYERS_IDS,2,FALSE)*VLOOKUP($G166,PLAYERS_IDS,2,FALSE))</f>
        <v/>
      </c>
      <c r="R166" s="5">
        <f>IFERROR((P166*100000)+Q166,"")</f>
        <v/>
      </c>
      <c r="T166" s="5" t="n"/>
      <c r="U166" s="30" t="inlineStr">
        <is>
          <t>Group B</t>
        </is>
      </c>
      <c r="V166" s="8" t="inlineStr">
        <is>
          <t>ID</t>
        </is>
      </c>
    </row>
    <row r="167" ht="20.25" customHeight="1" s="106">
      <c r="A167" s="14" t="n"/>
      <c r="B167" s="15" t="n">
        <v>163</v>
      </c>
      <c r="C167" s="22" t="n"/>
      <c r="D167" s="22" t="n"/>
      <c r="E167" s="16" t="n"/>
      <c r="F167" s="15" t="n"/>
      <c r="G167" s="15" t="n"/>
      <c r="H167" s="16" t="n"/>
      <c r="I167" s="15">
        <f>IF(ISBLANK($E167)," ",IF($E167&gt;$H167,$C167,$F167))</f>
        <v/>
      </c>
      <c r="J167" s="15">
        <f>IF(ISBLANK($E167)," ",IF($E167&gt;$H167,$D167,$G167))</f>
        <v/>
      </c>
      <c r="K167" s="15" t="n"/>
      <c r="L167" s="15">
        <f>E167-H167</f>
        <v/>
      </c>
      <c r="M167" s="5">
        <f>IF(ISBLANK($E167),"",VLOOKUP($I167,PLAYERS_IDS,2,FALSE)*VLOOKUP($J167,PLAYERS_IDS,2,FALSE))</f>
        <v/>
      </c>
      <c r="N167" s="25">
        <f>IF(ISBLANK($E167)," ", COUNTIF($M$4:$M167,$M167))</f>
        <v/>
      </c>
      <c r="O167" s="25">
        <f>IF(N167 =" ", " ", IF(N167=1,15,(IF(N167=2,15,(IF(N167=3,15,15))))))</f>
        <v/>
      </c>
      <c r="P167" s="5">
        <f>IF(ISBLANK($F167),"",VLOOKUP($C167,PLAYERS_IDS,2,FALSE)*VLOOKUP($D167,PLAYERS_IDS,2,FALSE))</f>
        <v/>
      </c>
      <c r="Q167" s="5">
        <f>IF(ISBLANK($F167), "",VLOOKUP($F167,PLAYERS_IDS,2,FALSE)*VLOOKUP($G167,PLAYERS_IDS,2,FALSE))</f>
        <v/>
      </c>
      <c r="R167" s="5">
        <f>IFERROR((P167*100000)+Q167,"")</f>
        <v/>
      </c>
      <c r="T167" s="5" t="n">
        <v>18</v>
      </c>
      <c r="U167" s="31" t="inlineStr">
        <is>
          <t>Nawaz</t>
        </is>
      </c>
      <c r="V167" s="6" t="n">
        <v>41</v>
      </c>
    </row>
    <row r="168" ht="20.25" customHeight="1" s="106">
      <c r="A168" s="14" t="n"/>
      <c r="B168" s="15" t="n">
        <v>164</v>
      </c>
      <c r="C168" s="22" t="n"/>
      <c r="D168" s="22" t="n"/>
      <c r="E168" s="16" t="n"/>
      <c r="F168" s="15" t="n"/>
      <c r="G168" s="15" t="n"/>
      <c r="H168" s="16" t="n"/>
      <c r="I168" s="15">
        <f>IF(ISBLANK($E168)," ",IF($E168&gt;$H168,$C168,$F168))</f>
        <v/>
      </c>
      <c r="J168" s="15">
        <f>IF(ISBLANK($E168)," ",IF($E168&gt;$H168,$D168,$G168))</f>
        <v/>
      </c>
      <c r="K168" s="15" t="n"/>
      <c r="L168" s="15">
        <f>E168-H168</f>
        <v/>
      </c>
      <c r="M168" s="5">
        <f>IF(ISBLANK($E168),"",VLOOKUP($I168,PLAYERS_IDS,2,FALSE)*VLOOKUP($J168,PLAYERS_IDS,2,FALSE))</f>
        <v/>
      </c>
      <c r="N168" s="25">
        <f>IF(ISBLANK($E168)," ", COUNTIF($M$4:$M168,$M168))</f>
        <v/>
      </c>
      <c r="O168" s="25">
        <f>IF(N168 =" ", " ", IF(N168=1,15,(IF(N168=2,15,(IF(N168=3,15,15))))))</f>
        <v/>
      </c>
      <c r="P168" s="5">
        <f>IF(ISBLANK($F168),"",VLOOKUP($C168,PLAYERS_IDS,2,FALSE)*VLOOKUP($D168,PLAYERS_IDS,2,FALSE))</f>
        <v/>
      </c>
      <c r="Q168" s="5">
        <f>IF(ISBLANK($F168), "",VLOOKUP($F168,PLAYERS_IDS,2,FALSE)*VLOOKUP($G168,PLAYERS_IDS,2,FALSE))</f>
        <v/>
      </c>
      <c r="R168" s="5">
        <f>IFERROR((P168*100000)+Q168,"")</f>
        <v/>
      </c>
      <c r="T168" s="5" t="n">
        <v>19</v>
      </c>
      <c r="U168" s="31" t="inlineStr">
        <is>
          <t>Asim</t>
        </is>
      </c>
      <c r="V168" s="6" t="n">
        <v>43</v>
      </c>
    </row>
    <row r="169" ht="20.25" customHeight="1" s="106">
      <c r="A169" s="14" t="n"/>
      <c r="B169" s="15" t="n">
        <v>165</v>
      </c>
      <c r="C169" s="22" t="n"/>
      <c r="D169" s="22" t="n"/>
      <c r="E169" s="16" t="n"/>
      <c r="F169" s="15" t="n"/>
      <c r="G169" s="15" t="n"/>
      <c r="H169" s="16" t="n"/>
      <c r="I169" s="15">
        <f>IF(ISBLANK($E169)," ",IF($E169&gt;$H169,$C169,$F169))</f>
        <v/>
      </c>
      <c r="J169" s="15">
        <f>IF(ISBLANK($E169)," ",IF($E169&gt;$H169,$D169,$G169))</f>
        <v/>
      </c>
      <c r="K169" s="15" t="n"/>
      <c r="L169" s="15">
        <f>E169-H169</f>
        <v/>
      </c>
      <c r="M169" s="5">
        <f>IF(ISBLANK($E169),"",VLOOKUP($I169,PLAYERS_IDS,2,FALSE)*VLOOKUP($J169,PLAYERS_IDS,2,FALSE))</f>
        <v/>
      </c>
      <c r="N169" s="25">
        <f>IF(ISBLANK($E169)," ", COUNTIF($M$4:$M169,$M169))</f>
        <v/>
      </c>
      <c r="O169" s="25">
        <f>IF(N169 =" ", " ", IF(N169=1,15,(IF(N169=2,15,(IF(N169=3,15,15))))))</f>
        <v/>
      </c>
      <c r="P169" s="5">
        <f>IF(ISBLANK($F169),"",VLOOKUP($C169,PLAYERS_IDS,2,FALSE)*VLOOKUP($D169,PLAYERS_IDS,2,FALSE))</f>
        <v/>
      </c>
      <c r="Q169" s="5">
        <f>IF(ISBLANK($F169), "",VLOOKUP($F169,PLAYERS_IDS,2,FALSE)*VLOOKUP($G169,PLAYERS_IDS,2,FALSE))</f>
        <v/>
      </c>
      <c r="R169" s="5">
        <f>IFERROR((P169*100000)+Q169,"")</f>
        <v/>
      </c>
      <c r="T169" s="5" t="n">
        <v>20</v>
      </c>
      <c r="U169" s="31" t="inlineStr">
        <is>
          <t>Vasu</t>
        </is>
      </c>
      <c r="V169" s="6" t="n">
        <v>47</v>
      </c>
    </row>
    <row r="170" ht="20.25" customHeight="1" s="106">
      <c r="A170" s="14" t="n"/>
      <c r="B170" s="15" t="n">
        <v>166</v>
      </c>
      <c r="C170" s="22" t="n"/>
      <c r="D170" s="22" t="n"/>
      <c r="E170" s="16" t="n"/>
      <c r="F170" s="15" t="n"/>
      <c r="G170" s="15" t="n"/>
      <c r="H170" s="16" t="n"/>
      <c r="I170" s="15">
        <f>IF(ISBLANK($E170)," ",IF($E170&gt;$H170,$C170,$F170))</f>
        <v/>
      </c>
      <c r="J170" s="15">
        <f>IF(ISBLANK($E170)," ",IF($E170&gt;$H170,$D170,$G170))</f>
        <v/>
      </c>
      <c r="K170" s="15" t="n"/>
      <c r="L170" s="15">
        <f>E170-H170</f>
        <v/>
      </c>
      <c r="M170" s="5">
        <f>IF(ISBLANK($E170),"",VLOOKUP($I170,PLAYERS_IDS,2,FALSE)*VLOOKUP($J170,PLAYERS_IDS,2,FALSE))</f>
        <v/>
      </c>
      <c r="N170" s="25">
        <f>IF(ISBLANK($E170)," ", COUNTIF($M$4:$M170,$M170))</f>
        <v/>
      </c>
      <c r="O170" s="25">
        <f>IF(N170 =" ", " ", IF(N170=1,15,(IF(N170=2,15,(IF(N170=3,15,15))))))</f>
        <v/>
      </c>
      <c r="P170" s="5">
        <f>IF(ISBLANK($F170),"",VLOOKUP($C170,PLAYERS_IDS,2,FALSE)*VLOOKUP($D170,PLAYERS_IDS,2,FALSE))</f>
        <v/>
      </c>
      <c r="Q170" s="5">
        <f>IF(ISBLANK($F170), "",VLOOKUP($F170,PLAYERS_IDS,2,FALSE)*VLOOKUP($G170,PLAYERS_IDS,2,FALSE))</f>
        <v/>
      </c>
      <c r="R170" s="5">
        <f>IFERROR((P170*100000)+Q170,"")</f>
        <v/>
      </c>
      <c r="T170" s="5" t="n">
        <v>21</v>
      </c>
      <c r="U170" s="31" t="inlineStr">
        <is>
          <t>Samir</t>
        </is>
      </c>
      <c r="V170" s="6" t="n">
        <v>59</v>
      </c>
    </row>
    <row r="171" ht="20.25" customHeight="1" s="106">
      <c r="A171" s="14" t="n"/>
      <c r="B171" s="15" t="n">
        <v>167</v>
      </c>
      <c r="C171" s="22" t="n"/>
      <c r="D171" s="22" t="n"/>
      <c r="E171" s="16" t="n"/>
      <c r="F171" s="15" t="n"/>
      <c r="G171" s="15" t="n"/>
      <c r="H171" s="16" t="n"/>
      <c r="I171" s="15">
        <f>IF(ISBLANK($E171)," ",IF($E171&gt;$H171,$C171,$F171))</f>
        <v/>
      </c>
      <c r="J171" s="15">
        <f>IF(ISBLANK($E171)," ",IF($E171&gt;$H171,$D171,$G171))</f>
        <v/>
      </c>
      <c r="K171" s="15" t="n"/>
      <c r="L171" s="15">
        <f>E171-H171</f>
        <v/>
      </c>
      <c r="M171" s="5">
        <f>IF(ISBLANK($E171),"",VLOOKUP($I171,PLAYERS_IDS,2,FALSE)*VLOOKUP($J171,PLAYERS_IDS,2,FALSE))</f>
        <v/>
      </c>
      <c r="N171" s="25">
        <f>IF(ISBLANK($E171)," ", COUNTIF($M$4:$M171,$M171))</f>
        <v/>
      </c>
      <c r="O171" s="25">
        <f>IF(N171 =" ", " ", IF(N171=1,15,(IF(N171=2,15,(IF(N171=3,15,15))))))</f>
        <v/>
      </c>
      <c r="P171" s="5">
        <f>IF(ISBLANK($F171),"",VLOOKUP($C171,PLAYERS_IDS,2,FALSE)*VLOOKUP($D171,PLAYERS_IDS,2,FALSE))</f>
        <v/>
      </c>
      <c r="Q171" s="5">
        <f>IF(ISBLANK($F171), "",VLOOKUP($F171,PLAYERS_IDS,2,FALSE)*VLOOKUP($G171,PLAYERS_IDS,2,FALSE))</f>
        <v/>
      </c>
      <c r="R171" s="5">
        <f>IFERROR((P171*100000)+Q171,"")</f>
        <v/>
      </c>
      <c r="T171" s="5" t="n">
        <v>22</v>
      </c>
      <c r="U171" s="31" t="inlineStr">
        <is>
          <t>Purvaiz</t>
        </is>
      </c>
      <c r="V171" s="6" t="n">
        <v>53</v>
      </c>
    </row>
    <row r="172" ht="20.25" customHeight="1" s="106">
      <c r="A172" s="14" t="n"/>
      <c r="B172" s="15" t="n">
        <v>168</v>
      </c>
      <c r="C172" s="22" t="n"/>
      <c r="D172" s="22" t="n"/>
      <c r="E172" s="16" t="n"/>
      <c r="F172" s="15" t="n"/>
      <c r="G172" s="15" t="n"/>
      <c r="H172" s="16" t="n"/>
      <c r="I172" s="15">
        <f>IF(ISBLANK($E172)," ",IF($E172&gt;$H172,$C172,$F172))</f>
        <v/>
      </c>
      <c r="J172" s="15">
        <f>IF(ISBLANK($E172)," ",IF($E172&gt;$H172,$D172,$G172))</f>
        <v/>
      </c>
      <c r="K172" s="15" t="n"/>
      <c r="L172" s="15">
        <f>E172-H172</f>
        <v/>
      </c>
      <c r="M172" s="5">
        <f>IF(ISBLANK($E172),"",VLOOKUP($I172,PLAYERS_IDS,2,FALSE)*VLOOKUP($J172,PLAYERS_IDS,2,FALSE))</f>
        <v/>
      </c>
      <c r="N172" s="25">
        <f>IF(ISBLANK($E172)," ", COUNTIF($M$4:$M172,$M172))</f>
        <v/>
      </c>
      <c r="O172" s="25">
        <f>IF(N172 =" ", " ", IF(N172=1,15,(IF(N172=2,15,(IF(N172=3,15,15))))))</f>
        <v/>
      </c>
      <c r="P172" s="5">
        <f>IF(ISBLANK($F172),"",VLOOKUP($C172,PLAYERS_IDS,2,FALSE)*VLOOKUP($D172,PLAYERS_IDS,2,FALSE))</f>
        <v/>
      </c>
      <c r="Q172" s="5">
        <f>IF(ISBLANK($F172), "",VLOOKUP($F172,PLAYERS_IDS,2,FALSE)*VLOOKUP($G172,PLAYERS_IDS,2,FALSE))</f>
        <v/>
      </c>
      <c r="R172" s="5">
        <f>IFERROR((P172*100000)+Q172,"")</f>
        <v/>
      </c>
      <c r="T172" s="5" t="n">
        <v>23</v>
      </c>
      <c r="U172" s="31" t="inlineStr">
        <is>
          <t>Vishal</t>
        </is>
      </c>
      <c r="V172" s="6" t="n">
        <v>61</v>
      </c>
    </row>
    <row r="173" ht="20.25" customHeight="1" s="106">
      <c r="A173" s="14" t="n"/>
      <c r="B173" s="15" t="n">
        <v>169</v>
      </c>
      <c r="C173" s="22" t="n"/>
      <c r="D173" s="22" t="n"/>
      <c r="E173" s="16" t="n"/>
      <c r="F173" s="15" t="n"/>
      <c r="G173" s="15" t="n"/>
      <c r="H173" s="16" t="n"/>
      <c r="I173" s="15">
        <f>IF(ISBLANK($E173)," ",IF($E173&gt;$H173,$C173,$F173))</f>
        <v/>
      </c>
      <c r="J173" s="15">
        <f>IF(ISBLANK($E173)," ",IF($E173&gt;$H173,$D173,$G173))</f>
        <v/>
      </c>
      <c r="K173" s="15" t="n"/>
      <c r="L173" s="15">
        <f>E173-H173</f>
        <v/>
      </c>
      <c r="M173" s="5">
        <f>IF(ISBLANK($E173),"",VLOOKUP($I173,PLAYERS_IDS,2,FALSE)*VLOOKUP($J173,PLAYERS_IDS,2,FALSE))</f>
        <v/>
      </c>
      <c r="N173" s="25">
        <f>IF(ISBLANK($E173)," ", COUNTIF($M$4:$M173,$M173))</f>
        <v/>
      </c>
      <c r="O173" s="25">
        <f>IF(N173 =" ", " ", IF(N173=1,15,(IF(N173=2,15,(IF(N173=3,15,15))))))</f>
        <v/>
      </c>
      <c r="P173" s="5">
        <f>IF(ISBLANK($F173),"",VLOOKUP($C173,PLAYERS_IDS,2,FALSE)*VLOOKUP($D173,PLAYERS_IDS,2,FALSE))</f>
        <v/>
      </c>
      <c r="Q173" s="5">
        <f>IF(ISBLANK($F173), "",VLOOKUP($F173,PLAYERS_IDS,2,FALSE)*VLOOKUP($G173,PLAYERS_IDS,2,FALSE))</f>
        <v/>
      </c>
      <c r="R173" s="5">
        <f>IFERROR((P173*100000)+Q173,"")</f>
        <v/>
      </c>
      <c r="T173" s="5" t="n">
        <v>24</v>
      </c>
      <c r="U173" s="31" t="inlineStr">
        <is>
          <t>Shiva</t>
        </is>
      </c>
      <c r="V173" s="6" t="n">
        <v>67</v>
      </c>
    </row>
    <row r="174" ht="20.25" customHeight="1" s="106">
      <c r="A174" s="14" t="n"/>
      <c r="B174" s="15" t="n">
        <v>170</v>
      </c>
      <c r="C174" s="22" t="n"/>
      <c r="D174" s="22" t="n"/>
      <c r="E174" s="16" t="n"/>
      <c r="F174" s="15" t="n"/>
      <c r="G174" s="15" t="n"/>
      <c r="H174" s="16" t="n"/>
      <c r="I174" s="15">
        <f>IF(ISBLANK($E174)," ",IF($E174&gt;$H174,$C174,$F174))</f>
        <v/>
      </c>
      <c r="J174" s="15">
        <f>IF(ISBLANK($E174)," ",IF($E174&gt;$H174,$D174,$G174))</f>
        <v/>
      </c>
      <c r="K174" s="15" t="n"/>
      <c r="L174" s="15">
        <f>E174-H174</f>
        <v/>
      </c>
      <c r="M174" s="5">
        <f>IF(ISBLANK($E174),"",VLOOKUP($I174,PLAYERS_IDS,2,FALSE)*VLOOKUP($J174,PLAYERS_IDS,2,FALSE))</f>
        <v/>
      </c>
      <c r="N174" s="25">
        <f>IF(ISBLANK($E174)," ", COUNTIF($M$4:$M174,$M174))</f>
        <v/>
      </c>
      <c r="O174" s="25">
        <f>IF(N174 =" ", " ", IF(N174=1,15,(IF(N174=2,15,(IF(N174=3,15,15))))))</f>
        <v/>
      </c>
      <c r="P174" s="5">
        <f>IF(ISBLANK($F174),"",VLOOKUP($C174,PLAYERS_IDS,2,FALSE)*VLOOKUP($D174,PLAYERS_IDS,2,FALSE))</f>
        <v/>
      </c>
      <c r="Q174" s="5">
        <f>IF(ISBLANK($F174), "",VLOOKUP($F174,PLAYERS_IDS,2,FALSE)*VLOOKUP($G174,PLAYERS_IDS,2,FALSE))</f>
        <v/>
      </c>
      <c r="R174" s="5">
        <f>IFERROR((P174*100000)+Q174,"")</f>
        <v/>
      </c>
      <c r="T174" s="5" t="n">
        <v>25</v>
      </c>
      <c r="U174" s="31" t="inlineStr">
        <is>
          <t>Sengole</t>
        </is>
      </c>
      <c r="V174" s="6" t="n">
        <v>71</v>
      </c>
    </row>
    <row r="175" ht="20.25" customHeight="1" s="106">
      <c r="A175" s="14" t="n"/>
      <c r="B175" s="15" t="n">
        <v>171</v>
      </c>
      <c r="C175" s="22" t="n"/>
      <c r="D175" s="22" t="n"/>
      <c r="E175" s="16" t="n"/>
      <c r="F175" s="15" t="n"/>
      <c r="G175" s="15" t="n"/>
      <c r="H175" s="16" t="n"/>
      <c r="I175" s="15">
        <f>IF(ISBLANK($E175)," ",IF($E175&gt;$H175,$C175,$F175))</f>
        <v/>
      </c>
      <c r="J175" s="15">
        <f>IF(ISBLANK($E175)," ",IF($E175&gt;$H175,$D175,$G175))</f>
        <v/>
      </c>
      <c r="K175" s="15" t="n"/>
      <c r="L175" s="15">
        <f>E175-H175</f>
        <v/>
      </c>
      <c r="M175" s="5">
        <f>IF(ISBLANK($E175),"",VLOOKUP($I175,PLAYERS_IDS,2,FALSE)*VLOOKUP($J175,PLAYERS_IDS,2,FALSE))</f>
        <v/>
      </c>
      <c r="N175" s="25">
        <f>IF(ISBLANK($E175)," ", COUNTIF($M$4:$M175,$M175))</f>
        <v/>
      </c>
      <c r="O175" s="25">
        <f>IF(N175 =" ", " ", IF(N175=1,15,(IF(N175=2,15,(IF(N175=3,15,15))))))</f>
        <v/>
      </c>
      <c r="P175" s="5">
        <f>IF(ISBLANK($F175),"",VLOOKUP($C175,PLAYERS_IDS,2,FALSE)*VLOOKUP($D175,PLAYERS_IDS,2,FALSE))</f>
        <v/>
      </c>
      <c r="Q175" s="5">
        <f>IF(ISBLANK($F175), "",VLOOKUP($F175,PLAYERS_IDS,2,FALSE)*VLOOKUP($G175,PLAYERS_IDS,2,FALSE))</f>
        <v/>
      </c>
      <c r="R175" s="5">
        <f>IFERROR((P175*100000)+Q175,"")</f>
        <v/>
      </c>
      <c r="T175" s="5" t="n">
        <v>26</v>
      </c>
      <c r="U175" s="31" t="inlineStr">
        <is>
          <t>Deepak</t>
        </is>
      </c>
      <c r="V175" s="6" t="n">
        <v>73</v>
      </c>
    </row>
    <row r="176" ht="20.25" customHeight="1" s="106">
      <c r="A176" s="14" t="n"/>
      <c r="B176" s="15" t="n">
        <v>172</v>
      </c>
      <c r="C176" s="22" t="n"/>
      <c r="D176" s="22" t="n"/>
      <c r="E176" s="16" t="n"/>
      <c r="F176" s="15" t="n"/>
      <c r="G176" s="15" t="n"/>
      <c r="H176" s="16" t="n"/>
      <c r="I176" s="15">
        <f>IF(ISBLANK($E176)," ",IF($E176&gt;$H176,$C176,$F176))</f>
        <v/>
      </c>
      <c r="J176" s="15">
        <f>IF(ISBLANK($E176)," ",IF($E176&gt;$H176,$D176,$G176))</f>
        <v/>
      </c>
      <c r="K176" s="15" t="n"/>
      <c r="L176" s="15">
        <f>E176-H176</f>
        <v/>
      </c>
      <c r="M176" s="5">
        <f>IF(ISBLANK($E176),"",VLOOKUP($I176,PLAYERS_IDS,2,FALSE)*VLOOKUP($J176,PLAYERS_IDS,2,FALSE))</f>
        <v/>
      </c>
      <c r="N176" s="25">
        <f>IF(ISBLANK($E176)," ", COUNTIF($M$4:$M176,$M176))</f>
        <v/>
      </c>
      <c r="O176" s="25">
        <f>IF(N176 =" ", " ", IF(N176=1,15,(IF(N176=2,15,(IF(N176=3,15,15))))))</f>
        <v/>
      </c>
      <c r="P176" s="5">
        <f>IF(ISBLANK($F176),"",VLOOKUP($C176,PLAYERS_IDS,2,FALSE)*VLOOKUP($D176,PLAYERS_IDS,2,FALSE))</f>
        <v/>
      </c>
      <c r="Q176" s="5">
        <f>IF(ISBLANK($F176), "",VLOOKUP($F176,PLAYERS_IDS,2,FALSE)*VLOOKUP($G176,PLAYERS_IDS,2,FALSE))</f>
        <v/>
      </c>
      <c r="R176" s="5">
        <f>IFERROR((P176*100000)+Q176,"")</f>
        <v/>
      </c>
      <c r="T176" s="5" t="n">
        <v>27</v>
      </c>
      <c r="U176" s="31" t="inlineStr">
        <is>
          <t>Kalyan</t>
        </is>
      </c>
      <c r="V176" s="6" t="n">
        <v>113</v>
      </c>
    </row>
    <row r="177" ht="20.25" customHeight="1" s="106">
      <c r="A177" s="14" t="n"/>
      <c r="B177" s="15" t="n">
        <v>173</v>
      </c>
      <c r="C177" s="22" t="n"/>
      <c r="D177" s="22" t="n"/>
      <c r="E177" s="16" t="n"/>
      <c r="F177" s="15" t="n"/>
      <c r="G177" s="15" t="n"/>
      <c r="H177" s="16" t="n"/>
      <c r="I177" s="15">
        <f>IF(ISBLANK($E177)," ",IF($E177&gt;$H177,$C177,$F177))</f>
        <v/>
      </c>
      <c r="J177" s="15">
        <f>IF(ISBLANK($E177)," ",IF($E177&gt;$H177,$D177,$G177))</f>
        <v/>
      </c>
      <c r="K177" s="15" t="n"/>
      <c r="L177" s="15">
        <f>E177-H177</f>
        <v/>
      </c>
      <c r="M177" s="5">
        <f>IF(ISBLANK($E177),"",VLOOKUP($I177,PLAYERS_IDS,2,FALSE)*VLOOKUP($J177,PLAYERS_IDS,2,FALSE))</f>
        <v/>
      </c>
      <c r="N177" s="25">
        <f>IF(ISBLANK($E177)," ", COUNTIF($M$4:$M177,$M177))</f>
        <v/>
      </c>
      <c r="O177" s="25">
        <f>IF(N177 =" ", " ", IF(N177=1,15,(IF(N177=2,15,(IF(N177=3,15,15))))))</f>
        <v/>
      </c>
      <c r="P177" s="5">
        <f>IF(ISBLANK($F177),"",VLOOKUP($C177,PLAYERS_IDS,2,FALSE)*VLOOKUP($D177,PLAYERS_IDS,2,FALSE))</f>
        <v/>
      </c>
      <c r="Q177" s="5">
        <f>IF(ISBLANK($F177), "",VLOOKUP($F177,PLAYERS_IDS,2,FALSE)*VLOOKUP($G177,PLAYERS_IDS,2,FALSE))</f>
        <v/>
      </c>
      <c r="R177" s="5">
        <f>IFERROR((P177*100000)+Q177,"")</f>
        <v/>
      </c>
      <c r="T177" s="5" t="n">
        <v>28</v>
      </c>
      <c r="U177" s="31" t="inlineStr">
        <is>
          <t>Prasanna</t>
        </is>
      </c>
      <c r="V177" s="6" t="n">
        <v>79</v>
      </c>
    </row>
    <row r="178" ht="20.25" customHeight="1" s="106">
      <c r="A178" s="14" t="n"/>
      <c r="B178" s="15" t="n">
        <v>174</v>
      </c>
      <c r="C178" s="22" t="n"/>
      <c r="D178" s="22" t="n"/>
      <c r="E178" s="16" t="n"/>
      <c r="F178" s="15" t="n"/>
      <c r="G178" s="15" t="n"/>
      <c r="H178" s="16" t="n"/>
      <c r="I178" s="15">
        <f>IF(ISBLANK($E178)," ",IF($E178&gt;$H178,$C178,$F178))</f>
        <v/>
      </c>
      <c r="J178" s="15">
        <f>IF(ISBLANK($E178)," ",IF($E178&gt;$H178,$D178,$G178))</f>
        <v/>
      </c>
      <c r="K178" s="15" t="n"/>
      <c r="L178" s="15">
        <f>E178-H178</f>
        <v/>
      </c>
      <c r="M178" s="5">
        <f>IF(ISBLANK($E178),"",VLOOKUP($I178,PLAYERS_IDS,2,FALSE)*VLOOKUP($J178,PLAYERS_IDS,2,FALSE))</f>
        <v/>
      </c>
      <c r="N178" s="25">
        <f>IF(ISBLANK($E178)," ", COUNTIF($M$4:$M178,$M178))</f>
        <v/>
      </c>
      <c r="O178" s="25">
        <f>IF(N178 =" ", " ", IF(N178=1,15,(IF(N178=2,15,(IF(N178=3,15,15))))))</f>
        <v/>
      </c>
      <c r="P178" s="5">
        <f>IF(ISBLANK($F178),"",VLOOKUP($C178,PLAYERS_IDS,2,FALSE)*VLOOKUP($D178,PLAYERS_IDS,2,FALSE))</f>
        <v/>
      </c>
      <c r="Q178" s="5">
        <f>IF(ISBLANK($F178), "",VLOOKUP($F178,PLAYERS_IDS,2,FALSE)*VLOOKUP($G178,PLAYERS_IDS,2,FALSE))</f>
        <v/>
      </c>
      <c r="R178" s="5">
        <f>IFERROR((P178*100000)+Q178,"")</f>
        <v/>
      </c>
      <c r="T178" s="5" t="n">
        <v>29</v>
      </c>
      <c r="U178" s="31" t="inlineStr">
        <is>
          <t>Mansoor</t>
        </is>
      </c>
      <c r="V178" s="6" t="n">
        <v>101</v>
      </c>
    </row>
    <row r="179" ht="20.25" customHeight="1" s="106">
      <c r="A179" s="14" t="n"/>
      <c r="B179" s="15" t="n">
        <v>175</v>
      </c>
      <c r="C179" s="22" t="n"/>
      <c r="D179" s="22" t="n"/>
      <c r="E179" s="16" t="n"/>
      <c r="F179" s="15" t="n"/>
      <c r="G179" s="15" t="n"/>
      <c r="H179" s="16" t="n"/>
      <c r="I179" s="15">
        <f>IF(ISBLANK($E179)," ",IF($E179&gt;$H179,$C179,$F179))</f>
        <v/>
      </c>
      <c r="J179" s="15">
        <f>IF(ISBLANK($E179)," ",IF($E179&gt;$H179,$D179,$G179))</f>
        <v/>
      </c>
      <c r="K179" s="15" t="n"/>
      <c r="L179" s="15">
        <f>E179-H179</f>
        <v/>
      </c>
      <c r="M179" s="5">
        <f>IF(ISBLANK($E179),"",VLOOKUP($I179,PLAYERS_IDS,2,FALSE)*VLOOKUP($J179,PLAYERS_IDS,2,FALSE))</f>
        <v/>
      </c>
      <c r="N179" s="25">
        <f>IF(ISBLANK($E179)," ", COUNTIF($M$4:$M179,$M179))</f>
        <v/>
      </c>
      <c r="O179" s="25">
        <f>IF(N179 =" ", " ", IF(N179=1,15,(IF(N179=2,15,(IF(N179=3,15,15))))))</f>
        <v/>
      </c>
      <c r="P179" s="5">
        <f>IF(ISBLANK($F179),"",VLOOKUP($C179,PLAYERS_IDS,2,FALSE)*VLOOKUP($D179,PLAYERS_IDS,2,FALSE))</f>
        <v/>
      </c>
      <c r="Q179" s="5">
        <f>IF(ISBLANK($F179), "",VLOOKUP($F179,PLAYERS_IDS,2,FALSE)*VLOOKUP($G179,PLAYERS_IDS,2,FALSE))</f>
        <v/>
      </c>
      <c r="R179" s="5">
        <f>IFERROR((P179*100000)+Q179,"")</f>
        <v/>
      </c>
      <c r="T179" s="5" t="n">
        <v>30</v>
      </c>
      <c r="U179" s="31" t="inlineStr">
        <is>
          <t>Tousif</t>
        </is>
      </c>
      <c r="V179" s="6" t="n">
        <v>131</v>
      </c>
    </row>
    <row r="180" ht="20.25" customHeight="1" s="106">
      <c r="A180" s="14" t="n"/>
      <c r="B180" s="15" t="n">
        <v>176</v>
      </c>
      <c r="C180" s="22" t="n"/>
      <c r="D180" s="22" t="n"/>
      <c r="E180" s="16" t="n"/>
      <c r="F180" s="15" t="n"/>
      <c r="G180" s="15" t="n"/>
      <c r="H180" s="16" t="n"/>
      <c r="I180" s="15">
        <f>IF(ISBLANK($E180)," ",IF($E180&gt;$H180,$C180,$F180))</f>
        <v/>
      </c>
      <c r="J180" s="15">
        <f>IF(ISBLANK($E180)," ",IF($E180&gt;$H180,$D180,$G180))</f>
        <v/>
      </c>
      <c r="K180" s="15" t="n"/>
      <c r="L180" s="15">
        <f>E180-H180</f>
        <v/>
      </c>
      <c r="M180" s="5">
        <f>IF(ISBLANK($E180),"",VLOOKUP($I180,PLAYERS_IDS,2,FALSE)*VLOOKUP($J180,PLAYERS_IDS,2,FALSE))</f>
        <v/>
      </c>
      <c r="N180" s="25">
        <f>IF(ISBLANK($E180)," ", COUNTIF($M$4:$M180,$M180))</f>
        <v/>
      </c>
      <c r="O180" s="25">
        <f>IF(N180 =" ", " ", IF(N180=1,15,(IF(N180=2,15,(IF(N180=3,15,15))))))</f>
        <v/>
      </c>
      <c r="P180" s="5">
        <f>IF(ISBLANK($F180),"",VLOOKUP($C180,PLAYERS_IDS,2,FALSE)*VLOOKUP($D180,PLAYERS_IDS,2,FALSE))</f>
        <v/>
      </c>
      <c r="Q180" s="5">
        <f>IF(ISBLANK($F180), "",VLOOKUP($F180,PLAYERS_IDS,2,FALSE)*VLOOKUP($G180,PLAYERS_IDS,2,FALSE))</f>
        <v/>
      </c>
      <c r="R180" s="5">
        <f>IFERROR((P180*100000)+Q180,"")</f>
        <v/>
      </c>
      <c r="T180" s="5" t="n">
        <v>31</v>
      </c>
      <c r="U180" s="31" t="inlineStr">
        <is>
          <t>Nabeel</t>
        </is>
      </c>
      <c r="V180" s="6" t="n">
        <v>107</v>
      </c>
    </row>
    <row r="181" ht="20.25" customHeight="1" s="106">
      <c r="A181" s="14" t="n"/>
      <c r="B181" s="15" t="n">
        <v>177</v>
      </c>
      <c r="C181" s="22" t="n"/>
      <c r="D181" s="22" t="n"/>
      <c r="E181" s="16" t="n"/>
      <c r="F181" s="15" t="n"/>
      <c r="G181" s="15" t="n"/>
      <c r="H181" s="16" t="n"/>
      <c r="I181" s="15">
        <f>IF(ISBLANK($E181)," ",IF($E181&gt;$H181,$C181,$F181))</f>
        <v/>
      </c>
      <c r="J181" s="15">
        <f>IF(ISBLANK($E181)," ",IF($E181&gt;$H181,$D181,$G181))</f>
        <v/>
      </c>
      <c r="K181" s="15" t="n"/>
      <c r="L181" s="15">
        <f>E181-H181</f>
        <v/>
      </c>
      <c r="M181" s="5">
        <f>IF(ISBLANK($E181),"",VLOOKUP($I181,PLAYERS_IDS,2,FALSE)*VLOOKUP($J181,PLAYERS_IDS,2,FALSE))</f>
        <v/>
      </c>
      <c r="N181" s="25">
        <f>IF(ISBLANK($E181)," ", COUNTIF($M$4:$M181,$M181))</f>
        <v/>
      </c>
      <c r="O181" s="25">
        <f>IF(N181 =" ", " ", IF(N181=1,15,(IF(N181=2,15,(IF(N181=3,15,15))))))</f>
        <v/>
      </c>
      <c r="P181" s="5">
        <f>IF(ISBLANK($F181),"",VLOOKUP($C181,PLAYERS_IDS,2,FALSE)*VLOOKUP($D181,PLAYERS_IDS,2,FALSE))</f>
        <v/>
      </c>
      <c r="Q181" s="5">
        <f>IF(ISBLANK($F181), "",VLOOKUP($F181,PLAYERS_IDS,2,FALSE)*VLOOKUP($G181,PLAYERS_IDS,2,FALSE))</f>
        <v/>
      </c>
      <c r="R181" s="5">
        <f>IFERROR((P181*100000)+Q181,"")</f>
        <v/>
      </c>
      <c r="T181" s="5" t="n">
        <v>32</v>
      </c>
      <c r="U181" s="31" t="inlineStr">
        <is>
          <t>Karthik</t>
        </is>
      </c>
      <c r="V181" s="6" t="n">
        <v>161</v>
      </c>
    </row>
    <row r="182" ht="20.25" customHeight="1" s="106">
      <c r="A182" s="14" t="n"/>
      <c r="B182" s="15" t="n">
        <v>178</v>
      </c>
      <c r="C182" s="22" t="n"/>
      <c r="D182" s="22" t="n"/>
      <c r="E182" s="16" t="n"/>
      <c r="F182" s="15" t="n"/>
      <c r="G182" s="15" t="n"/>
      <c r="H182" s="16" t="n"/>
      <c r="I182" s="15">
        <f>IF(ISBLANK($E182)," ",IF($E182&gt;$H182,$C182,$F182))</f>
        <v/>
      </c>
      <c r="J182" s="15">
        <f>IF(ISBLANK($E182)," ",IF($E182&gt;$H182,$D182,$G182))</f>
        <v/>
      </c>
      <c r="K182" s="15" t="n"/>
      <c r="L182" s="15">
        <f>E182-H182</f>
        <v/>
      </c>
      <c r="M182" s="5">
        <f>IF(ISBLANK($E182),"",VLOOKUP($I182,PLAYERS_IDS,2,FALSE)*VLOOKUP($J182,PLAYERS_IDS,2,FALSE))</f>
        <v/>
      </c>
      <c r="N182" s="25">
        <f>IF(ISBLANK($E182)," ", COUNTIF($M$4:$M182,$M182))</f>
        <v/>
      </c>
      <c r="O182" s="25">
        <f>IF(N182 =" ", " ", IF(N182=1,15,(IF(N182=2,15,(IF(N182=3,15,15))))))</f>
        <v/>
      </c>
      <c r="P182" s="5">
        <f>IF(ISBLANK($F182),"",VLOOKUP($C182,PLAYERS_IDS,2,FALSE)*VLOOKUP($D182,PLAYERS_IDS,2,FALSE))</f>
        <v/>
      </c>
      <c r="Q182" s="5">
        <f>IF(ISBLANK($F182), "",VLOOKUP($F182,PLAYERS_IDS,2,FALSE)*VLOOKUP($G182,PLAYERS_IDS,2,FALSE))</f>
        <v/>
      </c>
      <c r="R182" s="5">
        <f>IFERROR((P182*100000)+Q182,"")</f>
        <v/>
      </c>
      <c r="T182" s="5" t="n">
        <v>33</v>
      </c>
      <c r="U182" s="31" t="inlineStr">
        <is>
          <t>Suraj</t>
        </is>
      </c>
      <c r="V182" s="6" t="n">
        <v>167</v>
      </c>
    </row>
    <row r="183" ht="20.25" customHeight="1" s="106">
      <c r="A183" s="14" t="n"/>
      <c r="B183" s="15" t="n">
        <v>179</v>
      </c>
      <c r="C183" s="22" t="n"/>
      <c r="D183" s="22" t="n"/>
      <c r="E183" s="16" t="n"/>
      <c r="F183" s="15" t="n"/>
      <c r="G183" s="15" t="n"/>
      <c r="H183" s="16" t="n"/>
      <c r="I183" s="15">
        <f>IF(ISBLANK($E183)," ",IF($E183&gt;$H183,$C183,$F183))</f>
        <v/>
      </c>
      <c r="J183" s="15">
        <f>IF(ISBLANK($E183)," ",IF($E183&gt;$H183,$D183,$G183))</f>
        <v/>
      </c>
      <c r="K183" s="15" t="n"/>
      <c r="L183" s="15">
        <f>E183-H183</f>
        <v/>
      </c>
      <c r="M183" s="5">
        <f>IF(ISBLANK($E183),"",VLOOKUP($I183,PLAYERS_IDS,2,FALSE)*VLOOKUP($J183,PLAYERS_IDS,2,FALSE))</f>
        <v/>
      </c>
      <c r="N183" s="25">
        <f>IF(ISBLANK($E183)," ", COUNTIF($M$4:$M183,$M183))</f>
        <v/>
      </c>
      <c r="O183" s="25">
        <f>IF(N183 =" ", " ", IF(N183=1,15,(IF(N183=2,15,(IF(N183=3,15,15))))))</f>
        <v/>
      </c>
      <c r="P183" s="5">
        <f>IF(ISBLANK($F183),"",VLOOKUP($C183,PLAYERS_IDS,2,FALSE)*VLOOKUP($D183,PLAYERS_IDS,2,FALSE))</f>
        <v/>
      </c>
      <c r="Q183" s="5">
        <f>IF(ISBLANK($F183), "",VLOOKUP($F183,PLAYERS_IDS,2,FALSE)*VLOOKUP($G183,PLAYERS_IDS,2,FALSE))</f>
        <v/>
      </c>
      <c r="R183" s="5">
        <f>IFERROR((P183*100000)+Q183,"")</f>
        <v/>
      </c>
      <c r="T183" s="5" t="n">
        <v>34</v>
      </c>
      <c r="U183" s="31" t="inlineStr">
        <is>
          <t>Umar</t>
        </is>
      </c>
      <c r="V183" s="6" t="n">
        <v>183</v>
      </c>
    </row>
    <row r="184" ht="20.25" customHeight="1" s="106">
      <c r="A184" s="14" t="n"/>
      <c r="B184" s="15" t="n">
        <v>180</v>
      </c>
      <c r="C184" s="22" t="n"/>
      <c r="D184" s="22" t="n"/>
      <c r="E184" s="16" t="n"/>
      <c r="F184" s="15" t="n"/>
      <c r="G184" s="15" t="n"/>
      <c r="H184" s="16" t="n"/>
      <c r="I184" s="15">
        <f>IF(ISBLANK($E184)," ",IF($E184&gt;$H184,$C184,$F184))</f>
        <v/>
      </c>
      <c r="J184" s="15">
        <f>IF(ISBLANK($E184)," ",IF($E184&gt;$H184,$D184,$G184))</f>
        <v/>
      </c>
      <c r="K184" s="15" t="n"/>
      <c r="L184" s="15">
        <f>E184-H184</f>
        <v/>
      </c>
      <c r="M184" s="5">
        <f>IF(ISBLANK($E184),"",VLOOKUP($I184,PLAYERS_IDS,2,FALSE)*VLOOKUP($J184,PLAYERS_IDS,2,FALSE))</f>
        <v/>
      </c>
      <c r="N184" s="25">
        <f>IF(ISBLANK($E184)," ", COUNTIF($M$4:$M184,$M184))</f>
        <v/>
      </c>
      <c r="O184" s="25">
        <f>IF(N184 =" ", " ", IF(N184=1,15,(IF(N184=2,15,(IF(N184=3,15,15))))))</f>
        <v/>
      </c>
      <c r="P184" s="5">
        <f>IF(ISBLANK($F184),"",VLOOKUP($C184,PLAYERS_IDS,2,FALSE)*VLOOKUP($D184,PLAYERS_IDS,2,FALSE))</f>
        <v/>
      </c>
      <c r="Q184" s="5">
        <f>IF(ISBLANK($F184), "",VLOOKUP($F184,PLAYERS_IDS,2,FALSE)*VLOOKUP($G184,PLAYERS_IDS,2,FALSE))</f>
        <v/>
      </c>
      <c r="R184" s="5">
        <f>IFERROR((P184*100000)+Q184,"")</f>
        <v/>
      </c>
      <c r="T184" s="5" t="n">
        <v>35</v>
      </c>
      <c r="U184" s="31" t="inlineStr">
        <is>
          <t>Waqas</t>
        </is>
      </c>
      <c r="V184" s="6" t="n">
        <v>157</v>
      </c>
    </row>
    <row r="185" ht="20.25" customHeight="1" s="106">
      <c r="A185" s="14" t="n"/>
      <c r="B185" s="15" t="n">
        <v>181</v>
      </c>
      <c r="C185" s="22" t="n"/>
      <c r="D185" s="22" t="n"/>
      <c r="E185" s="16" t="n"/>
      <c r="F185" s="15" t="n"/>
      <c r="G185" s="15" t="n"/>
      <c r="H185" s="16" t="n"/>
      <c r="I185" s="15">
        <f>IF(ISBLANK($E185)," ",IF($E185&gt;$H185,$C185,$F185))</f>
        <v/>
      </c>
      <c r="J185" s="15">
        <f>IF(ISBLANK($E185)," ",IF($E185&gt;$H185,$D185,$G185))</f>
        <v/>
      </c>
      <c r="K185" s="15" t="n"/>
      <c r="L185" s="15">
        <f>E185-H185</f>
        <v/>
      </c>
      <c r="M185" s="5">
        <f>IF(ISBLANK($E185),"",VLOOKUP($I185,PLAYERS_IDS,2,FALSE)*VLOOKUP($J185,PLAYERS_IDS,2,FALSE))</f>
        <v/>
      </c>
      <c r="N185" s="25">
        <f>IF(ISBLANK($E185)," ", COUNTIF($M$4:$M185,$M185))</f>
        <v/>
      </c>
      <c r="O185" s="25">
        <f>IF(N185 =" ", " ", IF(N185=1,15,(IF(N185=2,15,(IF(N185=3,15,15))))))</f>
        <v/>
      </c>
      <c r="P185" s="5">
        <f>IF(ISBLANK($F185),"",VLOOKUP($C185,PLAYERS_IDS,2,FALSE)*VLOOKUP($D185,PLAYERS_IDS,2,FALSE))</f>
        <v/>
      </c>
      <c r="Q185" s="5">
        <f>IF(ISBLANK($F185), "",VLOOKUP($F185,PLAYERS_IDS,2,FALSE)*VLOOKUP($G185,PLAYERS_IDS,2,FALSE))</f>
        <v/>
      </c>
      <c r="R185" s="5">
        <f>IFERROR((P185*100000)+Q185,"")</f>
        <v/>
      </c>
    </row>
    <row r="186" ht="20.25" customHeight="1" s="106">
      <c r="A186" s="14" t="n"/>
      <c r="B186" s="15" t="n">
        <v>182</v>
      </c>
      <c r="C186" s="22" t="n"/>
      <c r="D186" s="22" t="n"/>
      <c r="E186" s="16" t="n"/>
      <c r="F186" s="15" t="n"/>
      <c r="G186" s="15" t="n"/>
      <c r="H186" s="16" t="n"/>
      <c r="I186" s="15">
        <f>IF(ISBLANK($E186)," ",IF($E186&gt;$H186,$C186,$F186))</f>
        <v/>
      </c>
      <c r="J186" s="15">
        <f>IF(ISBLANK($E186)," ",IF($E186&gt;$H186,$D186,$G186))</f>
        <v/>
      </c>
      <c r="K186" s="15" t="n"/>
      <c r="L186" s="15">
        <f>E186-H186</f>
        <v/>
      </c>
      <c r="M186" s="5">
        <f>IF(ISBLANK($E186),"",VLOOKUP($I186,PLAYERS_IDS,2,FALSE)*VLOOKUP($J186,PLAYERS_IDS,2,FALSE))</f>
        <v/>
      </c>
      <c r="N186" s="25">
        <f>IF(ISBLANK($E186)," ", COUNTIF($M$4:$M186,$M186))</f>
        <v/>
      </c>
      <c r="O186" s="25">
        <f>IF(N186 =" ", " ", IF(N186=1,15,(IF(N186=2,15,(IF(N186=3,15,15))))))</f>
        <v/>
      </c>
      <c r="P186" s="5">
        <f>IF(ISBLANK($F186),"",VLOOKUP($C186,PLAYERS_IDS,2,FALSE)*VLOOKUP($D186,PLAYERS_IDS,2,FALSE))</f>
        <v/>
      </c>
      <c r="Q186" s="5">
        <f>IF(ISBLANK($F186), "",VLOOKUP($F186,PLAYERS_IDS,2,FALSE)*VLOOKUP($G186,PLAYERS_IDS,2,FALSE))</f>
        <v/>
      </c>
      <c r="R186" s="5">
        <f>IFERROR((P186*100000)+Q186,"")</f>
        <v/>
      </c>
    </row>
    <row r="187" ht="20.25" customHeight="1" s="106">
      <c r="A187" s="14" t="n"/>
      <c r="B187" s="15" t="n">
        <v>183</v>
      </c>
      <c r="C187" s="22" t="n"/>
      <c r="D187" s="22" t="n"/>
      <c r="E187" s="16" t="n"/>
      <c r="F187" s="15" t="n"/>
      <c r="G187" s="15" t="n"/>
      <c r="H187" s="16" t="n"/>
      <c r="I187" s="15">
        <f>IF(ISBLANK($E187)," ",IF($E187&gt;$H187,$C187,$F187))</f>
        <v/>
      </c>
      <c r="J187" s="15">
        <f>IF(ISBLANK($E187)," ",IF($E187&gt;$H187,$D187,$G187))</f>
        <v/>
      </c>
      <c r="K187" s="15" t="n"/>
      <c r="L187" s="15">
        <f>E187-H187</f>
        <v/>
      </c>
      <c r="M187" s="5">
        <f>IF(ISBLANK($E187),"",VLOOKUP($I187,PLAYERS_IDS,2,FALSE)*VLOOKUP($J187,PLAYERS_IDS,2,FALSE))</f>
        <v/>
      </c>
      <c r="N187" s="25">
        <f>IF(ISBLANK($E187)," ", COUNTIF($M$4:$M187,$M187))</f>
        <v/>
      </c>
      <c r="O187" s="25">
        <f>IF(N187 =" ", " ", IF(N187=1,15,(IF(N187=2,15,(IF(N187=3,15,15))))))</f>
        <v/>
      </c>
      <c r="P187" s="5">
        <f>IF(ISBLANK($F187),"",VLOOKUP($C187,PLAYERS_IDS,2,FALSE)*VLOOKUP($D187,PLAYERS_IDS,2,FALSE))</f>
        <v/>
      </c>
      <c r="Q187" s="5">
        <f>IF(ISBLANK($F187), "",VLOOKUP($F187,PLAYERS_IDS,2,FALSE)*VLOOKUP($G187,PLAYERS_IDS,2,FALSE))</f>
        <v/>
      </c>
      <c r="R187" s="5">
        <f>IFERROR((P187*100000)+Q187,"")</f>
        <v/>
      </c>
    </row>
    <row r="188" ht="20.25" customHeight="1" s="106">
      <c r="A188" s="14" t="n"/>
      <c r="B188" s="15" t="n">
        <v>184</v>
      </c>
      <c r="C188" s="22" t="n"/>
      <c r="D188" s="22" t="n"/>
      <c r="E188" s="16" t="n"/>
      <c r="F188" s="15" t="n"/>
      <c r="G188" s="15" t="n"/>
      <c r="H188" s="16" t="n"/>
      <c r="I188" s="15">
        <f>IF(ISBLANK($E188)," ",IF($E188&gt;$H188,$C188,$F188))</f>
        <v/>
      </c>
      <c r="J188" s="15">
        <f>IF(ISBLANK($E188)," ",IF($E188&gt;$H188,$D188,$G188))</f>
        <v/>
      </c>
      <c r="K188" s="15" t="n"/>
      <c r="L188" s="15">
        <f>E188-H188</f>
        <v/>
      </c>
      <c r="M188" s="5">
        <f>IF(ISBLANK($E188),"",VLOOKUP($I188,PLAYERS_IDS,2,FALSE)*VLOOKUP($J188,PLAYERS_IDS,2,FALSE))</f>
        <v/>
      </c>
      <c r="N188" s="25">
        <f>IF(ISBLANK($E188)," ", COUNTIF($M$4:$M188,$M188))</f>
        <v/>
      </c>
      <c r="O188" s="25">
        <f>IF(N188 =" ", " ", IF(N188=1,15,(IF(N188=2,15,(IF(N188=3,15,15))))))</f>
        <v/>
      </c>
      <c r="P188" s="5">
        <f>IF(ISBLANK($F188),"",VLOOKUP($C188,PLAYERS_IDS,2,FALSE)*VLOOKUP($D188,PLAYERS_IDS,2,FALSE))</f>
        <v/>
      </c>
      <c r="Q188" s="5">
        <f>IF(ISBLANK($F188), "",VLOOKUP($F188,PLAYERS_IDS,2,FALSE)*VLOOKUP($G188,PLAYERS_IDS,2,FALSE))</f>
        <v/>
      </c>
      <c r="R188" s="5">
        <f>IFERROR((P188*100000)+Q188,"")</f>
        <v/>
      </c>
    </row>
    <row r="189" ht="20.25" customHeight="1" s="106">
      <c r="A189" s="14" t="n"/>
      <c r="B189" s="15" t="n">
        <v>185</v>
      </c>
      <c r="C189" s="22" t="n"/>
      <c r="D189" s="22" t="n"/>
      <c r="E189" s="16" t="n"/>
      <c r="F189" s="15" t="n"/>
      <c r="G189" s="15" t="n"/>
      <c r="H189" s="16" t="n"/>
      <c r="I189" s="15">
        <f>IF(ISBLANK($E189)," ",IF($E189&gt;$H189,$C189,$F189))</f>
        <v/>
      </c>
      <c r="J189" s="15">
        <f>IF(ISBLANK($E189)," ",IF($E189&gt;$H189,$D189,$G189))</f>
        <v/>
      </c>
      <c r="K189" s="15" t="n"/>
      <c r="L189" s="15">
        <f>E189-H189</f>
        <v/>
      </c>
      <c r="M189" s="5">
        <f>IF(ISBLANK($E189),"",VLOOKUP($I189,PLAYERS_IDS,2,FALSE)*VLOOKUP($J189,PLAYERS_IDS,2,FALSE))</f>
        <v/>
      </c>
      <c r="N189" s="25">
        <f>IF(ISBLANK($E189)," ", COUNTIF($M$4:$M189,$M189))</f>
        <v/>
      </c>
      <c r="O189" s="25">
        <f>IF(N189 =" ", " ", IF(N189=1,15,(IF(N189=2,15,(IF(N189=3,15,15))))))</f>
        <v/>
      </c>
      <c r="P189" s="5">
        <f>IF(ISBLANK($F189),"",VLOOKUP($C189,PLAYERS_IDS,2,FALSE)*VLOOKUP($D189,PLAYERS_IDS,2,FALSE))</f>
        <v/>
      </c>
      <c r="Q189" s="5">
        <f>IF(ISBLANK($F189), "",VLOOKUP($F189,PLAYERS_IDS,2,FALSE)*VLOOKUP($G189,PLAYERS_IDS,2,FALSE))</f>
        <v/>
      </c>
      <c r="R189" s="5">
        <f>IFERROR((P189*100000)+Q189,"")</f>
        <v/>
      </c>
    </row>
    <row r="190" ht="20.25" customHeight="1" s="106">
      <c r="A190" s="14" t="n"/>
      <c r="B190" s="15" t="n">
        <v>186</v>
      </c>
      <c r="C190" s="22" t="n"/>
      <c r="D190" s="22" t="n"/>
      <c r="E190" s="16" t="n"/>
      <c r="F190" s="15" t="n"/>
      <c r="G190" s="15" t="n"/>
      <c r="H190" s="16" t="n"/>
      <c r="I190" s="15">
        <f>IF(ISBLANK($E190)," ",IF($E190&gt;$H190,$C190,$F190))</f>
        <v/>
      </c>
      <c r="J190" s="15">
        <f>IF(ISBLANK($E190)," ",IF($E190&gt;$H190,$D190,$G190))</f>
        <v/>
      </c>
      <c r="K190" s="15" t="n"/>
      <c r="L190" s="15">
        <f>E190-H190</f>
        <v/>
      </c>
      <c r="M190" s="5">
        <f>IF(ISBLANK($E190),"",VLOOKUP($I190,PLAYERS_IDS,2,FALSE)*VLOOKUP($J190,PLAYERS_IDS,2,FALSE))</f>
        <v/>
      </c>
      <c r="N190" s="25">
        <f>IF(ISBLANK($E190)," ", COUNTIF($M$4:$M190,$M190))</f>
        <v/>
      </c>
      <c r="O190" s="25">
        <f>IF(N190 =" ", " ", IF(N190=1,15,(IF(N190=2,15,(IF(N190=3,15,15))))))</f>
        <v/>
      </c>
      <c r="P190" s="5">
        <f>IF(ISBLANK($F190),"",VLOOKUP($C190,PLAYERS_IDS,2,FALSE)*VLOOKUP($D190,PLAYERS_IDS,2,FALSE))</f>
        <v/>
      </c>
      <c r="Q190" s="5">
        <f>IF(ISBLANK($F190), "",VLOOKUP($F190,PLAYERS_IDS,2,FALSE)*VLOOKUP($G190,PLAYERS_IDS,2,FALSE))</f>
        <v/>
      </c>
      <c r="R190" s="5">
        <f>IFERROR((P190*100000)+Q190,"")</f>
        <v/>
      </c>
    </row>
    <row r="191" ht="20.25" customHeight="1" s="106">
      <c r="A191" s="14" t="n"/>
      <c r="B191" s="15" t="n">
        <v>187</v>
      </c>
      <c r="C191" s="22" t="n"/>
      <c r="D191" s="22" t="n"/>
      <c r="E191" s="16" t="n"/>
      <c r="F191" s="15" t="n"/>
      <c r="G191" s="15" t="n"/>
      <c r="H191" s="16" t="n"/>
      <c r="I191" s="15">
        <f>IF(ISBLANK($E191)," ",IF($E191&gt;$H191,$C191,$F191))</f>
        <v/>
      </c>
      <c r="J191" s="15">
        <f>IF(ISBLANK($E191)," ",IF($E191&gt;$H191,$D191,$G191))</f>
        <v/>
      </c>
      <c r="K191" s="15" t="n"/>
      <c r="L191" s="15">
        <f>E191-H191</f>
        <v/>
      </c>
      <c r="M191" s="5">
        <f>IF(ISBLANK($E191),"",VLOOKUP($I191,PLAYERS_IDS,2,FALSE)*VLOOKUP($J191,PLAYERS_IDS,2,FALSE))</f>
        <v/>
      </c>
      <c r="N191" s="25">
        <f>IF(ISBLANK($E191)," ", COUNTIF($M$4:$M191,$M191))</f>
        <v/>
      </c>
      <c r="O191" s="25">
        <f>IF(N191 =" ", " ", IF(N191=1,15,(IF(N191=2,15,(IF(N191=3,15,15))))))</f>
        <v/>
      </c>
      <c r="P191" s="5">
        <f>IF(ISBLANK($F191),"",VLOOKUP($C191,PLAYERS_IDS,2,FALSE)*VLOOKUP($D191,PLAYERS_IDS,2,FALSE))</f>
        <v/>
      </c>
      <c r="Q191" s="5">
        <f>IF(ISBLANK($F191), "",VLOOKUP($F191,PLAYERS_IDS,2,FALSE)*VLOOKUP($G191,PLAYERS_IDS,2,FALSE))</f>
        <v/>
      </c>
      <c r="R191" s="5">
        <f>IFERROR((P191*100000)+Q191,"")</f>
        <v/>
      </c>
    </row>
    <row r="192" ht="20.25" customHeight="1" s="106">
      <c r="A192" s="14" t="n"/>
      <c r="B192" s="15" t="n">
        <v>188</v>
      </c>
      <c r="C192" s="22" t="n"/>
      <c r="D192" s="22" t="n"/>
      <c r="E192" s="16" t="n"/>
      <c r="F192" s="15" t="n"/>
      <c r="G192" s="15" t="n"/>
      <c r="H192" s="16" t="n"/>
      <c r="I192" s="15">
        <f>IF(ISBLANK($E192)," ",IF($E192&gt;$H192,$C192,$F192))</f>
        <v/>
      </c>
      <c r="J192" s="15">
        <f>IF(ISBLANK($E192)," ",IF($E192&gt;$H192,$D192,$G192))</f>
        <v/>
      </c>
      <c r="K192" s="15" t="n"/>
      <c r="L192" s="15">
        <f>E192-H192</f>
        <v/>
      </c>
      <c r="M192" s="5">
        <f>IF(ISBLANK($E192),"",VLOOKUP($I192,PLAYERS_IDS,2,FALSE)*VLOOKUP($J192,PLAYERS_IDS,2,FALSE))</f>
        <v/>
      </c>
      <c r="N192" s="25">
        <f>IF(ISBLANK($E192)," ", COUNTIF($M$4:$M192,$M192))</f>
        <v/>
      </c>
      <c r="O192" s="25">
        <f>IF(N192 =" ", " ", IF(N192=1,15,(IF(N192=2,15,(IF(N192=3,15,15))))))</f>
        <v/>
      </c>
      <c r="P192" s="5">
        <f>IF(ISBLANK($F192),"",VLOOKUP($C192,PLAYERS_IDS,2,FALSE)*VLOOKUP($D192,PLAYERS_IDS,2,FALSE))</f>
        <v/>
      </c>
      <c r="Q192" s="5">
        <f>IF(ISBLANK($F192), "",VLOOKUP($F192,PLAYERS_IDS,2,FALSE)*VLOOKUP($G192,PLAYERS_IDS,2,FALSE))</f>
        <v/>
      </c>
      <c r="R192" s="5">
        <f>IFERROR((P192*100000)+Q192,"")</f>
        <v/>
      </c>
    </row>
    <row r="193" ht="20.25" customHeight="1" s="106">
      <c r="A193" s="14" t="n"/>
      <c r="B193" s="15" t="n">
        <v>189</v>
      </c>
      <c r="C193" s="22" t="n"/>
      <c r="D193" s="22" t="n"/>
      <c r="E193" s="16" t="n"/>
      <c r="F193" s="15" t="n"/>
      <c r="G193" s="15" t="n"/>
      <c r="H193" s="16" t="n"/>
      <c r="I193" s="15">
        <f>IF(ISBLANK($E193)," ",IF($E193&gt;$H193,$C193,$F193))</f>
        <v/>
      </c>
      <c r="J193" s="15">
        <f>IF(ISBLANK($E193)," ",IF($E193&gt;$H193,$D193,$G193))</f>
        <v/>
      </c>
      <c r="K193" s="15" t="n"/>
      <c r="L193" s="15">
        <f>E193-H193</f>
        <v/>
      </c>
      <c r="M193" s="5">
        <f>IF(ISBLANK($E193),"",VLOOKUP($I193,PLAYERS_IDS,2,FALSE)*VLOOKUP($J193,PLAYERS_IDS,2,FALSE))</f>
        <v/>
      </c>
      <c r="N193" s="25">
        <f>IF(ISBLANK($E193)," ", COUNTIF($M$4:$M193,$M193))</f>
        <v/>
      </c>
      <c r="O193" s="25">
        <f>IF(N193 =" ", " ", IF(N193=1,15,(IF(N193=2,15,(IF(N193=3,15,15))))))</f>
        <v/>
      </c>
      <c r="P193" s="5">
        <f>IF(ISBLANK($F193),"",VLOOKUP($C193,PLAYERS_IDS,2,FALSE)*VLOOKUP($D193,PLAYERS_IDS,2,FALSE))</f>
        <v/>
      </c>
      <c r="Q193" s="5">
        <f>IF(ISBLANK($F193), "",VLOOKUP($F193,PLAYERS_IDS,2,FALSE)*VLOOKUP($G193,PLAYERS_IDS,2,FALSE))</f>
        <v/>
      </c>
      <c r="R193" s="5">
        <f>IFERROR((P193*100000)+Q193,"")</f>
        <v/>
      </c>
    </row>
    <row r="194" ht="20.25" customHeight="1" s="106">
      <c r="A194" s="14" t="n"/>
      <c r="B194" s="15" t="n">
        <v>190</v>
      </c>
      <c r="C194" s="22" t="n"/>
      <c r="D194" s="22" t="n"/>
      <c r="E194" s="16" t="n"/>
      <c r="F194" s="15" t="n"/>
      <c r="G194" s="15" t="n"/>
      <c r="H194" s="16" t="n"/>
      <c r="I194" s="15">
        <f>IF(ISBLANK($E194)," ",IF($E194&gt;$H194,$C194,$F194))</f>
        <v/>
      </c>
      <c r="J194" s="15">
        <f>IF(ISBLANK($E194)," ",IF($E194&gt;$H194,$D194,$G194))</f>
        <v/>
      </c>
      <c r="K194" s="15" t="n"/>
      <c r="L194" s="15">
        <f>E194-H194</f>
        <v/>
      </c>
      <c r="M194" s="5">
        <f>IF(ISBLANK($E194),"",VLOOKUP($I194,PLAYERS_IDS,2,FALSE)*VLOOKUP($J194,PLAYERS_IDS,2,FALSE))</f>
        <v/>
      </c>
      <c r="N194" s="25">
        <f>IF(ISBLANK($E194)," ", COUNTIF($M$4:$M194,$M194))</f>
        <v/>
      </c>
      <c r="O194" s="25">
        <f>IF(N194 =" ", " ", IF(N194=1,15,(IF(N194=2,15,(IF(N194=3,15,15))))))</f>
        <v/>
      </c>
      <c r="P194" s="5">
        <f>IF(ISBLANK($F194),"",VLOOKUP($C194,PLAYERS_IDS,2,FALSE)*VLOOKUP($D194,PLAYERS_IDS,2,FALSE))</f>
        <v/>
      </c>
      <c r="Q194" s="5">
        <f>IF(ISBLANK($F194), "",VLOOKUP($F194,PLAYERS_IDS,2,FALSE)*VLOOKUP($G194,PLAYERS_IDS,2,FALSE))</f>
        <v/>
      </c>
      <c r="R194" s="5">
        <f>IFERROR((P194*100000)+Q194,"")</f>
        <v/>
      </c>
    </row>
    <row r="195" ht="20.25" customHeight="1" s="106">
      <c r="A195" s="14" t="n"/>
      <c r="B195" s="15" t="n">
        <v>191</v>
      </c>
      <c r="C195" s="22" t="n"/>
      <c r="D195" s="22" t="n"/>
      <c r="E195" s="16" t="n"/>
      <c r="F195" s="15" t="n"/>
      <c r="G195" s="15" t="n"/>
      <c r="H195" s="16" t="n"/>
      <c r="I195" s="15">
        <f>IF(ISBLANK($E195)," ",IF($E195&gt;$H195,$C195,$F195))</f>
        <v/>
      </c>
      <c r="J195" s="15">
        <f>IF(ISBLANK($E195)," ",IF($E195&gt;$H195,$D195,$G195))</f>
        <v/>
      </c>
      <c r="K195" s="15" t="n"/>
      <c r="L195" s="15">
        <f>E195-H195</f>
        <v/>
      </c>
      <c r="M195" s="5">
        <f>IF(ISBLANK($E195),"",VLOOKUP($I195,PLAYERS_IDS,2,FALSE)*VLOOKUP($J195,PLAYERS_IDS,2,FALSE))</f>
        <v/>
      </c>
      <c r="N195" s="25">
        <f>IF(ISBLANK($E195)," ", COUNTIF($M$4:$M195,$M195))</f>
        <v/>
      </c>
      <c r="O195" s="25">
        <f>IF(N195 =" ", " ", IF(N195=1,15,(IF(N195=2,15,(IF(N195=3,15,15))))))</f>
        <v/>
      </c>
      <c r="P195" s="5">
        <f>IF(ISBLANK($F195),"",VLOOKUP($C195,PLAYERS_IDS,2,FALSE)*VLOOKUP($D195,PLAYERS_IDS,2,FALSE))</f>
        <v/>
      </c>
      <c r="Q195" s="5">
        <f>IF(ISBLANK($F195), "",VLOOKUP($F195,PLAYERS_IDS,2,FALSE)*VLOOKUP($G195,PLAYERS_IDS,2,FALSE))</f>
        <v/>
      </c>
      <c r="R195" s="5">
        <f>IFERROR((P195*100000)+Q195,"")</f>
        <v/>
      </c>
    </row>
    <row r="196" ht="20.25" customHeight="1" s="106">
      <c r="A196" s="14" t="n"/>
      <c r="B196" s="15" t="n">
        <v>192</v>
      </c>
      <c r="C196" s="22" t="n"/>
      <c r="D196" s="22" t="n"/>
      <c r="E196" s="16" t="n"/>
      <c r="F196" s="15" t="n"/>
      <c r="G196" s="15" t="n"/>
      <c r="H196" s="16" t="n"/>
      <c r="I196" s="15">
        <f>IF(ISBLANK($E196)," ",IF($E196&gt;$H196,$C196,$F196))</f>
        <v/>
      </c>
      <c r="J196" s="15">
        <f>IF(ISBLANK($E196)," ",IF($E196&gt;$H196,$D196,$G196))</f>
        <v/>
      </c>
      <c r="K196" s="15" t="n"/>
      <c r="L196" s="15">
        <f>E196-H196</f>
        <v/>
      </c>
      <c r="M196" s="5">
        <f>IF(ISBLANK($E196),"",VLOOKUP($I196,PLAYERS_IDS,2,FALSE)*VLOOKUP($J196,PLAYERS_IDS,2,FALSE))</f>
        <v/>
      </c>
      <c r="N196" s="25">
        <f>IF(ISBLANK($E196)," ", COUNTIF($M$4:$M196,$M196))</f>
        <v/>
      </c>
      <c r="O196" s="25">
        <f>IF(N196 =" ", " ", IF(N196=1,15,(IF(N196=2,15,(IF(N196=3,15,15))))))</f>
        <v/>
      </c>
      <c r="P196" s="5">
        <f>IF(ISBLANK($F196),"",VLOOKUP($C196,PLAYERS_IDS,2,FALSE)*VLOOKUP($D196,PLAYERS_IDS,2,FALSE))</f>
        <v/>
      </c>
      <c r="Q196" s="5">
        <f>IF(ISBLANK($F196), "",VLOOKUP($F196,PLAYERS_IDS,2,FALSE)*VLOOKUP($G196,PLAYERS_IDS,2,FALSE))</f>
        <v/>
      </c>
      <c r="R196" s="5">
        <f>IFERROR((P196*100000)+Q196,"")</f>
        <v/>
      </c>
    </row>
    <row r="197" ht="20.25" customHeight="1" s="106">
      <c r="A197" s="14" t="n"/>
      <c r="B197" s="15" t="n">
        <v>193</v>
      </c>
      <c r="C197" s="22" t="n"/>
      <c r="D197" s="22" t="n"/>
      <c r="E197" s="16" t="n"/>
      <c r="F197" s="15" t="n"/>
      <c r="G197" s="15" t="n"/>
      <c r="H197" s="16" t="n"/>
      <c r="I197" s="15">
        <f>IF(ISBLANK($E197)," ",IF($E197&gt;$H197,$C197,$F197))</f>
        <v/>
      </c>
      <c r="J197" s="15">
        <f>IF(ISBLANK($E197)," ",IF($E197&gt;$H197,$D197,$G197))</f>
        <v/>
      </c>
      <c r="K197" s="15" t="n"/>
      <c r="L197" s="15">
        <f>E197-H197</f>
        <v/>
      </c>
      <c r="M197" s="5">
        <f>IF(ISBLANK($E197),"",VLOOKUP($I197,PLAYERS_IDS,2,FALSE)*VLOOKUP($J197,PLAYERS_IDS,2,FALSE))</f>
        <v/>
      </c>
      <c r="N197" s="25">
        <f>IF(ISBLANK($E197)," ", COUNTIF($M$4:$M197,$M197))</f>
        <v/>
      </c>
      <c r="O197" s="25">
        <f>IF(N197 =" ", " ", IF(N197=1,15,(IF(N197=2,15,(IF(N197=3,15,15))))))</f>
        <v/>
      </c>
      <c r="P197" s="5">
        <f>IF(ISBLANK($F197),"",VLOOKUP($C197,PLAYERS_IDS,2,FALSE)*VLOOKUP($D197,PLAYERS_IDS,2,FALSE))</f>
        <v/>
      </c>
      <c r="Q197" s="5">
        <f>IF(ISBLANK($F197), "",VLOOKUP($F197,PLAYERS_IDS,2,FALSE)*VLOOKUP($G197,PLAYERS_IDS,2,FALSE))</f>
        <v/>
      </c>
      <c r="R197" s="5">
        <f>IFERROR((P197*100000)+Q197,"")</f>
        <v/>
      </c>
    </row>
    <row r="198" ht="20.25" customHeight="1" s="106">
      <c r="A198" s="14" t="n"/>
      <c r="B198" s="15" t="n">
        <v>194</v>
      </c>
      <c r="C198" s="22" t="n"/>
      <c r="D198" s="22" t="n"/>
      <c r="E198" s="16" t="n"/>
      <c r="F198" s="15" t="n"/>
      <c r="G198" s="15" t="n"/>
      <c r="H198" s="16" t="n"/>
      <c r="I198" s="15">
        <f>IF(ISBLANK($E198)," ",IF($E198&gt;$H198,$C198,$F198))</f>
        <v/>
      </c>
      <c r="J198" s="15">
        <f>IF(ISBLANK($E198)," ",IF($E198&gt;$H198,$D198,$G198))</f>
        <v/>
      </c>
      <c r="K198" s="15" t="n"/>
      <c r="L198" s="15">
        <f>E198-H198</f>
        <v/>
      </c>
      <c r="M198" s="5">
        <f>IF(ISBLANK($E198),"",VLOOKUP($I198,PLAYERS_IDS,2,FALSE)*VLOOKUP($J198,PLAYERS_IDS,2,FALSE))</f>
        <v/>
      </c>
      <c r="N198" s="25">
        <f>IF(ISBLANK($E198)," ", COUNTIF($M$4:$M198,$M198))</f>
        <v/>
      </c>
      <c r="O198" s="25">
        <f>IF(N198 =" ", " ", IF(N198=1,15,(IF(N198=2,15,(IF(N198=3,15,15))))))</f>
        <v/>
      </c>
      <c r="P198" s="5">
        <f>IF(ISBLANK($F198),"",VLOOKUP($C198,PLAYERS_IDS,2,FALSE)*VLOOKUP($D198,PLAYERS_IDS,2,FALSE))</f>
        <v/>
      </c>
      <c r="Q198" s="5">
        <f>IF(ISBLANK($F198), "",VLOOKUP($F198,PLAYERS_IDS,2,FALSE)*VLOOKUP($G198,PLAYERS_IDS,2,FALSE))</f>
        <v/>
      </c>
      <c r="R198" s="5">
        <f>IFERROR((P198*100000)+Q198,"")</f>
        <v/>
      </c>
    </row>
    <row r="199" ht="20.25" customHeight="1" s="106">
      <c r="A199" s="14" t="n"/>
      <c r="B199" s="15" t="n">
        <v>195</v>
      </c>
      <c r="C199" s="22" t="n"/>
      <c r="D199" s="22" t="n"/>
      <c r="E199" s="16" t="n"/>
      <c r="F199" s="15" t="n"/>
      <c r="G199" s="15" t="n"/>
      <c r="H199" s="16" t="n"/>
      <c r="I199" s="15">
        <f>IF(ISBLANK($E199)," ",IF($E199&gt;$H199,$C199,$F199))</f>
        <v/>
      </c>
      <c r="J199" s="15">
        <f>IF(ISBLANK($E199)," ",IF($E199&gt;$H199,$D199,$G199))</f>
        <v/>
      </c>
      <c r="K199" s="15" t="n"/>
      <c r="L199" s="15">
        <f>E199-H199</f>
        <v/>
      </c>
      <c r="M199" s="5">
        <f>IF(ISBLANK($E199),"",VLOOKUP($I199,PLAYERS_IDS,2,FALSE)*VLOOKUP($J199,PLAYERS_IDS,2,FALSE))</f>
        <v/>
      </c>
      <c r="N199" s="25">
        <f>IF(ISBLANK($E199)," ", COUNTIF($M$4:$M199,$M199))</f>
        <v/>
      </c>
      <c r="O199" s="25">
        <f>IF(N199 =" ", " ", IF(N199=1,15,(IF(N199=2,15,(IF(N199=3,15,15))))))</f>
        <v/>
      </c>
      <c r="P199" s="5">
        <f>IF(ISBLANK($F199),"",VLOOKUP($C199,PLAYERS_IDS,2,FALSE)*VLOOKUP($D199,PLAYERS_IDS,2,FALSE))</f>
        <v/>
      </c>
      <c r="Q199" s="5">
        <f>IF(ISBLANK($F199), "",VLOOKUP($F199,PLAYERS_IDS,2,FALSE)*VLOOKUP($G199,PLAYERS_IDS,2,FALSE))</f>
        <v/>
      </c>
      <c r="R199" s="5">
        <f>IFERROR((P199*100000)+Q199,"")</f>
        <v/>
      </c>
    </row>
    <row r="200" ht="20.25" customHeight="1" s="106">
      <c r="A200" s="14" t="n"/>
      <c r="B200" s="15" t="n">
        <v>196</v>
      </c>
      <c r="C200" s="22" t="n"/>
      <c r="D200" s="22" t="n"/>
      <c r="E200" s="16" t="n"/>
      <c r="F200" s="15" t="n"/>
      <c r="G200" s="15" t="n"/>
      <c r="H200" s="16" t="n"/>
      <c r="I200" s="15">
        <f>IF(ISBLANK($E200)," ",IF($E200&gt;$H200,$C200,$F200))</f>
        <v/>
      </c>
      <c r="J200" s="15">
        <f>IF(ISBLANK($E200)," ",IF($E200&gt;$H200,$D200,$G200))</f>
        <v/>
      </c>
      <c r="K200" s="15" t="n"/>
      <c r="L200" s="15">
        <f>E200-H200</f>
        <v/>
      </c>
      <c r="M200" s="5">
        <f>IF(ISBLANK($E200),"",VLOOKUP($I200,PLAYERS_IDS,2,FALSE)*VLOOKUP($J200,PLAYERS_IDS,2,FALSE))</f>
        <v/>
      </c>
      <c r="N200" s="25">
        <f>IF(ISBLANK($E200)," ", COUNTIF($M$4:$M200,$M200))</f>
        <v/>
      </c>
      <c r="O200" s="25">
        <f>IF(N200 =" ", " ", IF(N200=1,15,(IF(N200=2,15,(IF(N200=3,15,15))))))</f>
        <v/>
      </c>
      <c r="P200" s="5">
        <f>IF(ISBLANK($F200),"",VLOOKUP($C200,PLAYERS_IDS,2,FALSE)*VLOOKUP($D200,PLAYERS_IDS,2,FALSE))</f>
        <v/>
      </c>
      <c r="Q200" s="5">
        <f>IF(ISBLANK($F200), "",VLOOKUP($F200,PLAYERS_IDS,2,FALSE)*VLOOKUP($G200,PLAYERS_IDS,2,FALSE))</f>
        <v/>
      </c>
      <c r="R200" s="5">
        <f>IFERROR((P200*100000)+Q200,"")</f>
        <v/>
      </c>
    </row>
    <row r="201" ht="20.25" customHeight="1" s="106">
      <c r="A201" s="14" t="n"/>
      <c r="B201" s="15" t="n">
        <v>197</v>
      </c>
      <c r="C201" s="22" t="n"/>
      <c r="D201" s="22" t="n"/>
      <c r="E201" s="16" t="n"/>
      <c r="F201" s="15" t="n"/>
      <c r="G201" s="15" t="n"/>
      <c r="H201" s="16" t="n"/>
      <c r="I201" s="15">
        <f>IF(ISBLANK($E201)," ",IF($E201&gt;$H201,$C201,$F201))</f>
        <v/>
      </c>
      <c r="J201" s="15">
        <f>IF(ISBLANK($E201)," ",IF($E201&gt;$H201,$D201,$G201))</f>
        <v/>
      </c>
      <c r="K201" s="15" t="n"/>
      <c r="L201" s="15">
        <f>E201-H201</f>
        <v/>
      </c>
      <c r="M201" s="5">
        <f>IF(ISBLANK($E201),"",VLOOKUP($I201,PLAYERS_IDS,2,FALSE)*VLOOKUP($J201,PLAYERS_IDS,2,FALSE))</f>
        <v/>
      </c>
      <c r="N201" s="25">
        <f>IF(ISBLANK($E201)," ", COUNTIF($M$4:$M201,$M201))</f>
        <v/>
      </c>
      <c r="O201" s="25">
        <f>IF(N201 =" ", " ", IF(N201=1,15,(IF(N201=2,15,(IF(N201=3,15,15))))))</f>
        <v/>
      </c>
      <c r="P201" s="5">
        <f>IF(ISBLANK($F201),"",VLOOKUP($C201,PLAYERS_IDS,2,FALSE)*VLOOKUP($D201,PLAYERS_IDS,2,FALSE))</f>
        <v/>
      </c>
      <c r="Q201" s="5">
        <f>IF(ISBLANK($F201), "",VLOOKUP($F201,PLAYERS_IDS,2,FALSE)*VLOOKUP($G201,PLAYERS_IDS,2,FALSE))</f>
        <v/>
      </c>
      <c r="R201" s="5">
        <f>IFERROR((P201*100000)+Q201,"")</f>
        <v/>
      </c>
    </row>
    <row r="202" ht="20.25" customHeight="1" s="106">
      <c r="A202" s="14" t="n"/>
      <c r="B202" s="15" t="n">
        <v>198</v>
      </c>
      <c r="C202" s="22" t="n"/>
      <c r="D202" s="22" t="n"/>
      <c r="E202" s="16" t="n"/>
      <c r="F202" s="15" t="n"/>
      <c r="G202" s="15" t="n"/>
      <c r="H202" s="16" t="n"/>
      <c r="I202" s="15">
        <f>IF(ISBLANK($E202)," ",IF($E202&gt;$H202,$C202,$F202))</f>
        <v/>
      </c>
      <c r="J202" s="15">
        <f>IF(ISBLANK($E202)," ",IF($E202&gt;$H202,$D202,$G202))</f>
        <v/>
      </c>
      <c r="K202" s="15" t="n"/>
      <c r="L202" s="15">
        <f>E202-H202</f>
        <v/>
      </c>
      <c r="M202" s="5">
        <f>IF(ISBLANK($E202),"",VLOOKUP($I202,PLAYERS_IDS,2,FALSE)*VLOOKUP($J202,PLAYERS_IDS,2,FALSE))</f>
        <v/>
      </c>
      <c r="N202" s="25">
        <f>IF(ISBLANK($E202)," ", COUNTIF($M$4:$M202,$M202))</f>
        <v/>
      </c>
      <c r="O202" s="25">
        <f>IF(N202 =" ", " ", IF(N202=1,15,(IF(N202=2,15,(IF(N202=3,15,15))))))</f>
        <v/>
      </c>
      <c r="P202" s="5">
        <f>IF(ISBLANK($F202),"",VLOOKUP($C202,PLAYERS_IDS,2,FALSE)*VLOOKUP($D202,PLAYERS_IDS,2,FALSE))</f>
        <v/>
      </c>
      <c r="Q202" s="5">
        <f>IF(ISBLANK($F202), "",VLOOKUP($F202,PLAYERS_IDS,2,FALSE)*VLOOKUP($G202,PLAYERS_IDS,2,FALSE))</f>
        <v/>
      </c>
      <c r="R202" s="5">
        <f>IFERROR((P202*100000)+Q202,"")</f>
        <v/>
      </c>
    </row>
    <row r="203" ht="20.25" customHeight="1" s="106">
      <c r="A203" s="14" t="n"/>
      <c r="B203" s="15" t="n">
        <v>199</v>
      </c>
      <c r="C203" s="22" t="n"/>
      <c r="D203" s="22" t="n"/>
      <c r="E203" s="16" t="n"/>
      <c r="F203" s="15" t="n"/>
      <c r="G203" s="15" t="n"/>
      <c r="H203" s="16" t="n"/>
      <c r="I203" s="15">
        <f>IF(ISBLANK($E203)," ",IF($E203&gt;$H203,$C203,$F203))</f>
        <v/>
      </c>
      <c r="J203" s="15">
        <f>IF(ISBLANK($E203)," ",IF($E203&gt;$H203,$D203,$G203))</f>
        <v/>
      </c>
      <c r="K203" s="15" t="n"/>
      <c r="L203" s="15">
        <f>E203-H203</f>
        <v/>
      </c>
      <c r="M203" s="5">
        <f>IF(ISBLANK($E203),"",VLOOKUP($I203,PLAYERS_IDS,2,FALSE)*VLOOKUP($J203,PLAYERS_IDS,2,FALSE))</f>
        <v/>
      </c>
      <c r="N203" s="25">
        <f>IF(ISBLANK($E203)," ", COUNTIF($M$4:$M203,$M203))</f>
        <v/>
      </c>
      <c r="O203" s="25">
        <f>IF(N203 =" ", " ", IF(N203=1,15,(IF(N203=2,15,(IF(N203=3,15,15))))))</f>
        <v/>
      </c>
      <c r="P203" s="5">
        <f>IF(ISBLANK($F203),"",VLOOKUP($C203,PLAYERS_IDS,2,FALSE)*VLOOKUP($D203,PLAYERS_IDS,2,FALSE))</f>
        <v/>
      </c>
      <c r="Q203" s="5">
        <f>IF(ISBLANK($F203), "",VLOOKUP($F203,PLAYERS_IDS,2,FALSE)*VLOOKUP($G203,PLAYERS_IDS,2,FALSE))</f>
        <v/>
      </c>
      <c r="R203" s="5">
        <f>IFERROR((P203*100000)+Q203,"")</f>
        <v/>
      </c>
    </row>
    <row r="204" ht="20.25" customHeight="1" s="106">
      <c r="A204" s="14" t="n"/>
      <c r="B204" s="15" t="n">
        <v>200</v>
      </c>
      <c r="C204" s="22" t="n"/>
      <c r="D204" s="22" t="n"/>
      <c r="E204" s="16" t="n"/>
      <c r="F204" s="15" t="n"/>
      <c r="G204" s="15" t="n"/>
      <c r="H204" s="16" t="n"/>
      <c r="I204" s="15">
        <f>IF(ISBLANK($E204)," ",IF($E204&gt;$H204,$C204,$F204))</f>
        <v/>
      </c>
      <c r="J204" s="15">
        <f>IF(ISBLANK($E204)," ",IF($E204&gt;$H204,$D204,$G204))</f>
        <v/>
      </c>
      <c r="K204" s="15" t="n"/>
      <c r="L204" s="15">
        <f>E204-H204</f>
        <v/>
      </c>
      <c r="M204" s="5">
        <f>IF(ISBLANK($E204),"",VLOOKUP($I204,PLAYERS_IDS,2,FALSE)*VLOOKUP($J204,PLAYERS_IDS,2,FALSE))</f>
        <v/>
      </c>
      <c r="N204" s="25">
        <f>IF(ISBLANK($E204)," ", COUNTIF($M$4:$M204,$M204))</f>
        <v/>
      </c>
      <c r="O204" s="25">
        <f>IF(N204 =" ", " ", IF(N204=1,15,(IF(N204=2,15,(IF(N204=3,15,15))))))</f>
        <v/>
      </c>
      <c r="P204" s="5">
        <f>IF(ISBLANK($F204),"",VLOOKUP($C204,PLAYERS_IDS,2,FALSE)*VLOOKUP($D204,PLAYERS_IDS,2,FALSE))</f>
        <v/>
      </c>
      <c r="Q204" s="5">
        <f>IF(ISBLANK($F204), "",VLOOKUP($F204,PLAYERS_IDS,2,FALSE)*VLOOKUP($G204,PLAYERS_IDS,2,FALSE))</f>
        <v/>
      </c>
      <c r="R204" s="5">
        <f>IFERROR((P204*100000)+Q204,"")</f>
        <v/>
      </c>
    </row>
    <row r="205" ht="20.25" customHeight="1" s="106">
      <c r="A205" s="14" t="n"/>
      <c r="B205" s="15" t="n">
        <v>201</v>
      </c>
      <c r="C205" s="22" t="n"/>
      <c r="D205" s="22" t="n"/>
      <c r="E205" s="16" t="n"/>
      <c r="F205" s="15" t="n"/>
      <c r="G205" s="15" t="n"/>
      <c r="H205" s="16" t="n"/>
      <c r="I205" s="15">
        <f>IF(ISBLANK($E205)," ",IF($E205&gt;$H205,$C205,$F205))</f>
        <v/>
      </c>
      <c r="J205" s="15">
        <f>IF(ISBLANK($E205)," ",IF($E205&gt;$H205,$D205,$G205))</f>
        <v/>
      </c>
      <c r="K205" s="15" t="n"/>
      <c r="L205" s="15">
        <f>E205-H205</f>
        <v/>
      </c>
      <c r="M205" s="5">
        <f>IF(ISBLANK($E205),"",VLOOKUP($I205,PLAYERS_IDS,2,FALSE)*VLOOKUP($J205,PLAYERS_IDS,2,FALSE))</f>
        <v/>
      </c>
      <c r="N205" s="25">
        <f>IF(ISBLANK($E205)," ", COUNTIF($M$4:$M205,$M205))</f>
        <v/>
      </c>
      <c r="O205" s="25">
        <f>IF(N205 =" ", " ", IF(N205=1,15,(IF(N205=2,15,(IF(N205=3,15,15))))))</f>
        <v/>
      </c>
      <c r="P205" s="5">
        <f>IF(ISBLANK($F205),"",VLOOKUP($C205,PLAYERS_IDS,2,FALSE)*VLOOKUP($D205,PLAYERS_IDS,2,FALSE))</f>
        <v/>
      </c>
      <c r="Q205" s="5">
        <f>IF(ISBLANK($F205), "",VLOOKUP($F205,PLAYERS_IDS,2,FALSE)*VLOOKUP($G205,PLAYERS_IDS,2,FALSE))</f>
        <v/>
      </c>
      <c r="R205" s="5">
        <f>IFERROR((P205*100000)+Q205,"")</f>
        <v/>
      </c>
    </row>
    <row r="206" ht="20.25" customHeight="1" s="106">
      <c r="A206" s="14" t="n"/>
      <c r="B206" s="15" t="n">
        <v>202</v>
      </c>
      <c r="C206" s="22" t="n"/>
      <c r="D206" s="22" t="n"/>
      <c r="E206" s="16" t="n"/>
      <c r="F206" s="15" t="n"/>
      <c r="G206" s="15" t="n"/>
      <c r="H206" s="16" t="n"/>
      <c r="I206" s="15">
        <f>IF(ISBLANK($E206)," ",IF($E206&gt;$H206,$C206,$F206))</f>
        <v/>
      </c>
      <c r="J206" s="15">
        <f>IF(ISBLANK($E206)," ",IF($E206&gt;$H206,$D206,$G206))</f>
        <v/>
      </c>
      <c r="K206" s="15" t="n"/>
      <c r="L206" s="15">
        <f>E206-H206</f>
        <v/>
      </c>
      <c r="M206" s="5">
        <f>IF(ISBLANK($E206),"",VLOOKUP($I206,PLAYERS_IDS,2,FALSE)*VLOOKUP($J206,PLAYERS_IDS,2,FALSE))</f>
        <v/>
      </c>
      <c r="N206" s="25">
        <f>IF(ISBLANK($E206)," ", COUNTIF($M$4:$M206,$M206))</f>
        <v/>
      </c>
      <c r="O206" s="25">
        <f>IF(N206 =" ", " ", IF(N206=1,15,(IF(N206=2,15,(IF(N206=3,15,15))))))</f>
        <v/>
      </c>
      <c r="P206" s="5">
        <f>IF(ISBLANK($F206),"",VLOOKUP($C206,PLAYERS_IDS,2,FALSE)*VLOOKUP($D206,PLAYERS_IDS,2,FALSE))</f>
        <v/>
      </c>
      <c r="Q206" s="5">
        <f>IF(ISBLANK($F206), "",VLOOKUP($F206,PLAYERS_IDS,2,FALSE)*VLOOKUP($G206,PLAYERS_IDS,2,FALSE))</f>
        <v/>
      </c>
      <c r="R206" s="5">
        <f>IFERROR((P206*100000)+Q206,"")</f>
        <v/>
      </c>
    </row>
    <row r="207" ht="20.25" customHeight="1" s="106">
      <c r="A207" s="14" t="n"/>
      <c r="B207" s="15" t="n">
        <v>203</v>
      </c>
      <c r="C207" s="22" t="n"/>
      <c r="D207" s="22" t="n"/>
      <c r="E207" s="16" t="n"/>
      <c r="F207" s="15" t="n"/>
      <c r="G207" s="15" t="n"/>
      <c r="H207" s="16" t="n"/>
      <c r="I207" s="15">
        <f>IF(ISBLANK($E207)," ",IF($E207&gt;$H207,$C207,$F207))</f>
        <v/>
      </c>
      <c r="J207" s="15">
        <f>IF(ISBLANK($E207)," ",IF($E207&gt;$H207,$D207,$G207))</f>
        <v/>
      </c>
      <c r="K207" s="15" t="n"/>
      <c r="L207" s="15">
        <f>E207-H207</f>
        <v/>
      </c>
      <c r="M207" s="5">
        <f>IF(ISBLANK($E207),"",VLOOKUP($I207,PLAYERS_IDS,2,FALSE)*VLOOKUP($J207,PLAYERS_IDS,2,FALSE))</f>
        <v/>
      </c>
      <c r="N207" s="25">
        <f>IF(ISBLANK($E207)," ", COUNTIF($M$4:$M207,$M207))</f>
        <v/>
      </c>
      <c r="O207" s="25">
        <f>IF(N207 =" ", " ", IF(N207=1,15,(IF(N207=2,15,(IF(N207=3,15,15))))))</f>
        <v/>
      </c>
      <c r="P207" s="5">
        <f>IF(ISBLANK($F207),"",VLOOKUP($C207,PLAYERS_IDS,2,FALSE)*VLOOKUP($D207,PLAYERS_IDS,2,FALSE))</f>
        <v/>
      </c>
      <c r="Q207" s="5">
        <f>IF(ISBLANK($F207), "",VLOOKUP($F207,PLAYERS_IDS,2,FALSE)*VLOOKUP($G207,PLAYERS_IDS,2,FALSE))</f>
        <v/>
      </c>
      <c r="R207" s="5">
        <f>IFERROR((P207*100000)+Q207,"")</f>
        <v/>
      </c>
    </row>
    <row r="208" ht="20.25" customHeight="1" s="106">
      <c r="A208" s="14" t="n"/>
      <c r="B208" s="15" t="n">
        <v>204</v>
      </c>
      <c r="C208" s="22" t="n"/>
      <c r="D208" s="22" t="n"/>
      <c r="E208" s="16" t="n"/>
      <c r="F208" s="15" t="n"/>
      <c r="G208" s="15" t="n"/>
      <c r="H208" s="16" t="n"/>
      <c r="I208" s="15">
        <f>IF(ISBLANK($E208)," ",IF($E208&gt;$H208,$C208,$F208))</f>
        <v/>
      </c>
      <c r="J208" s="15">
        <f>IF(ISBLANK($E208)," ",IF($E208&gt;$H208,$D208,$G208))</f>
        <v/>
      </c>
      <c r="K208" s="15" t="n"/>
      <c r="L208" s="15">
        <f>E208-H208</f>
        <v/>
      </c>
      <c r="M208" s="5">
        <f>IF(ISBLANK($E208),"",VLOOKUP($I208,PLAYERS_IDS,2,FALSE)*VLOOKUP($J208,PLAYERS_IDS,2,FALSE))</f>
        <v/>
      </c>
      <c r="N208" s="25">
        <f>IF(ISBLANK($E208)," ", COUNTIF($M$4:$M208,$M208))</f>
        <v/>
      </c>
      <c r="O208" s="25">
        <f>IF(N208 =" ", " ", IF(N208=1,15,(IF(N208=2,15,(IF(N208=3,15,15))))))</f>
        <v/>
      </c>
      <c r="P208" s="5">
        <f>IF(ISBLANK($F208),"",VLOOKUP($C208,PLAYERS_IDS,2,FALSE)*VLOOKUP($D208,PLAYERS_IDS,2,FALSE))</f>
        <v/>
      </c>
      <c r="Q208" s="5">
        <f>IF(ISBLANK($F208), "",VLOOKUP($F208,PLAYERS_IDS,2,FALSE)*VLOOKUP($G208,PLAYERS_IDS,2,FALSE))</f>
        <v/>
      </c>
      <c r="R208" s="5">
        <f>IFERROR((P208*100000)+Q208,"")</f>
        <v/>
      </c>
    </row>
    <row r="209" ht="20.25" customHeight="1" s="106">
      <c r="A209" s="14" t="n"/>
      <c r="B209" s="15" t="n">
        <v>205</v>
      </c>
      <c r="C209" s="22" t="n"/>
      <c r="D209" s="22" t="n"/>
      <c r="E209" s="16" t="n"/>
      <c r="F209" s="15" t="n"/>
      <c r="G209" s="15" t="n"/>
      <c r="H209" s="16" t="n"/>
      <c r="I209" s="15">
        <f>IF(ISBLANK($E209)," ",IF($E209&gt;$H209,$C209,$F209))</f>
        <v/>
      </c>
      <c r="J209" s="15">
        <f>IF(ISBLANK($E209)," ",IF($E209&gt;$H209,$D209,$G209))</f>
        <v/>
      </c>
      <c r="K209" s="15" t="n"/>
      <c r="L209" s="15">
        <f>E209-H209</f>
        <v/>
      </c>
      <c r="M209" s="5">
        <f>IF(ISBLANK($E209),"",VLOOKUP($I209,PLAYERS_IDS,2,FALSE)*VLOOKUP($J209,PLAYERS_IDS,2,FALSE))</f>
        <v/>
      </c>
      <c r="N209" s="25">
        <f>IF(ISBLANK($E209)," ", COUNTIF($M$4:$M209,$M209))</f>
        <v/>
      </c>
      <c r="O209" s="25">
        <f>IF(N209 =" ", " ", IF(N209=1,15,(IF(N209=2,15,(IF(N209=3,15,15))))))</f>
        <v/>
      </c>
      <c r="P209" s="5">
        <f>IF(ISBLANK($F209),"",VLOOKUP($C209,PLAYERS_IDS,2,FALSE)*VLOOKUP($D209,PLAYERS_IDS,2,FALSE))</f>
        <v/>
      </c>
      <c r="Q209" s="5">
        <f>IF(ISBLANK($F209), "",VLOOKUP($F209,PLAYERS_IDS,2,FALSE)*VLOOKUP($G209,PLAYERS_IDS,2,FALSE))</f>
        <v/>
      </c>
      <c r="R209" s="5">
        <f>IFERROR((P209*100000)+Q209,"")</f>
        <v/>
      </c>
    </row>
    <row r="210" ht="20.25" customHeight="1" s="106">
      <c r="A210" s="14" t="n"/>
      <c r="B210" s="15" t="n">
        <v>206</v>
      </c>
      <c r="C210" s="22" t="n"/>
      <c r="D210" s="22" t="n"/>
      <c r="E210" s="16" t="n"/>
      <c r="F210" s="15" t="n"/>
      <c r="G210" s="15" t="n"/>
      <c r="H210" s="16" t="n"/>
      <c r="I210" s="15">
        <f>IF(ISBLANK($E210)," ",IF($E210&gt;$H210,$C210,$F210))</f>
        <v/>
      </c>
      <c r="J210" s="15">
        <f>IF(ISBLANK($E210)," ",IF($E210&gt;$H210,$D210,$G210))</f>
        <v/>
      </c>
      <c r="K210" s="15" t="n"/>
      <c r="L210" s="15">
        <f>E210-H210</f>
        <v/>
      </c>
      <c r="M210" s="5">
        <f>IF(ISBLANK($E210),"",VLOOKUP($I210,PLAYERS_IDS,2,FALSE)*VLOOKUP($J210,PLAYERS_IDS,2,FALSE))</f>
        <v/>
      </c>
      <c r="N210" s="25">
        <f>IF(ISBLANK($E210)," ", COUNTIF($M$4:$M210,$M210))</f>
        <v/>
      </c>
      <c r="O210" s="25">
        <f>IF(N210 =" ", " ", IF(N210=1,15,(IF(N210=2,15,(IF(N210=3,15,15))))))</f>
        <v/>
      </c>
      <c r="P210" s="5">
        <f>IF(ISBLANK($F210),"",VLOOKUP($C210,PLAYERS_IDS,2,FALSE)*VLOOKUP($D210,PLAYERS_IDS,2,FALSE))</f>
        <v/>
      </c>
      <c r="Q210" s="5">
        <f>IF(ISBLANK($F210), "",VLOOKUP($F210,PLAYERS_IDS,2,FALSE)*VLOOKUP($G210,PLAYERS_IDS,2,FALSE))</f>
        <v/>
      </c>
      <c r="R210" s="5">
        <f>IFERROR((P210*100000)+Q210,"")</f>
        <v/>
      </c>
    </row>
    <row r="211" ht="20.25" customHeight="1" s="106">
      <c r="A211" s="14" t="n"/>
      <c r="B211" s="15" t="n">
        <v>207</v>
      </c>
      <c r="C211" s="22" t="n"/>
      <c r="D211" s="22" t="n"/>
      <c r="E211" s="16" t="n"/>
      <c r="F211" s="15" t="n"/>
      <c r="G211" s="15" t="n"/>
      <c r="H211" s="16" t="n"/>
      <c r="I211" s="15">
        <f>IF(ISBLANK($E211)," ",IF($E211&gt;$H211,$C211,$F211))</f>
        <v/>
      </c>
      <c r="J211" s="15">
        <f>IF(ISBLANK($E211)," ",IF($E211&gt;$H211,$D211,$G211))</f>
        <v/>
      </c>
      <c r="K211" s="15" t="n"/>
      <c r="L211" s="15">
        <f>E211-H211</f>
        <v/>
      </c>
      <c r="M211" s="5">
        <f>IF(ISBLANK($E211),"",VLOOKUP($I211,PLAYERS_IDS,2,FALSE)*VLOOKUP($J211,PLAYERS_IDS,2,FALSE))</f>
        <v/>
      </c>
      <c r="N211" s="25">
        <f>IF(ISBLANK($E211)," ", COUNTIF($M$4:$M211,$M211))</f>
        <v/>
      </c>
      <c r="O211" s="25">
        <f>IF(N211 =" ", " ", IF(N211=1,15,(IF(N211=2,15,(IF(N211=3,15,15))))))</f>
        <v/>
      </c>
      <c r="P211" s="5">
        <f>IF(ISBLANK($F211),"",VLOOKUP($C211,PLAYERS_IDS,2,FALSE)*VLOOKUP($D211,PLAYERS_IDS,2,FALSE))</f>
        <v/>
      </c>
      <c r="Q211" s="5">
        <f>IF(ISBLANK($F211), "",VLOOKUP($F211,PLAYERS_IDS,2,FALSE)*VLOOKUP($G211,PLAYERS_IDS,2,FALSE))</f>
        <v/>
      </c>
      <c r="R211" s="5">
        <f>IFERROR((P211*100000)+Q211,"")</f>
        <v/>
      </c>
    </row>
    <row r="212" ht="20.25" customHeight="1" s="106">
      <c r="A212" s="14" t="n"/>
      <c r="B212" s="15" t="n">
        <v>208</v>
      </c>
      <c r="C212" s="22" t="n"/>
      <c r="D212" s="22" t="n"/>
      <c r="E212" s="16" t="n"/>
      <c r="F212" s="15" t="n"/>
      <c r="G212" s="15" t="n"/>
      <c r="H212" s="16" t="n"/>
      <c r="I212" s="15">
        <f>IF(ISBLANK($E212)," ",IF($E212&gt;$H212,$C212,$F212))</f>
        <v/>
      </c>
      <c r="J212" s="15">
        <f>IF(ISBLANK($E212)," ",IF($E212&gt;$H212,$D212,$G212))</f>
        <v/>
      </c>
      <c r="K212" s="15" t="n"/>
      <c r="L212" s="15">
        <f>E212-H212</f>
        <v/>
      </c>
      <c r="M212" s="5">
        <f>IF(ISBLANK($E212),"",VLOOKUP($I212,PLAYERS_IDS,2,FALSE)*VLOOKUP($J212,PLAYERS_IDS,2,FALSE))</f>
        <v/>
      </c>
      <c r="N212" s="25">
        <f>IF(ISBLANK($E212)," ", COUNTIF($M$4:$M212,$M212))</f>
        <v/>
      </c>
      <c r="O212" s="25">
        <f>IF(N212 =" ", " ", IF(N212=1,15,(IF(N212=2,15,(IF(N212=3,15,15))))))</f>
        <v/>
      </c>
      <c r="P212" s="5">
        <f>IF(ISBLANK($F212),"",VLOOKUP($C212,PLAYERS_IDS,2,FALSE)*VLOOKUP($D212,PLAYERS_IDS,2,FALSE))</f>
        <v/>
      </c>
      <c r="Q212" s="5">
        <f>IF(ISBLANK($F212), "",VLOOKUP($F212,PLAYERS_IDS,2,FALSE)*VLOOKUP($G212,PLAYERS_IDS,2,FALSE))</f>
        <v/>
      </c>
      <c r="R212" s="5">
        <f>IFERROR((P212*100000)+Q212,"")</f>
        <v/>
      </c>
    </row>
    <row r="213" ht="20.25" customHeight="1" s="106">
      <c r="A213" s="14" t="n"/>
      <c r="B213" s="15" t="n">
        <v>209</v>
      </c>
      <c r="C213" s="22" t="n"/>
      <c r="D213" s="22" t="n"/>
      <c r="E213" s="16" t="n"/>
      <c r="F213" s="15" t="n"/>
      <c r="G213" s="15" t="n"/>
      <c r="H213" s="16" t="n"/>
      <c r="I213" s="15">
        <f>IF(ISBLANK($E213)," ",IF($E213&gt;$H213,$C213,$F213))</f>
        <v/>
      </c>
      <c r="J213" s="15">
        <f>IF(ISBLANK($E213)," ",IF($E213&gt;$H213,$D213,$G213))</f>
        <v/>
      </c>
      <c r="K213" s="15" t="n"/>
      <c r="L213" s="15">
        <f>E213-H213</f>
        <v/>
      </c>
      <c r="M213" s="5">
        <f>IF(ISBLANK($E213),"",VLOOKUP($I213,PLAYERS_IDS,2,FALSE)*VLOOKUP($J213,PLAYERS_IDS,2,FALSE))</f>
        <v/>
      </c>
      <c r="N213" s="25">
        <f>IF(ISBLANK($E213)," ", COUNTIF($M$4:$M213,$M213))</f>
        <v/>
      </c>
      <c r="O213" s="25">
        <f>IF(N213 =" ", " ", IF(N213=1,15,(IF(N213=2,15,(IF(N213=3,15,15))))))</f>
        <v/>
      </c>
      <c r="P213" s="5">
        <f>IF(ISBLANK($F213),"",VLOOKUP($C213,PLAYERS_IDS,2,FALSE)*VLOOKUP($D213,PLAYERS_IDS,2,FALSE))</f>
        <v/>
      </c>
      <c r="Q213" s="5">
        <f>IF(ISBLANK($F213), "",VLOOKUP($F213,PLAYERS_IDS,2,FALSE)*VLOOKUP($G213,PLAYERS_IDS,2,FALSE))</f>
        <v/>
      </c>
      <c r="R213" s="5">
        <f>IFERROR((P213*100000)+Q213,"")</f>
        <v/>
      </c>
    </row>
    <row r="214" ht="20.25" customHeight="1" s="106">
      <c r="A214" s="14" t="n"/>
      <c r="B214" s="15" t="n">
        <v>210</v>
      </c>
      <c r="C214" s="22" t="n"/>
      <c r="D214" s="22" t="n"/>
      <c r="E214" s="16" t="n"/>
      <c r="F214" s="15" t="n"/>
      <c r="G214" s="15" t="n"/>
      <c r="H214" s="16" t="n"/>
      <c r="I214" s="15">
        <f>IF(ISBLANK($E214)," ",IF($E214&gt;$H214,$C214,$F214))</f>
        <v/>
      </c>
      <c r="J214" s="15">
        <f>IF(ISBLANK($E214)," ",IF($E214&gt;$H214,$D214,$G214))</f>
        <v/>
      </c>
      <c r="K214" s="15" t="n"/>
      <c r="L214" s="15">
        <f>E214-H214</f>
        <v/>
      </c>
      <c r="M214" s="5">
        <f>IF(ISBLANK($E214),"",VLOOKUP($I214,PLAYERS_IDS,2,FALSE)*VLOOKUP($J214,PLAYERS_IDS,2,FALSE))</f>
        <v/>
      </c>
      <c r="N214" s="25">
        <f>IF(ISBLANK($E214)," ", COUNTIF($M$4:$M214,$M214))</f>
        <v/>
      </c>
      <c r="O214" s="25">
        <f>IF(N214 =" ", " ", IF(N214=1,15,(IF(N214=2,15,(IF(N214=3,15,15))))))</f>
        <v/>
      </c>
      <c r="P214" s="5">
        <f>IF(ISBLANK($F214),"",VLOOKUP($C214,PLAYERS_IDS,2,FALSE)*VLOOKUP($D214,PLAYERS_IDS,2,FALSE))</f>
        <v/>
      </c>
      <c r="Q214" s="5">
        <f>IF(ISBLANK($F214), "",VLOOKUP($F214,PLAYERS_IDS,2,FALSE)*VLOOKUP($G214,PLAYERS_IDS,2,FALSE))</f>
        <v/>
      </c>
      <c r="R214" s="5">
        <f>IFERROR((P214*100000)+Q214,"")</f>
        <v/>
      </c>
    </row>
    <row r="215" ht="20.25" customHeight="1" s="106">
      <c r="A215" s="14" t="n"/>
      <c r="B215" s="15" t="n">
        <v>211</v>
      </c>
      <c r="C215" s="22" t="n"/>
      <c r="D215" s="22" t="n"/>
      <c r="E215" s="16" t="n"/>
      <c r="F215" s="15" t="n"/>
      <c r="G215" s="15" t="n"/>
      <c r="H215" s="16" t="n"/>
      <c r="I215" s="15">
        <f>IF(ISBLANK($E215)," ",IF($E215&gt;$H215,$C215,$F215))</f>
        <v/>
      </c>
      <c r="J215" s="15">
        <f>IF(ISBLANK($E215)," ",IF($E215&gt;$H215,$D215,$G215))</f>
        <v/>
      </c>
      <c r="K215" s="15" t="n"/>
      <c r="L215" s="15">
        <f>E215-H215</f>
        <v/>
      </c>
      <c r="M215" s="5">
        <f>IF(ISBLANK($E215),"",VLOOKUP($I215,PLAYERS_IDS,2,FALSE)*VLOOKUP($J215,PLAYERS_IDS,2,FALSE))</f>
        <v/>
      </c>
      <c r="N215" s="25">
        <f>IF(ISBLANK($E215)," ", COUNTIF($M$4:$M215,$M215))</f>
        <v/>
      </c>
      <c r="O215" s="25">
        <f>IF(N215 =" ", " ", IF(N215=1,15,(IF(N215=2,15,(IF(N215=3,15,15))))))</f>
        <v/>
      </c>
      <c r="P215" s="5">
        <f>IF(ISBLANK($F215),"",VLOOKUP($C215,PLAYERS_IDS,2,FALSE)*VLOOKUP($D215,PLAYERS_IDS,2,FALSE))</f>
        <v/>
      </c>
      <c r="Q215" s="5">
        <f>IF(ISBLANK($F215), "",VLOOKUP($F215,PLAYERS_IDS,2,FALSE)*VLOOKUP($G215,PLAYERS_IDS,2,FALSE))</f>
        <v/>
      </c>
      <c r="R215" s="5">
        <f>IFERROR((P215*100000)+Q215,"")</f>
        <v/>
      </c>
    </row>
    <row r="216" ht="20.25" customHeight="1" s="106">
      <c r="A216" s="14" t="n"/>
      <c r="B216" s="15" t="n">
        <v>212</v>
      </c>
      <c r="C216" s="22" t="n"/>
      <c r="D216" s="22" t="n"/>
      <c r="E216" s="16" t="n"/>
      <c r="F216" s="15" t="n"/>
      <c r="G216" s="15" t="n"/>
      <c r="H216" s="16" t="n"/>
      <c r="I216" s="15">
        <f>IF(ISBLANK($E216)," ",IF($E216&gt;$H216,$C216,$F216))</f>
        <v/>
      </c>
      <c r="J216" s="15">
        <f>IF(ISBLANK($E216)," ",IF($E216&gt;$H216,$D216,$G216))</f>
        <v/>
      </c>
      <c r="K216" s="15" t="n"/>
      <c r="L216" s="15">
        <f>E216-H216</f>
        <v/>
      </c>
      <c r="M216" s="5">
        <f>IF(ISBLANK($E216),"",VLOOKUP($I216,PLAYERS_IDS,2,FALSE)*VLOOKUP($J216,PLAYERS_IDS,2,FALSE))</f>
        <v/>
      </c>
      <c r="N216" s="25">
        <f>IF(ISBLANK($E216)," ", COUNTIF($M$4:$M216,$M216))</f>
        <v/>
      </c>
      <c r="O216" s="25">
        <f>IF(N216 =" ", " ", IF(N216=1,15,(IF(N216=2,15,(IF(N216=3,15,15))))))</f>
        <v/>
      </c>
      <c r="P216" s="5">
        <f>IF(ISBLANK($F216),"",VLOOKUP($C216,PLAYERS_IDS,2,FALSE)*VLOOKUP($D216,PLAYERS_IDS,2,FALSE))</f>
        <v/>
      </c>
      <c r="Q216" s="5">
        <f>IF(ISBLANK($F216), "",VLOOKUP($F216,PLAYERS_IDS,2,FALSE)*VLOOKUP($G216,PLAYERS_IDS,2,FALSE))</f>
        <v/>
      </c>
      <c r="R216" s="5">
        <f>IFERROR((P216*100000)+Q216,"")</f>
        <v/>
      </c>
    </row>
    <row r="217" ht="20.25" customHeight="1" s="106">
      <c r="A217" s="14" t="n"/>
      <c r="B217" s="15" t="n">
        <v>213</v>
      </c>
      <c r="C217" s="22" t="n"/>
      <c r="D217" s="22" t="n"/>
      <c r="E217" s="16" t="n"/>
      <c r="F217" s="15" t="n"/>
      <c r="G217" s="15" t="n"/>
      <c r="H217" s="16" t="n"/>
      <c r="I217" s="15">
        <f>IF(ISBLANK($E217)," ",IF($E217&gt;$H217,$C217,$F217))</f>
        <v/>
      </c>
      <c r="J217" s="15">
        <f>IF(ISBLANK($E217)," ",IF($E217&gt;$H217,$D217,$G217))</f>
        <v/>
      </c>
      <c r="K217" s="15" t="n"/>
      <c r="L217" s="15">
        <f>E217-H217</f>
        <v/>
      </c>
      <c r="M217" s="5">
        <f>IF(ISBLANK($E217),"",VLOOKUP($I217,PLAYERS_IDS,2,FALSE)*VLOOKUP($J217,PLAYERS_IDS,2,FALSE))</f>
        <v/>
      </c>
      <c r="N217" s="25">
        <f>IF(ISBLANK($E217)," ", COUNTIF($M$4:$M217,$M217))</f>
        <v/>
      </c>
      <c r="O217" s="25">
        <f>IF(N217 =" ", " ", IF(N217=1,15,(IF(N217=2,15,(IF(N217=3,15,15))))))</f>
        <v/>
      </c>
      <c r="P217" s="5">
        <f>IF(ISBLANK($F217),"",VLOOKUP($C217,PLAYERS_IDS,2,FALSE)*VLOOKUP($D217,PLAYERS_IDS,2,FALSE))</f>
        <v/>
      </c>
      <c r="Q217" s="5">
        <f>IF(ISBLANK($F217), "",VLOOKUP($F217,PLAYERS_IDS,2,FALSE)*VLOOKUP($G217,PLAYERS_IDS,2,FALSE))</f>
        <v/>
      </c>
      <c r="R217" s="5">
        <f>IFERROR((P217*100000)+Q217,"")</f>
        <v/>
      </c>
    </row>
    <row r="218" ht="20.25" customHeight="1" s="106">
      <c r="A218" s="14" t="n"/>
      <c r="B218" s="15" t="n">
        <v>214</v>
      </c>
      <c r="C218" s="22" t="n"/>
      <c r="D218" s="22" t="n"/>
      <c r="E218" s="16" t="n"/>
      <c r="F218" s="15" t="n"/>
      <c r="G218" s="15" t="n"/>
      <c r="H218" s="16" t="n"/>
      <c r="I218" s="15">
        <f>IF(ISBLANK($E218)," ",IF($E218&gt;$H218,$C218,$F218))</f>
        <v/>
      </c>
      <c r="J218" s="15">
        <f>IF(ISBLANK($E218)," ",IF($E218&gt;$H218,$D218,$G218))</f>
        <v/>
      </c>
      <c r="K218" s="15" t="n"/>
      <c r="L218" s="15">
        <f>E218-H218</f>
        <v/>
      </c>
      <c r="M218" s="5">
        <f>IF(ISBLANK($E218),"",VLOOKUP($I218,PLAYERS_IDS,2,FALSE)*VLOOKUP($J218,PLAYERS_IDS,2,FALSE))</f>
        <v/>
      </c>
      <c r="N218" s="25">
        <f>IF(ISBLANK($E218)," ", COUNTIF($M$4:$M218,$M218))</f>
        <v/>
      </c>
      <c r="O218" s="25">
        <f>IF(N218 =" ", " ", IF(N218=1,15,(IF(N218=2,15,(IF(N218=3,15,15))))))</f>
        <v/>
      </c>
      <c r="P218" s="5">
        <f>IF(ISBLANK($F218),"",VLOOKUP($C218,PLAYERS_IDS,2,FALSE)*VLOOKUP($D218,PLAYERS_IDS,2,FALSE))</f>
        <v/>
      </c>
      <c r="Q218" s="5">
        <f>IF(ISBLANK($F218), "",VLOOKUP($F218,PLAYERS_IDS,2,FALSE)*VLOOKUP($G218,PLAYERS_IDS,2,FALSE))</f>
        <v/>
      </c>
      <c r="R218" s="5">
        <f>IFERROR((P218*100000)+Q218,"")</f>
        <v/>
      </c>
    </row>
    <row r="219" ht="20.25" customHeight="1" s="106">
      <c r="A219" s="14" t="n"/>
      <c r="B219" s="15" t="n">
        <v>215</v>
      </c>
      <c r="C219" s="22" t="n"/>
      <c r="D219" s="22" t="n"/>
      <c r="E219" s="16" t="n"/>
      <c r="F219" s="15" t="n"/>
      <c r="G219" s="15" t="n"/>
      <c r="H219" s="16" t="n"/>
      <c r="I219" s="15">
        <f>IF(ISBLANK($E219)," ",IF($E219&gt;$H219,$C219,$F219))</f>
        <v/>
      </c>
      <c r="J219" s="15">
        <f>IF(ISBLANK($E219)," ",IF($E219&gt;$H219,$D219,$G219))</f>
        <v/>
      </c>
      <c r="K219" s="15" t="n"/>
      <c r="L219" s="15">
        <f>E219-H219</f>
        <v/>
      </c>
      <c r="M219" s="5">
        <f>IF(ISBLANK($E219),"",VLOOKUP($I219,PLAYERS_IDS,2,FALSE)*VLOOKUP($J219,PLAYERS_IDS,2,FALSE))</f>
        <v/>
      </c>
      <c r="N219" s="25">
        <f>IF(ISBLANK($E219)," ", COUNTIF($M$4:$M219,$M219))</f>
        <v/>
      </c>
      <c r="O219" s="25">
        <f>IF(N219 =" ", " ", IF(N219=1,15,(IF(N219=2,15,(IF(N219=3,15,15))))))</f>
        <v/>
      </c>
      <c r="P219" s="5">
        <f>IF(ISBLANK($F219),"",VLOOKUP($C219,PLAYERS_IDS,2,FALSE)*VLOOKUP($D219,PLAYERS_IDS,2,FALSE))</f>
        <v/>
      </c>
      <c r="Q219" s="5">
        <f>IF(ISBLANK($F219), "",VLOOKUP($F219,PLAYERS_IDS,2,FALSE)*VLOOKUP($G219,PLAYERS_IDS,2,FALSE))</f>
        <v/>
      </c>
      <c r="R219" s="5">
        <f>IFERROR((P219*100000)+Q219,"")</f>
        <v/>
      </c>
    </row>
    <row r="220" ht="20.25" customHeight="1" s="106">
      <c r="A220" s="14" t="n"/>
      <c r="B220" s="15" t="n">
        <v>216</v>
      </c>
      <c r="C220" s="22" t="n"/>
      <c r="D220" s="22" t="n"/>
      <c r="E220" s="16" t="n"/>
      <c r="F220" s="15" t="n"/>
      <c r="G220" s="15" t="n"/>
      <c r="H220" s="16" t="n"/>
      <c r="I220" s="15">
        <f>IF(ISBLANK($E220)," ",IF($E220&gt;$H220,$C220,$F220))</f>
        <v/>
      </c>
      <c r="J220" s="15">
        <f>IF(ISBLANK($E220)," ",IF($E220&gt;$H220,$D220,$G220))</f>
        <v/>
      </c>
      <c r="K220" s="15" t="n"/>
      <c r="L220" s="15">
        <f>E220-H220</f>
        <v/>
      </c>
      <c r="M220" s="5">
        <f>IF(ISBLANK($E220),"",VLOOKUP($I220,PLAYERS_IDS,2,FALSE)*VLOOKUP($J220,PLAYERS_IDS,2,FALSE))</f>
        <v/>
      </c>
      <c r="N220" s="25">
        <f>IF(ISBLANK($E220)," ", COUNTIF($M$4:$M220,$M220))</f>
        <v/>
      </c>
      <c r="O220" s="25">
        <f>IF(N220 =" ", " ", IF(N220=1,15,(IF(N220=2,15,(IF(N220=3,15,15))))))</f>
        <v/>
      </c>
      <c r="P220" s="5">
        <f>IF(ISBLANK($F220),"",VLOOKUP($C220,PLAYERS_IDS,2,FALSE)*VLOOKUP($D220,PLAYERS_IDS,2,FALSE))</f>
        <v/>
      </c>
      <c r="Q220" s="5">
        <f>IF(ISBLANK($F220), "",VLOOKUP($F220,PLAYERS_IDS,2,FALSE)*VLOOKUP($G220,PLAYERS_IDS,2,FALSE))</f>
        <v/>
      </c>
      <c r="R220" s="5">
        <f>IFERROR((P220*100000)+Q220,"")</f>
        <v/>
      </c>
    </row>
    <row r="221" ht="20.25" customHeight="1" s="106">
      <c r="A221" s="14" t="n"/>
      <c r="B221" s="15" t="n">
        <v>217</v>
      </c>
      <c r="C221" s="22" t="n"/>
      <c r="D221" s="22" t="n"/>
      <c r="E221" s="16" t="n"/>
      <c r="F221" s="15" t="n"/>
      <c r="G221" s="15" t="n"/>
      <c r="H221" s="16" t="n"/>
      <c r="I221" s="15">
        <f>IF(ISBLANK($E221)," ",IF($E221&gt;$H221,$C221,$F221))</f>
        <v/>
      </c>
      <c r="J221" s="15">
        <f>IF(ISBLANK($E221)," ",IF($E221&gt;$H221,$D221,$G221))</f>
        <v/>
      </c>
      <c r="K221" s="15" t="n"/>
      <c r="L221" s="15">
        <f>E221-H221</f>
        <v/>
      </c>
      <c r="M221" s="5">
        <f>IF(ISBLANK($E221),"",VLOOKUP($I221,PLAYERS_IDS,2,FALSE)*VLOOKUP($J221,PLAYERS_IDS,2,FALSE))</f>
        <v/>
      </c>
      <c r="N221" s="25">
        <f>IF(ISBLANK($E221)," ", COUNTIF($M$4:$M221,$M221))</f>
        <v/>
      </c>
      <c r="O221" s="25">
        <f>IF(N221 =" ", " ", IF(N221=1,15,(IF(N221=2,15,(IF(N221=3,15,15))))))</f>
        <v/>
      </c>
      <c r="P221" s="5">
        <f>IF(ISBLANK($F221),"",VLOOKUP($C221,PLAYERS_IDS,2,FALSE)*VLOOKUP($D221,PLAYERS_IDS,2,FALSE))</f>
        <v/>
      </c>
      <c r="Q221" s="5">
        <f>IF(ISBLANK($F221), "",VLOOKUP($F221,PLAYERS_IDS,2,FALSE)*VLOOKUP($G221,PLAYERS_IDS,2,FALSE))</f>
        <v/>
      </c>
      <c r="R221" s="5">
        <f>IFERROR((P221*100000)+Q221,"")</f>
        <v/>
      </c>
    </row>
    <row r="222" ht="20.25" customHeight="1" s="106">
      <c r="A222" s="14" t="n"/>
      <c r="B222" s="15" t="n">
        <v>218</v>
      </c>
      <c r="C222" s="22" t="n"/>
      <c r="D222" s="22" t="n"/>
      <c r="E222" s="16" t="n"/>
      <c r="F222" s="15" t="n"/>
      <c r="G222" s="15" t="n"/>
      <c r="H222" s="16" t="n"/>
      <c r="I222" s="15">
        <f>IF(ISBLANK($E222)," ",IF($E222&gt;$H222,$C222,$F222))</f>
        <v/>
      </c>
      <c r="J222" s="15">
        <f>IF(ISBLANK($E222)," ",IF($E222&gt;$H222,$D222,$G222))</f>
        <v/>
      </c>
      <c r="K222" s="15" t="n"/>
      <c r="L222" s="15">
        <f>E222-H222</f>
        <v/>
      </c>
      <c r="M222" s="5">
        <f>IF(ISBLANK($E222),"",VLOOKUP($I222,PLAYERS_IDS,2,FALSE)*VLOOKUP($J222,PLAYERS_IDS,2,FALSE))</f>
        <v/>
      </c>
      <c r="N222" s="25">
        <f>IF(ISBLANK($E222)," ", COUNTIF($M$4:$M222,$M222))</f>
        <v/>
      </c>
      <c r="O222" s="25">
        <f>IF(N222 =" ", " ", IF(N222=1,15,(IF(N222=2,15,(IF(N222=3,15,15))))))</f>
        <v/>
      </c>
      <c r="P222" s="5">
        <f>IF(ISBLANK($F222),"",VLOOKUP($C222,PLAYERS_IDS,2,FALSE)*VLOOKUP($D222,PLAYERS_IDS,2,FALSE))</f>
        <v/>
      </c>
      <c r="Q222" s="5">
        <f>IF(ISBLANK($F222), "",VLOOKUP($F222,PLAYERS_IDS,2,FALSE)*VLOOKUP($G222,PLAYERS_IDS,2,FALSE))</f>
        <v/>
      </c>
      <c r="R222" s="5">
        <f>IFERROR((P222*100000)+Q222,"")</f>
        <v/>
      </c>
    </row>
    <row r="223" ht="20.25" customHeight="1" s="106">
      <c r="A223" s="14" t="n"/>
      <c r="B223" s="15" t="n">
        <v>219</v>
      </c>
      <c r="C223" s="22" t="n"/>
      <c r="D223" s="22" t="n"/>
      <c r="E223" s="16" t="n"/>
      <c r="F223" s="15" t="n"/>
      <c r="G223" s="15" t="n"/>
      <c r="H223" s="16" t="n"/>
      <c r="I223" s="15">
        <f>IF(ISBLANK($E223)," ",IF($E223&gt;$H223,$C223,$F223))</f>
        <v/>
      </c>
      <c r="J223" s="15">
        <f>IF(ISBLANK($E223)," ",IF($E223&gt;$H223,$D223,$G223))</f>
        <v/>
      </c>
      <c r="K223" s="15" t="n"/>
      <c r="L223" s="15">
        <f>E223-H223</f>
        <v/>
      </c>
      <c r="M223" s="5">
        <f>IF(ISBLANK($E223),"",VLOOKUP($I223,PLAYERS_IDS,2,FALSE)*VLOOKUP($J223,PLAYERS_IDS,2,FALSE))</f>
        <v/>
      </c>
      <c r="N223" s="25">
        <f>IF(ISBLANK($E223)," ", COUNTIF($M$4:$M223,$M223))</f>
        <v/>
      </c>
      <c r="O223" s="25">
        <f>IF(N223 =" ", " ", IF(N223=1,15,(IF(N223=2,15,(IF(N223=3,15,15))))))</f>
        <v/>
      </c>
      <c r="P223" s="5">
        <f>IF(ISBLANK($F223),"",VLOOKUP($C223,PLAYERS_IDS,2,FALSE)*VLOOKUP($D223,PLAYERS_IDS,2,FALSE))</f>
        <v/>
      </c>
      <c r="Q223" s="5">
        <f>IF(ISBLANK($F223), "",VLOOKUP($F223,PLAYERS_IDS,2,FALSE)*VLOOKUP($G223,PLAYERS_IDS,2,FALSE))</f>
        <v/>
      </c>
      <c r="R223" s="5">
        <f>IFERROR((P223*100000)+Q223,"")</f>
        <v/>
      </c>
    </row>
    <row r="224" ht="20.25" customHeight="1" s="106">
      <c r="A224" s="14" t="n"/>
      <c r="B224" s="15" t="n">
        <v>220</v>
      </c>
      <c r="C224" s="22" t="n"/>
      <c r="D224" s="22" t="n"/>
      <c r="E224" s="16" t="n"/>
      <c r="F224" s="15" t="n"/>
      <c r="G224" s="15" t="n"/>
      <c r="H224" s="16" t="n"/>
      <c r="I224" s="15">
        <f>IF(ISBLANK($E224)," ",IF($E224&gt;$H224,$C224,$F224))</f>
        <v/>
      </c>
      <c r="J224" s="15">
        <f>IF(ISBLANK($E224)," ",IF($E224&gt;$H224,$D224,$G224))</f>
        <v/>
      </c>
      <c r="K224" s="15" t="n"/>
      <c r="L224" s="15">
        <f>E224-H224</f>
        <v/>
      </c>
      <c r="M224" s="5">
        <f>IF(ISBLANK($E224),"",VLOOKUP($I224,PLAYERS_IDS,2,FALSE)*VLOOKUP($J224,PLAYERS_IDS,2,FALSE))</f>
        <v/>
      </c>
      <c r="N224" s="25">
        <f>IF(ISBLANK($E224)," ", COUNTIF($M$4:$M224,$M224))</f>
        <v/>
      </c>
      <c r="O224" s="25">
        <f>IF(N224 =" ", " ", IF(N224=1,15,(IF(N224=2,15,(IF(N224=3,15,15))))))</f>
        <v/>
      </c>
      <c r="P224" s="5">
        <f>IF(ISBLANK($F224),"",VLOOKUP($C224,PLAYERS_IDS,2,FALSE)*VLOOKUP($D224,PLAYERS_IDS,2,FALSE))</f>
        <v/>
      </c>
      <c r="Q224" s="5">
        <f>IF(ISBLANK($F224), "",VLOOKUP($F224,PLAYERS_IDS,2,FALSE)*VLOOKUP($G224,PLAYERS_IDS,2,FALSE))</f>
        <v/>
      </c>
      <c r="R224" s="5">
        <f>IFERROR((P224*100000)+Q224,"")</f>
        <v/>
      </c>
    </row>
    <row r="225" ht="20.25" customHeight="1" s="106">
      <c r="A225" s="14" t="n"/>
      <c r="B225" s="15" t="n">
        <v>221</v>
      </c>
      <c r="C225" s="22" t="n"/>
      <c r="D225" s="22" t="n"/>
      <c r="E225" s="16" t="n"/>
      <c r="F225" s="15" t="n"/>
      <c r="G225" s="15" t="n"/>
      <c r="H225" s="16" t="n"/>
      <c r="I225" s="15">
        <f>IF(ISBLANK($E225)," ",IF($E225&gt;$H225,$C225,$F225))</f>
        <v/>
      </c>
      <c r="J225" s="15">
        <f>IF(ISBLANK($E225)," ",IF($E225&gt;$H225,$D225,$G225))</f>
        <v/>
      </c>
      <c r="K225" s="15" t="n"/>
      <c r="L225" s="15">
        <f>E225-H225</f>
        <v/>
      </c>
      <c r="M225" s="5">
        <f>IF(ISBLANK($E225),"",VLOOKUP($I225,PLAYERS_IDS,2,FALSE)*VLOOKUP($J225,PLAYERS_IDS,2,FALSE))</f>
        <v/>
      </c>
      <c r="N225" s="25">
        <f>IF(ISBLANK($E225)," ", COUNTIF($M$4:$M225,$M225))</f>
        <v/>
      </c>
      <c r="O225" s="25">
        <f>IF(N225 =" ", " ", IF(N225=1,15,(IF(N225=2,15,(IF(N225=3,15,15))))))</f>
        <v/>
      </c>
      <c r="P225" s="5">
        <f>IF(ISBLANK($F225),"",VLOOKUP($C225,PLAYERS_IDS,2,FALSE)*VLOOKUP($D225,PLAYERS_IDS,2,FALSE))</f>
        <v/>
      </c>
      <c r="Q225" s="5">
        <f>IF(ISBLANK($F225), "",VLOOKUP($F225,PLAYERS_IDS,2,FALSE)*VLOOKUP($G225,PLAYERS_IDS,2,FALSE))</f>
        <v/>
      </c>
      <c r="R225" s="5">
        <f>IFERROR((P225*100000)+Q225,"")</f>
        <v/>
      </c>
    </row>
    <row r="226" ht="20.25" customHeight="1" s="106">
      <c r="A226" s="14" t="n"/>
      <c r="B226" s="15" t="n">
        <v>222</v>
      </c>
      <c r="C226" s="22" t="n"/>
      <c r="D226" s="22" t="n"/>
      <c r="E226" s="16" t="n"/>
      <c r="F226" s="15" t="n"/>
      <c r="G226" s="15" t="n"/>
      <c r="H226" s="16" t="n"/>
      <c r="I226" s="15">
        <f>IF(ISBLANK($E226)," ",IF($E226&gt;$H226,$C226,$F226))</f>
        <v/>
      </c>
      <c r="J226" s="15">
        <f>IF(ISBLANK($E226)," ",IF($E226&gt;$H226,$D226,$G226))</f>
        <v/>
      </c>
      <c r="K226" s="15" t="n"/>
      <c r="L226" s="15">
        <f>E226-H226</f>
        <v/>
      </c>
      <c r="M226" s="5">
        <f>IF(ISBLANK($E226),"",VLOOKUP($I226,PLAYERS_IDS,2,FALSE)*VLOOKUP($J226,PLAYERS_IDS,2,FALSE))</f>
        <v/>
      </c>
      <c r="N226" s="25">
        <f>IF(ISBLANK($E226)," ", COUNTIF($M$4:$M226,$M226))</f>
        <v/>
      </c>
      <c r="O226" s="25">
        <f>IF(N226 =" ", " ", IF(N226=1,15,(IF(N226=2,15,(IF(N226=3,15,15))))))</f>
        <v/>
      </c>
      <c r="P226" s="5">
        <f>IF(ISBLANK($F226),"",VLOOKUP($C226,PLAYERS_IDS,2,FALSE)*VLOOKUP($D226,PLAYERS_IDS,2,FALSE))</f>
        <v/>
      </c>
      <c r="Q226" s="5">
        <f>IF(ISBLANK($F226), "",VLOOKUP($F226,PLAYERS_IDS,2,FALSE)*VLOOKUP($G226,PLAYERS_IDS,2,FALSE))</f>
        <v/>
      </c>
      <c r="R226" s="5">
        <f>IFERROR((P226*100000)+Q226,"")</f>
        <v/>
      </c>
    </row>
    <row r="227" ht="20.25" customHeight="1" s="106">
      <c r="A227" s="14" t="n"/>
      <c r="B227" s="15" t="n">
        <v>223</v>
      </c>
      <c r="C227" s="22" t="n"/>
      <c r="D227" s="22" t="n"/>
      <c r="E227" s="16" t="n"/>
      <c r="F227" s="15" t="n"/>
      <c r="G227" s="15" t="n"/>
      <c r="H227" s="16" t="n"/>
      <c r="I227" s="15">
        <f>IF(ISBLANK($E227)," ",IF($E227&gt;$H227,$C227,$F227))</f>
        <v/>
      </c>
      <c r="J227" s="15">
        <f>IF(ISBLANK($E227)," ",IF($E227&gt;$H227,$D227,$G227))</f>
        <v/>
      </c>
      <c r="K227" s="15" t="n"/>
      <c r="L227" s="15">
        <f>E227-H227</f>
        <v/>
      </c>
      <c r="M227" s="5">
        <f>IF(ISBLANK($E227),"",VLOOKUP($I227,PLAYERS_IDS,2,FALSE)*VLOOKUP($J227,PLAYERS_IDS,2,FALSE))</f>
        <v/>
      </c>
      <c r="N227" s="25">
        <f>IF(ISBLANK($E227)," ", COUNTIF($M$4:$M227,$M227))</f>
        <v/>
      </c>
      <c r="O227" s="25">
        <f>IF(N227 =" ", " ", IF(N227=1,15,(IF(N227=2,15,(IF(N227=3,15,15))))))</f>
        <v/>
      </c>
      <c r="P227" s="5">
        <f>IF(ISBLANK($F227),"",VLOOKUP($C227,PLAYERS_IDS,2,FALSE)*VLOOKUP($D227,PLAYERS_IDS,2,FALSE))</f>
        <v/>
      </c>
      <c r="Q227" s="5">
        <f>IF(ISBLANK($F227), "",VLOOKUP($F227,PLAYERS_IDS,2,FALSE)*VLOOKUP($G227,PLAYERS_IDS,2,FALSE))</f>
        <v/>
      </c>
      <c r="R227" s="5">
        <f>IFERROR((P227*100000)+Q227,"")</f>
        <v/>
      </c>
    </row>
    <row r="228" ht="20.25" customHeight="1" s="106">
      <c r="A228" s="14" t="n"/>
      <c r="B228" s="15" t="n">
        <v>224</v>
      </c>
      <c r="C228" s="22" t="n"/>
      <c r="D228" s="22" t="n"/>
      <c r="E228" s="16" t="n"/>
      <c r="F228" s="15" t="n"/>
      <c r="G228" s="15" t="n"/>
      <c r="H228" s="16" t="n"/>
      <c r="I228" s="15">
        <f>IF(ISBLANK($E228)," ",IF($E228&gt;$H228,$C228,$F228))</f>
        <v/>
      </c>
      <c r="J228" s="15">
        <f>IF(ISBLANK($E228)," ",IF($E228&gt;$H228,$D228,$G228))</f>
        <v/>
      </c>
      <c r="K228" s="15" t="n"/>
      <c r="L228" s="15">
        <f>E228-H228</f>
        <v/>
      </c>
      <c r="M228" s="5">
        <f>IF(ISBLANK($E228),"",VLOOKUP($I228,PLAYERS_IDS,2,FALSE)*VLOOKUP($J228,PLAYERS_IDS,2,FALSE))</f>
        <v/>
      </c>
      <c r="N228" s="25">
        <f>IF(ISBLANK($E228)," ", COUNTIF($M$4:$M228,$M228))</f>
        <v/>
      </c>
      <c r="O228" s="25">
        <f>IF(N228 =" ", " ", IF(N228=1,15,(IF(N228=2,15,(IF(N228=3,15,15))))))</f>
        <v/>
      </c>
      <c r="P228" s="5">
        <f>IF(ISBLANK($F228),"",VLOOKUP($C228,PLAYERS_IDS,2,FALSE)*VLOOKUP($D228,PLAYERS_IDS,2,FALSE))</f>
        <v/>
      </c>
      <c r="Q228" s="5">
        <f>IF(ISBLANK($F228), "",VLOOKUP($F228,PLAYERS_IDS,2,FALSE)*VLOOKUP($G228,PLAYERS_IDS,2,FALSE))</f>
        <v/>
      </c>
      <c r="R228" s="5">
        <f>IFERROR((P228*100000)+Q228,"")</f>
        <v/>
      </c>
    </row>
    <row r="229" ht="20.25" customHeight="1" s="106">
      <c r="A229" s="14" t="n"/>
      <c r="B229" s="15" t="n">
        <v>225</v>
      </c>
      <c r="C229" s="22" t="n"/>
      <c r="D229" s="22" t="n"/>
      <c r="E229" s="16" t="n"/>
      <c r="F229" s="15" t="n"/>
      <c r="G229" s="15" t="n"/>
      <c r="H229" s="16" t="n"/>
      <c r="I229" s="15">
        <f>IF(ISBLANK($E229)," ",IF($E229&gt;$H229,$C229,$F229))</f>
        <v/>
      </c>
      <c r="J229" s="15">
        <f>IF(ISBLANK($E229)," ",IF($E229&gt;$H229,$D229,$G229))</f>
        <v/>
      </c>
      <c r="K229" s="15" t="n"/>
      <c r="L229" s="15">
        <f>E229-H229</f>
        <v/>
      </c>
      <c r="M229" s="5">
        <f>IF(ISBLANK($E229),"",VLOOKUP($I229,PLAYERS_IDS,2,FALSE)*VLOOKUP($J229,PLAYERS_IDS,2,FALSE))</f>
        <v/>
      </c>
      <c r="N229" s="25">
        <f>IF(ISBLANK($E229)," ", COUNTIF($M$4:$M229,$M229))</f>
        <v/>
      </c>
      <c r="O229" s="25">
        <f>IF(N229 =" ", " ", IF(N229=1,15,(IF(N229=2,15,(IF(N229=3,15,15))))))</f>
        <v/>
      </c>
      <c r="P229" s="5">
        <f>IF(ISBLANK($F229),"",VLOOKUP($C229,PLAYERS_IDS,2,FALSE)*VLOOKUP($D229,PLAYERS_IDS,2,FALSE))</f>
        <v/>
      </c>
      <c r="Q229" s="5">
        <f>IF(ISBLANK($F229), "",VLOOKUP($F229,PLAYERS_IDS,2,FALSE)*VLOOKUP($G229,PLAYERS_IDS,2,FALSE))</f>
        <v/>
      </c>
      <c r="R229" s="5">
        <f>IFERROR((P229*100000)+Q229,"")</f>
        <v/>
      </c>
    </row>
    <row r="230" ht="20.25" customHeight="1" s="106">
      <c r="A230" s="14" t="n"/>
      <c r="B230" s="15" t="n">
        <v>226</v>
      </c>
      <c r="C230" s="22" t="n"/>
      <c r="D230" s="22" t="n"/>
      <c r="E230" s="16" t="n"/>
      <c r="F230" s="15" t="n"/>
      <c r="G230" s="15" t="n"/>
      <c r="H230" s="16" t="n"/>
      <c r="I230" s="15">
        <f>IF(ISBLANK($E230)," ",IF($E230&gt;$H230,$C230,$F230))</f>
        <v/>
      </c>
      <c r="J230" s="15">
        <f>IF(ISBLANK($E230)," ",IF($E230&gt;$H230,$D230,$G230))</f>
        <v/>
      </c>
      <c r="K230" s="15" t="n"/>
      <c r="L230" s="15">
        <f>E230-H230</f>
        <v/>
      </c>
      <c r="M230" s="5">
        <f>IF(ISBLANK($E230),"",VLOOKUP($I230,PLAYERS_IDS,2,FALSE)*VLOOKUP($J230,PLAYERS_IDS,2,FALSE))</f>
        <v/>
      </c>
      <c r="N230" s="25">
        <f>IF(ISBLANK($E230)," ", COUNTIF($M$4:$M230,$M230))</f>
        <v/>
      </c>
      <c r="O230" s="25">
        <f>IF(N230 =" ", " ", IF(N230=1,15,(IF(N230=2,15,(IF(N230=3,15,15))))))</f>
        <v/>
      </c>
      <c r="P230" s="5">
        <f>IF(ISBLANK($F230),"",VLOOKUP($C230,PLAYERS_IDS,2,FALSE)*VLOOKUP($D230,PLAYERS_IDS,2,FALSE))</f>
        <v/>
      </c>
      <c r="Q230" s="5">
        <f>IF(ISBLANK($F230), "",VLOOKUP($F230,PLAYERS_IDS,2,FALSE)*VLOOKUP($G230,PLAYERS_IDS,2,FALSE))</f>
        <v/>
      </c>
      <c r="R230" s="5">
        <f>IFERROR((P230*100000)+Q230,"")</f>
        <v/>
      </c>
    </row>
    <row r="231" ht="20.25" customHeight="1" s="106">
      <c r="A231" s="14" t="n"/>
      <c r="B231" s="15" t="n">
        <v>227</v>
      </c>
      <c r="C231" s="22" t="n"/>
      <c r="D231" s="22" t="n"/>
      <c r="E231" s="23" t="n"/>
      <c r="F231" s="21" t="n"/>
      <c r="G231" s="21" t="n"/>
      <c r="H231" s="23" t="n"/>
      <c r="I231" s="15">
        <f>IF(ISBLANK($E231)," ",IF($E231&gt;$H231,$C231,$F231))</f>
        <v/>
      </c>
      <c r="J231" s="15">
        <f>IF(ISBLANK($E231)," ",IF($E231&gt;$H231,$D231,$G231))</f>
        <v/>
      </c>
      <c r="K231" s="15" t="n"/>
      <c r="L231" s="15">
        <f>E231-H231</f>
        <v/>
      </c>
      <c r="M231" s="5">
        <f>IF(ISBLANK($E231),"",VLOOKUP($I231,PLAYERS_IDS,2,FALSE)*VLOOKUP($J231,PLAYERS_IDS,2,FALSE))</f>
        <v/>
      </c>
      <c r="N231" s="25">
        <f>IF(ISBLANK($E231)," ", COUNTIF($M$4:$M231,$M231))</f>
        <v/>
      </c>
      <c r="O231" s="25">
        <f>IF(N231 =" ", " ", IF(N231=1,15,(IF(N231=2,15,(IF(N231=3,15,15))))))</f>
        <v/>
      </c>
      <c r="P231" s="5">
        <f>IF(ISBLANK($F231),"",VLOOKUP($C231,PLAYERS_IDS,2,FALSE)*VLOOKUP($D231,PLAYERS_IDS,2,FALSE))</f>
        <v/>
      </c>
      <c r="Q231" s="5">
        <f>IF(ISBLANK($F231), "",VLOOKUP($F231,PLAYERS_IDS,2,FALSE)*VLOOKUP($G231,PLAYERS_IDS,2,FALSE))</f>
        <v/>
      </c>
      <c r="R231" s="5">
        <f>IFERROR((P231*100000)+Q231,"")</f>
        <v/>
      </c>
    </row>
    <row r="232" ht="20.25" customHeight="1" s="106">
      <c r="A232" s="14" t="n"/>
      <c r="B232" s="15" t="n">
        <v>228</v>
      </c>
      <c r="C232" s="22" t="n"/>
      <c r="D232" s="22" t="n"/>
      <c r="E232" s="23" t="n"/>
      <c r="F232" s="21" t="n"/>
      <c r="G232" s="21" t="n"/>
      <c r="H232" s="16" t="n"/>
      <c r="I232" s="15">
        <f>IF(ISBLANK($E232)," ",IF($E232&gt;$H232,$C232,$F232))</f>
        <v/>
      </c>
      <c r="J232" s="15">
        <f>IF(ISBLANK($E232)," ",IF($E232&gt;$H232,$D232,$G232))</f>
        <v/>
      </c>
      <c r="K232" s="15" t="n"/>
      <c r="L232" s="15">
        <f>E232-H232</f>
        <v/>
      </c>
      <c r="M232" s="5">
        <f>IF(ISBLANK($E232),"",VLOOKUP($I232,PLAYERS_IDS,2,FALSE)*VLOOKUP($J232,PLAYERS_IDS,2,FALSE))</f>
        <v/>
      </c>
      <c r="N232" s="25">
        <f>IF(ISBLANK($E232)," ", COUNTIF($M$4:$M232,$M232))</f>
        <v/>
      </c>
      <c r="O232" s="25">
        <f>IF(N232 =" ", " ", IF(N232=1,15,(IF(N232=2,15,(IF(N232=3,15,15))))))</f>
        <v/>
      </c>
      <c r="P232" s="5">
        <f>IF(ISBLANK($F232),"",VLOOKUP($C232,PLAYERS_IDS,2,FALSE)*VLOOKUP($D232,PLAYERS_IDS,2,FALSE))</f>
        <v/>
      </c>
      <c r="Q232" s="5">
        <f>IF(ISBLANK($F232), "",VLOOKUP($F232,PLAYERS_IDS,2,FALSE)*VLOOKUP($G232,PLAYERS_IDS,2,FALSE))</f>
        <v/>
      </c>
      <c r="R232" s="5">
        <f>IFERROR((P232*100000)+Q232,"")</f>
        <v/>
      </c>
    </row>
    <row r="233" ht="20.25" customHeight="1" s="106">
      <c r="A233" s="14" t="n"/>
      <c r="B233" s="15" t="n">
        <v>229</v>
      </c>
      <c r="C233" s="22" t="n"/>
      <c r="D233" s="22" t="n"/>
      <c r="E233" s="23" t="n"/>
      <c r="F233" s="21" t="n"/>
      <c r="G233" s="21" t="n"/>
      <c r="H233" s="16" t="n"/>
      <c r="I233" s="15">
        <f>IF(ISBLANK($E233)," ",IF($E233&gt;$H233,$C233,$F233))</f>
        <v/>
      </c>
      <c r="J233" s="15">
        <f>IF(ISBLANK($E233)," ",IF($E233&gt;$H233,$D233,$G233))</f>
        <v/>
      </c>
      <c r="K233" s="15" t="n"/>
      <c r="L233" s="15">
        <f>E233-H233</f>
        <v/>
      </c>
      <c r="M233" s="5">
        <f>IF(ISBLANK($E233),"",VLOOKUP($I233,PLAYERS_IDS,2,FALSE)*VLOOKUP($J233,PLAYERS_IDS,2,FALSE))</f>
        <v/>
      </c>
      <c r="N233" s="25">
        <f>IF(ISBLANK($E233)," ", COUNTIF($M$4:$M233,$M233))</f>
        <v/>
      </c>
      <c r="O233" s="25">
        <f>IF(N233 =" ", " ", IF(N233=1,15,(IF(N233=2,15,(IF(N233=3,15,15))))))</f>
        <v/>
      </c>
      <c r="P233" s="5">
        <f>IF(ISBLANK($F233),"",VLOOKUP($C233,PLAYERS_IDS,2,FALSE)*VLOOKUP($D233,PLAYERS_IDS,2,FALSE))</f>
        <v/>
      </c>
      <c r="Q233" s="5">
        <f>IF(ISBLANK($F233), "",VLOOKUP($F233,PLAYERS_IDS,2,FALSE)*VLOOKUP($G233,PLAYERS_IDS,2,FALSE))</f>
        <v/>
      </c>
      <c r="R233" s="5">
        <f>IFERROR((P233*100000)+Q233,"")</f>
        <v/>
      </c>
    </row>
    <row r="234" ht="20.25" customHeight="1" s="106">
      <c r="A234" s="14" t="n"/>
      <c r="B234" s="15" t="n">
        <v>230</v>
      </c>
      <c r="C234" s="22" t="n"/>
      <c r="D234" s="22" t="n"/>
      <c r="E234" s="23" t="n"/>
      <c r="F234" s="21" t="n"/>
      <c r="G234" s="21" t="n"/>
      <c r="H234" s="16" t="n"/>
      <c r="I234" s="15">
        <f>IF(ISBLANK($E234)," ",IF($E234&gt;$H234,$C234,$F234))</f>
        <v/>
      </c>
      <c r="J234" s="15">
        <f>IF(ISBLANK($E234)," ",IF($E234&gt;$H234,$D234,$G234))</f>
        <v/>
      </c>
      <c r="K234" s="15" t="n"/>
      <c r="L234" s="15">
        <f>E234-H234</f>
        <v/>
      </c>
      <c r="M234" s="5">
        <f>IF(ISBLANK($E234),"",VLOOKUP($I234,PLAYERS_IDS,2,FALSE)*VLOOKUP($J234,PLAYERS_IDS,2,FALSE))</f>
        <v/>
      </c>
      <c r="N234" s="25">
        <f>IF(ISBLANK($E234)," ", COUNTIF($M$4:$M234,$M234))</f>
        <v/>
      </c>
      <c r="O234" s="25">
        <f>IF(N234 =" ", " ", IF(N234=1,15,(IF(N234=2,15,(IF(N234=3,15,15))))))</f>
        <v/>
      </c>
      <c r="P234" s="5">
        <f>IF(ISBLANK($F234),"",VLOOKUP($C234,PLAYERS_IDS,2,FALSE)*VLOOKUP($D234,PLAYERS_IDS,2,FALSE))</f>
        <v/>
      </c>
      <c r="Q234" s="5">
        <f>IF(ISBLANK($F234), "",VLOOKUP($F234,PLAYERS_IDS,2,FALSE)*VLOOKUP($G234,PLAYERS_IDS,2,FALSE))</f>
        <v/>
      </c>
      <c r="R234" s="5">
        <f>IFERROR((P234*100000)+Q234,"")</f>
        <v/>
      </c>
    </row>
    <row r="235" ht="20.25" customHeight="1" s="106">
      <c r="A235" s="14" t="n"/>
      <c r="B235" s="15" t="n">
        <v>231</v>
      </c>
      <c r="C235" s="22" t="n"/>
      <c r="D235" s="22" t="n"/>
      <c r="E235" s="23" t="n"/>
      <c r="F235" s="21" t="n"/>
      <c r="G235" s="21" t="n"/>
      <c r="H235" s="16" t="n"/>
      <c r="I235" s="15">
        <f>IF(ISBLANK($E235)," ",IF($E235&gt;$H235,$C235,$F235))</f>
        <v/>
      </c>
      <c r="J235" s="15">
        <f>IF(ISBLANK($E235)," ",IF($E235&gt;$H235,$D235,$G235))</f>
        <v/>
      </c>
      <c r="K235" s="15" t="n"/>
      <c r="L235" s="15">
        <f>E235-H235</f>
        <v/>
      </c>
      <c r="M235" s="5">
        <f>IF(ISBLANK($E235),"",VLOOKUP($I235,PLAYERS_IDS,2,FALSE)*VLOOKUP($J235,PLAYERS_IDS,2,FALSE))</f>
        <v/>
      </c>
      <c r="N235" s="25">
        <f>IF(ISBLANK($E235)," ", COUNTIF($M$4:$M235,$M235))</f>
        <v/>
      </c>
      <c r="O235" s="25">
        <f>IF(N235 =" ", " ", IF(N235=1,15,(IF(N235=2,15,(IF(N235=3,15,15))))))</f>
        <v/>
      </c>
      <c r="P235" s="5">
        <f>IF(ISBLANK($F235),"",VLOOKUP($C235,PLAYERS_IDS,2,FALSE)*VLOOKUP($D235,PLAYERS_IDS,2,FALSE))</f>
        <v/>
      </c>
      <c r="Q235" s="5">
        <f>IF(ISBLANK($F235), "",VLOOKUP($F235,PLAYERS_IDS,2,FALSE)*VLOOKUP($G235,PLAYERS_IDS,2,FALSE))</f>
        <v/>
      </c>
      <c r="R235" s="5">
        <f>IFERROR((P235*100000)+Q235,"")</f>
        <v/>
      </c>
    </row>
    <row r="236" ht="20.25" customHeight="1" s="106">
      <c r="A236" s="14" t="n"/>
      <c r="B236" s="15" t="n">
        <v>232</v>
      </c>
      <c r="C236" s="22" t="n"/>
      <c r="D236" s="22" t="n"/>
      <c r="E236" s="23" t="n"/>
      <c r="F236" s="21" t="n"/>
      <c r="G236" s="21" t="n"/>
      <c r="H236" s="16" t="n"/>
      <c r="I236" s="15">
        <f>IF(ISBLANK($E236)," ",IF($E236&gt;$H236,$C236,$F236))</f>
        <v/>
      </c>
      <c r="J236" s="15">
        <f>IF(ISBLANK($E236)," ",IF($E236&gt;$H236,$D236,$G236))</f>
        <v/>
      </c>
      <c r="K236" s="15" t="n"/>
      <c r="L236" s="15">
        <f>E236-H236</f>
        <v/>
      </c>
      <c r="M236" s="5">
        <f>IF(ISBLANK($E236),"",VLOOKUP($I236,PLAYERS_IDS,2,FALSE)*VLOOKUP($J236,PLAYERS_IDS,2,FALSE))</f>
        <v/>
      </c>
      <c r="N236" s="25">
        <f>IF(ISBLANK($E236)," ", COUNTIF($M$4:$M236,$M236))</f>
        <v/>
      </c>
      <c r="O236" s="25">
        <f>IF(N236 =" ", " ", IF(N236=1,15,(IF(N236=2,15,(IF(N236=3,15,15))))))</f>
        <v/>
      </c>
      <c r="P236" s="5">
        <f>IF(ISBLANK($F236),"",VLOOKUP($C236,PLAYERS_IDS,2,FALSE)*VLOOKUP($D236,PLAYERS_IDS,2,FALSE))</f>
        <v/>
      </c>
      <c r="Q236" s="5">
        <f>IF(ISBLANK($F236), "",VLOOKUP($F236,PLAYERS_IDS,2,FALSE)*VLOOKUP($G236,PLAYERS_IDS,2,FALSE))</f>
        <v/>
      </c>
      <c r="R236" s="5">
        <f>IFERROR((P236*100000)+Q236,"")</f>
        <v/>
      </c>
    </row>
    <row r="237" ht="20.25" customHeight="1" s="106">
      <c r="A237" s="14" t="n"/>
      <c r="B237" s="15" t="n">
        <v>233</v>
      </c>
      <c r="C237" s="22" t="n"/>
      <c r="D237" s="22" t="n"/>
      <c r="E237" s="23" t="n"/>
      <c r="F237" s="21" t="n"/>
      <c r="G237" s="21" t="n"/>
      <c r="H237" s="16" t="n"/>
      <c r="I237" s="15">
        <f>IF(ISBLANK($E237)," ",IF($E237&gt;$H237,$C237,$F237))</f>
        <v/>
      </c>
      <c r="J237" s="15">
        <f>IF(ISBLANK($E237)," ",IF($E237&gt;$H237,$D237,$G237))</f>
        <v/>
      </c>
      <c r="K237" s="15" t="n"/>
      <c r="L237" s="15">
        <f>E237-H237</f>
        <v/>
      </c>
      <c r="M237" s="5">
        <f>IF(ISBLANK($E237),"",VLOOKUP($I237,PLAYERS_IDS,2,FALSE)*VLOOKUP($J237,PLAYERS_IDS,2,FALSE))</f>
        <v/>
      </c>
      <c r="N237" s="25">
        <f>IF(ISBLANK($E237)," ", COUNTIF($M$4:$M237,$M237))</f>
        <v/>
      </c>
      <c r="O237" s="25">
        <f>IF(N237 =" ", " ", IF(N237=1,15,(IF(N237=2,15,(IF(N237=3,15,15))))))</f>
        <v/>
      </c>
      <c r="P237" s="5">
        <f>IF(ISBLANK($F237),"",VLOOKUP($C237,PLAYERS_IDS,2,FALSE)*VLOOKUP($D237,PLAYERS_IDS,2,FALSE))</f>
        <v/>
      </c>
      <c r="Q237" s="5">
        <f>IF(ISBLANK($F237), "",VLOOKUP($F237,PLAYERS_IDS,2,FALSE)*VLOOKUP($G237,PLAYERS_IDS,2,FALSE))</f>
        <v/>
      </c>
      <c r="R237" s="5">
        <f>IFERROR((P237*100000)+Q237,"")</f>
        <v/>
      </c>
    </row>
    <row r="238" ht="20.25" customHeight="1" s="106">
      <c r="A238" s="14" t="n"/>
      <c r="B238" s="15" t="n">
        <v>234</v>
      </c>
      <c r="C238" s="22" t="n"/>
      <c r="D238" s="22" t="n"/>
      <c r="E238" s="23" t="n"/>
      <c r="F238" s="21" t="n"/>
      <c r="G238" s="21" t="n"/>
      <c r="H238" s="16" t="n"/>
      <c r="I238" s="15">
        <f>IF(ISBLANK($E238)," ",IF($E238&gt;$H238,$C238,$F238))</f>
        <v/>
      </c>
      <c r="J238" s="15">
        <f>IF(ISBLANK($E238)," ",IF($E238&gt;$H238,$D238,$G238))</f>
        <v/>
      </c>
      <c r="K238" s="15" t="n"/>
      <c r="L238" s="15">
        <f>E238-H238</f>
        <v/>
      </c>
      <c r="M238" s="5">
        <f>IF(ISBLANK($E238),"",VLOOKUP($I238,PLAYERS_IDS,2,FALSE)*VLOOKUP($J238,PLAYERS_IDS,2,FALSE))</f>
        <v/>
      </c>
      <c r="N238" s="25">
        <f>IF(ISBLANK($E238)," ", COUNTIF($M$4:$M238,$M238))</f>
        <v/>
      </c>
      <c r="O238" s="25">
        <f>IF(N238 =" ", " ", IF(N238=1,15,(IF(N238=2,15,(IF(N238=3,15,15))))))</f>
        <v/>
      </c>
      <c r="P238" s="5">
        <f>IF(ISBLANK($F238),"",VLOOKUP($C238,PLAYERS_IDS,2,FALSE)*VLOOKUP($D238,PLAYERS_IDS,2,FALSE))</f>
        <v/>
      </c>
      <c r="Q238" s="5">
        <f>IF(ISBLANK($F238), "",VLOOKUP($F238,PLAYERS_IDS,2,FALSE)*VLOOKUP($G238,PLAYERS_IDS,2,FALSE))</f>
        <v/>
      </c>
      <c r="R238" s="5">
        <f>IFERROR((P238*100000)+Q238,"")</f>
        <v/>
      </c>
    </row>
    <row r="239" ht="20.25" customHeight="1" s="106">
      <c r="A239" s="14" t="n"/>
      <c r="B239" s="15" t="n">
        <v>235</v>
      </c>
      <c r="C239" s="22" t="n"/>
      <c r="D239" s="22" t="n"/>
      <c r="E239" s="23" t="n"/>
      <c r="F239" s="21" t="n"/>
      <c r="G239" s="21" t="n"/>
      <c r="H239" s="16" t="n"/>
      <c r="I239" s="15">
        <f>IF(ISBLANK($E239)," ",IF($E239&gt;$H239,$C239,$F239))</f>
        <v/>
      </c>
      <c r="J239" s="15">
        <f>IF(ISBLANK($E239)," ",IF($E239&gt;$H239,$D239,$G239))</f>
        <v/>
      </c>
      <c r="K239" s="15" t="n"/>
      <c r="L239" s="15">
        <f>E239-H239</f>
        <v/>
      </c>
      <c r="M239" s="5">
        <f>IF(ISBLANK($E239),"",VLOOKUP($I239,PLAYERS_IDS,2,FALSE)*VLOOKUP($J239,PLAYERS_IDS,2,FALSE))</f>
        <v/>
      </c>
      <c r="N239" s="25">
        <f>IF(ISBLANK($E239)," ", COUNTIF($M$4:$M239,$M239))</f>
        <v/>
      </c>
      <c r="O239" s="25">
        <f>IF(N239 =" ", " ", IF(N239=1,15,(IF(N239=2,15,(IF(N239=3,15,15))))))</f>
        <v/>
      </c>
      <c r="P239" s="5">
        <f>IF(ISBLANK($F239),"",VLOOKUP($C239,PLAYERS_IDS,2,FALSE)*VLOOKUP($D239,PLAYERS_IDS,2,FALSE))</f>
        <v/>
      </c>
      <c r="Q239" s="5">
        <f>IF(ISBLANK($F239), "",VLOOKUP($F239,PLAYERS_IDS,2,FALSE)*VLOOKUP($G239,PLAYERS_IDS,2,FALSE))</f>
        <v/>
      </c>
      <c r="R239" s="5">
        <f>IFERROR((P239*100000)+Q239,"")</f>
        <v/>
      </c>
    </row>
    <row r="240" ht="20.25" customHeight="1" s="106">
      <c r="A240" s="14" t="n"/>
      <c r="B240" s="15" t="n">
        <v>236</v>
      </c>
      <c r="C240" s="22" t="n"/>
      <c r="D240" s="22" t="n"/>
      <c r="E240" s="23" t="n"/>
      <c r="F240" s="21" t="n"/>
      <c r="G240" s="21" t="n"/>
      <c r="H240" s="16" t="n"/>
      <c r="I240" s="15">
        <f>IF(ISBLANK($E240)," ",IF($E240&gt;$H240,$C240,$F240))</f>
        <v/>
      </c>
      <c r="J240" s="15">
        <f>IF(ISBLANK($E240)," ",IF($E240&gt;$H240,$D240,$G240))</f>
        <v/>
      </c>
      <c r="K240" s="15" t="n"/>
      <c r="L240" s="15">
        <f>E240-H240</f>
        <v/>
      </c>
      <c r="M240" s="5">
        <f>IF(ISBLANK($E240),"",VLOOKUP($I240,PLAYERS_IDS,2,FALSE)*VLOOKUP($J240,PLAYERS_IDS,2,FALSE))</f>
        <v/>
      </c>
      <c r="N240" s="25">
        <f>IF(ISBLANK($E240)," ", COUNTIF($M$4:$M240,$M240))</f>
        <v/>
      </c>
      <c r="O240" s="25">
        <f>IF(N240 =" ", " ", IF(N240=1,15,(IF(N240=2,15,(IF(N240=3,15,15))))))</f>
        <v/>
      </c>
      <c r="P240" s="5">
        <f>IF(ISBLANK($F240),"",VLOOKUP($C240,PLAYERS_IDS,2,FALSE)*VLOOKUP($D240,PLAYERS_IDS,2,FALSE))</f>
        <v/>
      </c>
      <c r="Q240" s="5">
        <f>IF(ISBLANK($F240), "",VLOOKUP($F240,PLAYERS_IDS,2,FALSE)*VLOOKUP($G240,PLAYERS_IDS,2,FALSE))</f>
        <v/>
      </c>
      <c r="R240" s="5">
        <f>IFERROR((P240*100000)+Q240,"")</f>
        <v/>
      </c>
    </row>
    <row r="241" ht="20.25" customHeight="1" s="106">
      <c r="A241" s="14" t="n"/>
      <c r="B241" s="15" t="n">
        <v>237</v>
      </c>
      <c r="C241" s="22" t="n"/>
      <c r="D241" s="22" t="n"/>
      <c r="E241" s="23" t="n"/>
      <c r="F241" s="21" t="n"/>
      <c r="G241" s="21" t="n"/>
      <c r="H241" s="16" t="n"/>
      <c r="I241" s="15">
        <f>IF(ISBLANK($E241)," ",IF($E241&gt;$H241,$C241,$F241))</f>
        <v/>
      </c>
      <c r="J241" s="15">
        <f>IF(ISBLANK($E241)," ",IF($E241&gt;$H241,$D241,$G241))</f>
        <v/>
      </c>
      <c r="K241" s="15" t="n"/>
      <c r="L241" s="15">
        <f>E241-H241</f>
        <v/>
      </c>
      <c r="M241" s="5">
        <f>IF(ISBLANK($E241),"",VLOOKUP($I241,PLAYERS_IDS,2,FALSE)*VLOOKUP($J241,PLAYERS_IDS,2,FALSE))</f>
        <v/>
      </c>
      <c r="N241" s="25">
        <f>IF(ISBLANK($E241)," ", COUNTIF($M$4:$M241,$M241))</f>
        <v/>
      </c>
      <c r="O241" s="25">
        <f>IF(N241 =" ", " ", IF(N241=1,15,(IF(N241=2,15,(IF(N241=3,15,15))))))</f>
        <v/>
      </c>
      <c r="P241" s="5">
        <f>IF(ISBLANK($F241),"",VLOOKUP($C241,PLAYERS_IDS,2,FALSE)*VLOOKUP($D241,PLAYERS_IDS,2,FALSE))</f>
        <v/>
      </c>
      <c r="Q241" s="5">
        <f>IF(ISBLANK($F241), "",VLOOKUP($F241,PLAYERS_IDS,2,FALSE)*VLOOKUP($G241,PLAYERS_IDS,2,FALSE))</f>
        <v/>
      </c>
      <c r="R241" s="5">
        <f>IFERROR((P241*100000)+Q241,"")</f>
        <v/>
      </c>
    </row>
    <row r="242" ht="20.25" customHeight="1" s="106">
      <c r="A242" s="14" t="n"/>
      <c r="B242" s="15" t="n">
        <v>238</v>
      </c>
      <c r="C242" s="22" t="n"/>
      <c r="D242" s="22" t="n"/>
      <c r="E242" s="23" t="n"/>
      <c r="F242" s="21" t="n"/>
      <c r="G242" s="21" t="n"/>
      <c r="H242" s="16" t="n"/>
      <c r="I242" s="15">
        <f>IF(ISBLANK($E242)," ",IF($E242&gt;$H242,$C242,$F242))</f>
        <v/>
      </c>
      <c r="J242" s="15">
        <f>IF(ISBLANK($E242)," ",IF($E242&gt;$H242,$D242,$G242))</f>
        <v/>
      </c>
      <c r="K242" s="15" t="n"/>
      <c r="L242" s="15">
        <f>E242-H242</f>
        <v/>
      </c>
      <c r="M242" s="5">
        <f>IF(ISBLANK($E242),"",VLOOKUP($I242,PLAYERS_IDS,2,FALSE)*VLOOKUP($J242,PLAYERS_IDS,2,FALSE))</f>
        <v/>
      </c>
      <c r="N242" s="25">
        <f>IF(ISBLANK($E242)," ", COUNTIF($M$4:$M242,$M242))</f>
        <v/>
      </c>
      <c r="O242" s="25">
        <f>IF(N242 =" ", " ", IF(N242=1,15,(IF(N242=2,15,(IF(N242=3,15,15))))))</f>
        <v/>
      </c>
      <c r="P242" s="5">
        <f>IF(ISBLANK($F242),"",VLOOKUP($C242,PLAYERS_IDS,2,FALSE)*VLOOKUP($D242,PLAYERS_IDS,2,FALSE))</f>
        <v/>
      </c>
      <c r="Q242" s="5">
        <f>IF(ISBLANK($F242), "",VLOOKUP($F242,PLAYERS_IDS,2,FALSE)*VLOOKUP($G242,PLAYERS_IDS,2,FALSE))</f>
        <v/>
      </c>
      <c r="R242" s="5">
        <f>IFERROR((P242*100000)+Q242,"")</f>
        <v/>
      </c>
    </row>
    <row r="243" ht="20.25" customHeight="1" s="106">
      <c r="A243" s="14" t="n"/>
      <c r="B243" s="15" t="n">
        <v>239</v>
      </c>
      <c r="C243" s="22" t="n"/>
      <c r="D243" s="22" t="n"/>
      <c r="E243" s="23" t="n"/>
      <c r="F243" s="21" t="n"/>
      <c r="G243" s="21" t="n"/>
      <c r="H243" s="16" t="n"/>
      <c r="I243" s="15">
        <f>IF(ISBLANK($E243)," ",IF($E243&gt;$H243,$C243,$F243))</f>
        <v/>
      </c>
      <c r="J243" s="15">
        <f>IF(ISBLANK($E243)," ",IF($E243&gt;$H243,$D243,$G243))</f>
        <v/>
      </c>
      <c r="K243" s="15" t="n"/>
      <c r="L243" s="15">
        <f>E243-H243</f>
        <v/>
      </c>
      <c r="M243" s="5">
        <f>IF(ISBLANK($E243),"",VLOOKUP($I243,PLAYERS_IDS,2,FALSE)*VLOOKUP($J243,PLAYERS_IDS,2,FALSE))</f>
        <v/>
      </c>
      <c r="N243" s="25">
        <f>IF(ISBLANK($E243)," ", COUNTIF($M$4:$M243,$M243))</f>
        <v/>
      </c>
      <c r="O243" s="25">
        <f>IF(N243 =" ", " ", IF(N243=1,15,(IF(N243=2,15,(IF(N243=3,15,15))))))</f>
        <v/>
      </c>
      <c r="P243" s="5">
        <f>IF(ISBLANK($F243),"",VLOOKUP($C243,PLAYERS_IDS,2,FALSE)*VLOOKUP($D243,PLAYERS_IDS,2,FALSE))</f>
        <v/>
      </c>
      <c r="Q243" s="5">
        <f>IF(ISBLANK($F243), "",VLOOKUP($F243,PLAYERS_IDS,2,FALSE)*VLOOKUP($G243,PLAYERS_IDS,2,FALSE))</f>
        <v/>
      </c>
      <c r="R243" s="5">
        <f>IFERROR((P243*100000)+Q243,"")</f>
        <v/>
      </c>
    </row>
    <row r="244" ht="20.25" customHeight="1" s="106">
      <c r="A244" s="14" t="n"/>
      <c r="B244" s="15" t="n">
        <v>240</v>
      </c>
      <c r="C244" s="22" t="n"/>
      <c r="D244" s="22" t="n"/>
      <c r="E244" s="23" t="n"/>
      <c r="F244" s="21" t="n"/>
      <c r="G244" s="21" t="n"/>
      <c r="H244" s="16" t="n"/>
      <c r="I244" s="15">
        <f>IF(ISBLANK($E244)," ",IF($E244&gt;$H244,$C244,$F244))</f>
        <v/>
      </c>
      <c r="J244" s="15">
        <f>IF(ISBLANK($E244)," ",IF($E244&gt;$H244,$D244,$G244))</f>
        <v/>
      </c>
      <c r="K244" s="15" t="n"/>
      <c r="L244" s="15">
        <f>E244-H244</f>
        <v/>
      </c>
      <c r="M244" s="5">
        <f>IF(ISBLANK($E244),"",VLOOKUP($I244,PLAYERS_IDS,2,FALSE)*VLOOKUP($J244,PLAYERS_IDS,2,FALSE))</f>
        <v/>
      </c>
      <c r="N244" s="25">
        <f>IF(ISBLANK($E244)," ", COUNTIF($M$4:$M244,$M244))</f>
        <v/>
      </c>
      <c r="O244" s="25">
        <f>IF(N244 =" ", " ", IF(N244=1,15,(IF(N244=2,15,(IF(N244=3,15,15))))))</f>
        <v/>
      </c>
      <c r="P244" s="5">
        <f>IF(ISBLANK($F244),"",VLOOKUP($C244,PLAYERS_IDS,2,FALSE)*VLOOKUP($D244,PLAYERS_IDS,2,FALSE))</f>
        <v/>
      </c>
      <c r="Q244" s="5">
        <f>IF(ISBLANK($F244), "",VLOOKUP($F244,PLAYERS_IDS,2,FALSE)*VLOOKUP($G244,PLAYERS_IDS,2,FALSE))</f>
        <v/>
      </c>
      <c r="R244" s="5">
        <f>IFERROR((P244*100000)+Q244,"")</f>
        <v/>
      </c>
    </row>
    <row r="245" ht="20.25" customHeight="1" s="106">
      <c r="A245" s="14" t="n"/>
      <c r="B245" s="15" t="n">
        <v>241</v>
      </c>
      <c r="C245" s="22" t="n"/>
      <c r="D245" s="22" t="n"/>
      <c r="E245" s="23" t="n"/>
      <c r="F245" s="21" t="n"/>
      <c r="G245" s="21" t="n"/>
      <c r="H245" s="16" t="n"/>
      <c r="I245" s="15">
        <f>IF(ISBLANK($E245)," ",IF($E245&gt;$H245,$C245,$F245))</f>
        <v/>
      </c>
      <c r="J245" s="15">
        <f>IF(ISBLANK($E245)," ",IF($E245&gt;$H245,$D245,$G245))</f>
        <v/>
      </c>
      <c r="K245" s="15" t="n"/>
      <c r="L245" s="15">
        <f>E245-H245</f>
        <v/>
      </c>
      <c r="M245" s="5">
        <f>IF(ISBLANK($E245),"",VLOOKUP($I245,PLAYERS_IDS,2,FALSE)*VLOOKUP($J245,PLAYERS_IDS,2,FALSE))</f>
        <v/>
      </c>
      <c r="N245" s="25">
        <f>IF(ISBLANK($E245)," ", COUNTIF($M$4:$M245,$M245))</f>
        <v/>
      </c>
      <c r="O245" s="25">
        <f>IF(N245 =" ", " ", IF(N245=1,15,(IF(N245=2,15,(IF(N245=3,15,15))))))</f>
        <v/>
      </c>
      <c r="P245" s="5">
        <f>IF(ISBLANK($F245),"",VLOOKUP($C245,PLAYERS_IDS,2,FALSE)*VLOOKUP($D245,PLAYERS_IDS,2,FALSE))</f>
        <v/>
      </c>
      <c r="Q245" s="5">
        <f>IF(ISBLANK($F245), "",VLOOKUP($F245,PLAYERS_IDS,2,FALSE)*VLOOKUP($G245,PLAYERS_IDS,2,FALSE))</f>
        <v/>
      </c>
      <c r="R245" s="5">
        <f>IFERROR((P245*100000)+Q245,"")</f>
        <v/>
      </c>
    </row>
    <row r="246" ht="20.25" customHeight="1" s="106">
      <c r="A246" s="14" t="n"/>
      <c r="B246" s="15" t="n">
        <v>242</v>
      </c>
      <c r="C246" s="22" t="n"/>
      <c r="D246" s="22" t="n"/>
      <c r="E246" s="23" t="n"/>
      <c r="F246" s="21" t="n"/>
      <c r="G246" s="21" t="n"/>
      <c r="H246" s="16" t="n"/>
      <c r="I246" s="15">
        <f>IF(ISBLANK($E246)," ",IF($E246&gt;$H246,$C246,$F246))</f>
        <v/>
      </c>
      <c r="J246" s="15">
        <f>IF(ISBLANK($E246)," ",IF($E246&gt;$H246,$D246,$G246))</f>
        <v/>
      </c>
      <c r="K246" s="15" t="n"/>
      <c r="L246" s="15">
        <f>E246-H246</f>
        <v/>
      </c>
      <c r="M246" s="5">
        <f>IF(ISBLANK($E246),"",VLOOKUP($I246,PLAYERS_IDS,2,FALSE)*VLOOKUP($J246,PLAYERS_IDS,2,FALSE))</f>
        <v/>
      </c>
      <c r="N246" s="25">
        <f>IF(ISBLANK($E246)," ", COUNTIF($M$4:$M246,$M246))</f>
        <v/>
      </c>
      <c r="O246" s="25">
        <f>IF(N246 =" ", " ", IF(N246=1,15,(IF(N246=2,15,(IF(N246=3,15,15))))))</f>
        <v/>
      </c>
      <c r="P246" s="5">
        <f>IF(ISBLANK($F246),"",VLOOKUP($C246,PLAYERS_IDS,2,FALSE)*VLOOKUP($D246,PLAYERS_IDS,2,FALSE))</f>
        <v/>
      </c>
      <c r="Q246" s="5">
        <f>IF(ISBLANK($F246), "",VLOOKUP($F246,PLAYERS_IDS,2,FALSE)*VLOOKUP($G246,PLAYERS_IDS,2,FALSE))</f>
        <v/>
      </c>
      <c r="R246" s="5">
        <f>IFERROR((P246*100000)+Q246,"")</f>
        <v/>
      </c>
    </row>
    <row r="247" ht="20.25" customHeight="1" s="106">
      <c r="A247" s="14" t="n"/>
      <c r="B247" s="15" t="n">
        <v>243</v>
      </c>
      <c r="C247" s="22" t="n"/>
      <c r="D247" s="22" t="n"/>
      <c r="E247" s="23" t="n"/>
      <c r="F247" s="21" t="n"/>
      <c r="G247" s="21" t="n"/>
      <c r="H247" s="16" t="n"/>
      <c r="I247" s="15">
        <f>IF(ISBLANK($E247)," ",IF($E247&gt;$H247,$C247,$F247))</f>
        <v/>
      </c>
      <c r="J247" s="15">
        <f>IF(ISBLANK($E247)," ",IF($E247&gt;$H247,$D247,$G247))</f>
        <v/>
      </c>
      <c r="K247" s="15" t="n"/>
      <c r="L247" s="15">
        <f>E247-H247</f>
        <v/>
      </c>
      <c r="M247" s="5">
        <f>IF(ISBLANK($E247),"",VLOOKUP($I247,PLAYERS_IDS,2,FALSE)*VLOOKUP($J247,PLAYERS_IDS,2,FALSE))</f>
        <v/>
      </c>
      <c r="N247" s="25">
        <f>IF(ISBLANK($E247)," ", COUNTIF($M$4:$M247,$M247))</f>
        <v/>
      </c>
      <c r="O247" s="25">
        <f>IF(N247 =" ", " ", IF(N247=1,15,(IF(N247=2,15,(IF(N247=3,15,15))))))</f>
        <v/>
      </c>
      <c r="P247" s="5">
        <f>IF(ISBLANK($F247),"",VLOOKUP($C247,PLAYERS_IDS,2,FALSE)*VLOOKUP($D247,PLAYERS_IDS,2,FALSE))</f>
        <v/>
      </c>
      <c r="Q247" s="5">
        <f>IF(ISBLANK($F247), "",VLOOKUP($F247,PLAYERS_IDS,2,FALSE)*VLOOKUP($G247,PLAYERS_IDS,2,FALSE))</f>
        <v/>
      </c>
      <c r="R247" s="5">
        <f>IFERROR((P247*100000)+Q247,"")</f>
        <v/>
      </c>
    </row>
    <row r="248" ht="20.25" customHeight="1" s="106">
      <c r="A248" s="14" t="n"/>
      <c r="B248" s="15" t="n">
        <v>244</v>
      </c>
      <c r="C248" s="22" t="n"/>
      <c r="D248" s="22" t="n"/>
      <c r="E248" s="23" t="n"/>
      <c r="F248" s="21" t="n"/>
      <c r="G248" s="21" t="n"/>
      <c r="H248" s="16" t="n"/>
      <c r="I248" s="15">
        <f>IF(ISBLANK($E248)," ",IF($E248&gt;$H248,$C248,$F248))</f>
        <v/>
      </c>
      <c r="J248" s="15">
        <f>IF(ISBLANK($E248)," ",IF($E248&gt;$H248,$D248,$G248))</f>
        <v/>
      </c>
      <c r="K248" s="15" t="n"/>
      <c r="L248" s="15">
        <f>E248-H248</f>
        <v/>
      </c>
      <c r="M248" s="5">
        <f>IF(ISBLANK($E248),"",VLOOKUP($I248,PLAYERS_IDS,2,FALSE)*VLOOKUP($J248,PLAYERS_IDS,2,FALSE))</f>
        <v/>
      </c>
      <c r="N248" s="25">
        <f>IF(ISBLANK($E248)," ", COUNTIF($M$4:$M248,$M248))</f>
        <v/>
      </c>
      <c r="O248" s="25">
        <f>IF(N248 =" ", " ", IF(N248=1,15,(IF(N248=2,15,(IF(N248=3,15,15))))))</f>
        <v/>
      </c>
      <c r="P248" s="5">
        <f>IF(ISBLANK($F248),"",VLOOKUP($C248,PLAYERS_IDS,2,FALSE)*VLOOKUP($D248,PLAYERS_IDS,2,FALSE))</f>
        <v/>
      </c>
      <c r="Q248" s="5">
        <f>IF(ISBLANK($F248), "",VLOOKUP($F248,PLAYERS_IDS,2,FALSE)*VLOOKUP($G248,PLAYERS_IDS,2,FALSE))</f>
        <v/>
      </c>
      <c r="R248" s="5">
        <f>IFERROR((P248*100000)+Q248,"")</f>
        <v/>
      </c>
    </row>
    <row r="249" ht="20.25" customHeight="1" s="106">
      <c r="A249" s="14" t="n"/>
      <c r="B249" s="15" t="n">
        <v>245</v>
      </c>
      <c r="C249" s="22" t="n"/>
      <c r="D249" s="22" t="n"/>
      <c r="E249" s="23" t="n"/>
      <c r="F249" s="21" t="n"/>
      <c r="G249" s="21" t="n"/>
      <c r="H249" s="16" t="n"/>
      <c r="I249" s="15">
        <f>IF(ISBLANK($E249)," ",IF($E249&gt;$H249,$C249,$F249))</f>
        <v/>
      </c>
      <c r="J249" s="15">
        <f>IF(ISBLANK($E249)," ",IF($E249&gt;$H249,$D249,$G249))</f>
        <v/>
      </c>
      <c r="K249" s="15" t="n"/>
      <c r="L249" s="15">
        <f>E249-H249</f>
        <v/>
      </c>
      <c r="M249" s="5">
        <f>IF(ISBLANK($E249),"",VLOOKUP($I249,PLAYERS_IDS,2,FALSE)*VLOOKUP($J249,PLAYERS_IDS,2,FALSE))</f>
        <v/>
      </c>
      <c r="N249" s="25">
        <f>IF(ISBLANK($E249)," ", COUNTIF($M$4:$M249,$M249))</f>
        <v/>
      </c>
      <c r="O249" s="25">
        <f>IF(N249 =" ", " ", IF(N249=1,15,(IF(N249=2,15,(IF(N249=3,15,15))))))</f>
        <v/>
      </c>
      <c r="P249" s="5">
        <f>IF(ISBLANK($F249),"",VLOOKUP($C249,PLAYERS_IDS,2,FALSE)*VLOOKUP($D249,PLAYERS_IDS,2,FALSE))</f>
        <v/>
      </c>
      <c r="Q249" s="5">
        <f>IF(ISBLANK($F249), "",VLOOKUP($F249,PLAYERS_IDS,2,FALSE)*VLOOKUP($G249,PLAYERS_IDS,2,FALSE))</f>
        <v/>
      </c>
      <c r="R249" s="5">
        <f>IFERROR((P249*100000)+Q249,"")</f>
        <v/>
      </c>
    </row>
    <row r="250" ht="20.25" customHeight="1" s="106">
      <c r="A250" s="14" t="n"/>
      <c r="B250" s="15" t="n">
        <v>246</v>
      </c>
      <c r="C250" s="22" t="n"/>
      <c r="D250" s="22" t="n"/>
      <c r="E250" s="23" t="n"/>
      <c r="F250" s="21" t="n"/>
      <c r="G250" s="21" t="n"/>
      <c r="H250" s="16" t="n"/>
      <c r="I250" s="15">
        <f>IF(ISBLANK($E250)," ",IF($E250&gt;$H250,$C250,$F250))</f>
        <v/>
      </c>
      <c r="J250" s="15">
        <f>IF(ISBLANK($E250)," ",IF($E250&gt;$H250,$D250,$G250))</f>
        <v/>
      </c>
      <c r="K250" s="15" t="n"/>
      <c r="L250" s="15">
        <f>E250-H250</f>
        <v/>
      </c>
      <c r="M250" s="5">
        <f>IF(ISBLANK($E250),"",VLOOKUP($I250,PLAYERS_IDS,2,FALSE)*VLOOKUP($J250,PLAYERS_IDS,2,FALSE))</f>
        <v/>
      </c>
      <c r="N250" s="25">
        <f>IF(ISBLANK($E250)," ", COUNTIF($M$4:$M250,$M250))</f>
        <v/>
      </c>
      <c r="O250" s="25">
        <f>IF(N250 =" ", " ", IF(N250=1,15,(IF(N250=2,15,(IF(N250=3,15,15))))))</f>
        <v/>
      </c>
      <c r="P250" s="5">
        <f>IF(ISBLANK($F250),"",VLOOKUP($C250,PLAYERS_IDS,2,FALSE)*VLOOKUP($D250,PLAYERS_IDS,2,FALSE))</f>
        <v/>
      </c>
      <c r="Q250" s="5">
        <f>IF(ISBLANK($F250), "",VLOOKUP($F250,PLAYERS_IDS,2,FALSE)*VLOOKUP($G250,PLAYERS_IDS,2,FALSE))</f>
        <v/>
      </c>
      <c r="R250" s="5">
        <f>IFERROR((P250*100000)+Q250,"")</f>
        <v/>
      </c>
    </row>
    <row r="251" ht="20.25" customHeight="1" s="106">
      <c r="A251" s="14" t="n"/>
      <c r="B251" s="15" t="n">
        <v>247</v>
      </c>
      <c r="C251" s="22" t="n"/>
      <c r="D251" s="22" t="n"/>
      <c r="E251" s="23" t="n"/>
      <c r="F251" s="21" t="n"/>
      <c r="G251" s="21" t="n"/>
      <c r="H251" s="16" t="n"/>
      <c r="I251" s="15">
        <f>IF(ISBLANK($E251)," ",IF($E251&gt;$H251,$C251,$F251))</f>
        <v/>
      </c>
      <c r="J251" s="15">
        <f>IF(ISBLANK($E251)," ",IF($E251&gt;$H251,$D251,$G251))</f>
        <v/>
      </c>
      <c r="K251" s="15" t="n"/>
      <c r="L251" s="15">
        <f>E251-H251</f>
        <v/>
      </c>
      <c r="M251" s="5">
        <f>IF(ISBLANK($E251),"",VLOOKUP($I251,PLAYERS_IDS,2,FALSE)*VLOOKUP($J251,PLAYERS_IDS,2,FALSE))</f>
        <v/>
      </c>
      <c r="N251" s="25">
        <f>IF(ISBLANK($E251)," ", COUNTIF($M$4:$M251,$M251))</f>
        <v/>
      </c>
      <c r="O251" s="25">
        <f>IF(N251 =" ", " ", IF(N251=1,15,(IF(N251=2,15,(IF(N251=3,15,15))))))</f>
        <v/>
      </c>
      <c r="P251" s="5">
        <f>IF(ISBLANK($F251),"",VLOOKUP($C251,PLAYERS_IDS,2,FALSE)*VLOOKUP($D251,PLAYERS_IDS,2,FALSE))</f>
        <v/>
      </c>
      <c r="Q251" s="5">
        <f>IF(ISBLANK($F251), "",VLOOKUP($F251,PLAYERS_IDS,2,FALSE)*VLOOKUP($G251,PLAYERS_IDS,2,FALSE))</f>
        <v/>
      </c>
      <c r="R251" s="5">
        <f>IFERROR((P251*100000)+Q251,"")</f>
        <v/>
      </c>
    </row>
    <row r="252" ht="20.25" customHeight="1" s="106">
      <c r="A252" s="14" t="n"/>
      <c r="B252" s="15" t="n">
        <v>248</v>
      </c>
      <c r="C252" s="22" t="n"/>
      <c r="D252" s="22" t="n"/>
      <c r="E252" s="23" t="n"/>
      <c r="F252" s="21" t="n"/>
      <c r="G252" s="21" t="n"/>
      <c r="H252" s="16" t="n"/>
      <c r="I252" s="15">
        <f>IF(ISBLANK($E252)," ",IF($E252&gt;$H252,$C252,$F252))</f>
        <v/>
      </c>
      <c r="J252" s="15">
        <f>IF(ISBLANK($E252)," ",IF($E252&gt;$H252,$D252,$G252))</f>
        <v/>
      </c>
      <c r="K252" s="15" t="n"/>
      <c r="L252" s="15">
        <f>E252-H252</f>
        <v/>
      </c>
      <c r="M252" s="5">
        <f>IF(ISBLANK($E252),"",VLOOKUP($I252,PLAYERS_IDS,2,FALSE)*VLOOKUP($J252,PLAYERS_IDS,2,FALSE))</f>
        <v/>
      </c>
      <c r="N252" s="25">
        <f>IF(ISBLANK($E252)," ", COUNTIF($M$4:$M252,$M252))</f>
        <v/>
      </c>
      <c r="O252" s="25">
        <f>IF(N252 =" ", " ", IF(N252=1,15,(IF(N252=2,15,(IF(N252=3,15,15))))))</f>
        <v/>
      </c>
      <c r="P252" s="5">
        <f>IF(ISBLANK($F252),"",VLOOKUP($C252,PLAYERS_IDS,2,FALSE)*VLOOKUP($D252,PLAYERS_IDS,2,FALSE))</f>
        <v/>
      </c>
      <c r="Q252" s="5">
        <f>IF(ISBLANK($F252), "",VLOOKUP($F252,PLAYERS_IDS,2,FALSE)*VLOOKUP($G252,PLAYERS_IDS,2,FALSE))</f>
        <v/>
      </c>
      <c r="R252" s="5">
        <f>IFERROR((P252*100000)+Q252,"")</f>
        <v/>
      </c>
    </row>
    <row r="253" ht="20.25" customHeight="1" s="106">
      <c r="A253" s="14" t="n"/>
      <c r="B253" s="15" t="n">
        <v>249</v>
      </c>
      <c r="C253" s="22" t="n"/>
      <c r="D253" s="22" t="n"/>
      <c r="E253" s="23" t="n"/>
      <c r="F253" s="21" t="n"/>
      <c r="G253" s="21" t="n"/>
      <c r="H253" s="16" t="n"/>
      <c r="I253" s="15">
        <f>IF(ISBLANK($E253)," ",IF($E253&gt;$H253,$C253,$F253))</f>
        <v/>
      </c>
      <c r="J253" s="15">
        <f>IF(ISBLANK($E253)," ",IF($E253&gt;$H253,$D253,$G253))</f>
        <v/>
      </c>
      <c r="K253" s="15" t="n"/>
      <c r="L253" s="15">
        <f>E253-H253</f>
        <v/>
      </c>
      <c r="M253" s="5">
        <f>IF(ISBLANK($E253),"",VLOOKUP($I253,PLAYERS_IDS,2,FALSE)*VLOOKUP($J253,PLAYERS_IDS,2,FALSE))</f>
        <v/>
      </c>
      <c r="N253" s="25">
        <f>IF(ISBLANK($E253)," ", COUNTIF($M$4:$M253,$M253))</f>
        <v/>
      </c>
      <c r="O253" s="25">
        <f>IF(N253 =" ", " ", IF(N253=1,15,(IF(N253=2,15,(IF(N253=3,15,15))))))</f>
        <v/>
      </c>
      <c r="P253" s="5">
        <f>IF(ISBLANK($F253),"",VLOOKUP($C253,PLAYERS_IDS,2,FALSE)*VLOOKUP($D253,PLAYERS_IDS,2,FALSE))</f>
        <v/>
      </c>
      <c r="Q253" s="5">
        <f>IF(ISBLANK($F253), "",VLOOKUP($F253,PLAYERS_IDS,2,FALSE)*VLOOKUP($G253,PLAYERS_IDS,2,FALSE))</f>
        <v/>
      </c>
      <c r="R253" s="5">
        <f>IFERROR((P253*100000)+Q253,"")</f>
        <v/>
      </c>
    </row>
    <row r="254" ht="20.25" customHeight="1" s="106">
      <c r="A254" s="14" t="n"/>
      <c r="B254" s="15" t="n">
        <v>250</v>
      </c>
      <c r="C254" s="22" t="n"/>
      <c r="D254" s="22" t="n"/>
      <c r="E254" s="23" t="n"/>
      <c r="F254" s="21" t="n"/>
      <c r="G254" s="21" t="n"/>
      <c r="H254" s="16" t="n"/>
      <c r="I254" s="15">
        <f>IF(ISBLANK($E254)," ",IF($E254&gt;$H254,$C254,$F254))</f>
        <v/>
      </c>
      <c r="J254" s="15">
        <f>IF(ISBLANK($E254)," ",IF($E254&gt;$H254,$D254,$G254))</f>
        <v/>
      </c>
      <c r="K254" s="15" t="n"/>
      <c r="L254" s="15">
        <f>E254-H254</f>
        <v/>
      </c>
      <c r="M254" s="5">
        <f>IF(ISBLANK($E254),"",VLOOKUP($I254,PLAYERS_IDS,2,FALSE)*VLOOKUP($J254,PLAYERS_IDS,2,FALSE))</f>
        <v/>
      </c>
      <c r="N254" s="25">
        <f>IF(ISBLANK($E254)," ", COUNTIF($M$4:$M254,$M254))</f>
        <v/>
      </c>
      <c r="O254" s="25">
        <f>IF(N254 =" ", " ", IF(N254=1,15,(IF(N254=2,15,(IF(N254=3,15,15))))))</f>
        <v/>
      </c>
      <c r="P254" s="5">
        <f>IF(ISBLANK($F254),"",VLOOKUP($C254,PLAYERS_IDS,2,FALSE)*VLOOKUP($D254,PLAYERS_IDS,2,FALSE))</f>
        <v/>
      </c>
      <c r="Q254" s="5">
        <f>IF(ISBLANK($F254), "",VLOOKUP($F254,PLAYERS_IDS,2,FALSE)*VLOOKUP($G254,PLAYERS_IDS,2,FALSE))</f>
        <v/>
      </c>
      <c r="R254" s="5">
        <f>IFERROR((P254*100000)+Q254,"")</f>
        <v/>
      </c>
    </row>
    <row r="255" ht="20.25" customHeight="1" s="106">
      <c r="A255" s="14" t="n"/>
      <c r="B255" s="15" t="n">
        <v>251</v>
      </c>
      <c r="C255" s="22" t="n"/>
      <c r="D255" s="22" t="n"/>
      <c r="E255" s="23" t="n"/>
      <c r="F255" s="21" t="n"/>
      <c r="G255" s="21" t="n"/>
      <c r="H255" s="16" t="n"/>
      <c r="I255" s="15">
        <f>IF(ISBLANK($E255)," ",IF($E255&gt;$H255,$C255,$F255))</f>
        <v/>
      </c>
      <c r="J255" s="15">
        <f>IF(ISBLANK($E255)," ",IF($E255&gt;$H255,$D255,$G255))</f>
        <v/>
      </c>
      <c r="K255" s="15" t="n"/>
      <c r="L255" s="15">
        <f>E255-H255</f>
        <v/>
      </c>
      <c r="M255" s="5">
        <f>IF(ISBLANK($E255),"",VLOOKUP($I255,PLAYERS_IDS,2,FALSE)*VLOOKUP($J255,PLAYERS_IDS,2,FALSE))</f>
        <v/>
      </c>
      <c r="N255" s="25">
        <f>IF(ISBLANK($E255)," ", COUNTIF($M$4:$M255,$M255))</f>
        <v/>
      </c>
      <c r="O255" s="25">
        <f>IF(N255 =" ", " ", IF(N255=1,15,(IF(N255=2,15,(IF(N255=3,15,15))))))</f>
        <v/>
      </c>
      <c r="P255" s="5">
        <f>IF(ISBLANK($F255),"",VLOOKUP($C255,PLAYERS_IDS,2,FALSE)*VLOOKUP($D255,PLAYERS_IDS,2,FALSE))</f>
        <v/>
      </c>
      <c r="Q255" s="5">
        <f>IF(ISBLANK($F255), "",VLOOKUP($F255,PLAYERS_IDS,2,FALSE)*VLOOKUP($G255,PLAYERS_IDS,2,FALSE))</f>
        <v/>
      </c>
      <c r="R255" s="5">
        <f>IFERROR((P255*100000)+Q255,"")</f>
        <v/>
      </c>
    </row>
    <row r="256" ht="20.25" customHeight="1" s="106">
      <c r="A256" s="14" t="n"/>
      <c r="B256" s="15" t="n">
        <v>252</v>
      </c>
      <c r="C256" s="22" t="n"/>
      <c r="D256" s="22" t="n"/>
      <c r="E256" s="23" t="n"/>
      <c r="F256" s="21" t="n"/>
      <c r="G256" s="21" t="n"/>
      <c r="H256" s="16" t="n"/>
      <c r="I256" s="15">
        <f>IF(ISBLANK($E256)," ",IF($E256&gt;$H256,$C256,$F256))</f>
        <v/>
      </c>
      <c r="J256" s="15">
        <f>IF(ISBLANK($E256)," ",IF($E256&gt;$H256,$D256,$G256))</f>
        <v/>
      </c>
      <c r="K256" s="15" t="n"/>
      <c r="L256" s="15">
        <f>E256-H256</f>
        <v/>
      </c>
      <c r="M256" s="5">
        <f>IF(ISBLANK($E256),"",VLOOKUP($I256,PLAYERS_IDS,2,FALSE)*VLOOKUP($J256,PLAYERS_IDS,2,FALSE))</f>
        <v/>
      </c>
      <c r="N256" s="25">
        <f>IF(ISBLANK($E256)," ", COUNTIF($M$4:$M256,$M256))</f>
        <v/>
      </c>
      <c r="O256" s="25">
        <f>IF(N256 =" ", " ", IF(N256=1,15,(IF(N256=2,15,(IF(N256=3,15,15))))))</f>
        <v/>
      </c>
      <c r="P256" s="5">
        <f>IF(ISBLANK($F256),"",VLOOKUP($C256,PLAYERS_IDS,2,FALSE)*VLOOKUP($D256,PLAYERS_IDS,2,FALSE))</f>
        <v/>
      </c>
      <c r="Q256" s="5">
        <f>IF(ISBLANK($F256), "",VLOOKUP($F256,PLAYERS_IDS,2,FALSE)*VLOOKUP($G256,PLAYERS_IDS,2,FALSE))</f>
        <v/>
      </c>
      <c r="R256" s="5">
        <f>IFERROR((P256*100000)+Q256,"")</f>
        <v/>
      </c>
    </row>
    <row r="257" ht="20.25" customHeight="1" s="106">
      <c r="A257" s="14" t="n"/>
      <c r="B257" s="15" t="n">
        <v>253</v>
      </c>
      <c r="C257" s="22" t="n"/>
      <c r="D257" s="22" t="n"/>
      <c r="E257" s="23" t="n"/>
      <c r="F257" s="21" t="n"/>
      <c r="G257" s="21" t="n"/>
      <c r="H257" s="16" t="n"/>
      <c r="I257" s="15">
        <f>IF(ISBLANK($E257)," ",IF($E257&gt;$H257,$C257,$F257))</f>
        <v/>
      </c>
      <c r="J257" s="15">
        <f>IF(ISBLANK($E257)," ",IF($E257&gt;$H257,$D257,$G257))</f>
        <v/>
      </c>
      <c r="K257" s="15" t="n"/>
      <c r="L257" s="15">
        <f>E257-H257</f>
        <v/>
      </c>
      <c r="M257" s="5">
        <f>IF(ISBLANK($E257),"",VLOOKUP($I257,PLAYERS_IDS,2,FALSE)*VLOOKUP($J257,PLAYERS_IDS,2,FALSE))</f>
        <v/>
      </c>
      <c r="N257" s="25">
        <f>IF(ISBLANK($E257)," ", COUNTIF($M$4:$M257,$M257))</f>
        <v/>
      </c>
      <c r="O257" s="25">
        <f>IF(N257 =" ", " ", IF(N257=1,15,(IF(N257=2,15,(IF(N257=3,15,15))))))</f>
        <v/>
      </c>
      <c r="P257" s="5">
        <f>IF(ISBLANK($F257),"",VLOOKUP($C257,PLAYERS_IDS,2,FALSE)*VLOOKUP($D257,PLAYERS_IDS,2,FALSE))</f>
        <v/>
      </c>
      <c r="Q257" s="5">
        <f>IF(ISBLANK($F257), "",VLOOKUP($F257,PLAYERS_IDS,2,FALSE)*VLOOKUP($G257,PLAYERS_IDS,2,FALSE))</f>
        <v/>
      </c>
      <c r="R257" s="5">
        <f>IFERROR((P257*100000)+Q257,"")</f>
        <v/>
      </c>
    </row>
    <row r="258" ht="20.25" customHeight="1" s="106">
      <c r="A258" s="14" t="n"/>
      <c r="B258" s="15" t="n">
        <v>254</v>
      </c>
      <c r="C258" s="22" t="n"/>
      <c r="D258" s="22" t="n"/>
      <c r="E258" s="23" t="n"/>
      <c r="F258" s="21" t="n"/>
      <c r="G258" s="21" t="n"/>
      <c r="H258" s="16" t="n"/>
      <c r="I258" s="15">
        <f>IF(ISBLANK($E258)," ",IF($E258&gt;$H258,$C258,$F258))</f>
        <v/>
      </c>
      <c r="J258" s="15">
        <f>IF(ISBLANK($E258)," ",IF($E258&gt;$H258,$D258,$G258))</f>
        <v/>
      </c>
      <c r="K258" s="15" t="n"/>
      <c r="L258" s="15">
        <f>E258-H258</f>
        <v/>
      </c>
      <c r="M258" s="5">
        <f>IF(ISBLANK($E258),"",VLOOKUP($I258,PLAYERS_IDS,2,FALSE)*VLOOKUP($J258,PLAYERS_IDS,2,FALSE))</f>
        <v/>
      </c>
      <c r="N258" s="25">
        <f>IF(ISBLANK($E258)," ", COUNTIF($M$4:$M258,$M258))</f>
        <v/>
      </c>
      <c r="O258" s="25">
        <f>IF(N258 =" ", " ", IF(N258=1,15,(IF(N258=2,15,(IF(N258=3,15,15))))))</f>
        <v/>
      </c>
      <c r="P258" s="5">
        <f>IF(ISBLANK($F258),"",VLOOKUP($C258,PLAYERS_IDS,2,FALSE)*VLOOKUP($D258,PLAYERS_IDS,2,FALSE))</f>
        <v/>
      </c>
      <c r="Q258" s="5">
        <f>IF(ISBLANK($F258), "",VLOOKUP($F258,PLAYERS_IDS,2,FALSE)*VLOOKUP($G258,PLAYERS_IDS,2,FALSE))</f>
        <v/>
      </c>
      <c r="R258" s="5">
        <f>IFERROR((P258*100000)+Q258,"")</f>
        <v/>
      </c>
    </row>
    <row r="259" ht="20.25" customHeight="1" s="106">
      <c r="A259" s="14" t="n"/>
      <c r="B259" s="15" t="n">
        <v>255</v>
      </c>
      <c r="C259" s="22" t="n"/>
      <c r="D259" s="22" t="n"/>
      <c r="E259" s="23" t="n"/>
      <c r="F259" s="21" t="n"/>
      <c r="G259" s="21" t="n"/>
      <c r="H259" s="16" t="n"/>
      <c r="I259" s="15">
        <f>IF(ISBLANK($E259)," ",IF($E259&gt;$H259,$C259,$F259))</f>
        <v/>
      </c>
      <c r="J259" s="15">
        <f>IF(ISBLANK($E259)," ",IF($E259&gt;$H259,$D259,$G259))</f>
        <v/>
      </c>
      <c r="K259" s="15" t="n"/>
      <c r="L259" s="15">
        <f>E259-H259</f>
        <v/>
      </c>
      <c r="M259" s="5">
        <f>IF(ISBLANK($E259),"",VLOOKUP($I259,PLAYERS_IDS,2,FALSE)*VLOOKUP($J259,PLAYERS_IDS,2,FALSE))</f>
        <v/>
      </c>
      <c r="N259" s="25">
        <f>IF(ISBLANK($E259)," ", COUNTIF($M$4:$M259,$M259))</f>
        <v/>
      </c>
      <c r="O259" s="25">
        <f>IF(N259 =" ", " ", IF(N259=1,15,(IF(N259=2,15,(IF(N259=3,15,15))))))</f>
        <v/>
      </c>
      <c r="P259" s="5">
        <f>IF(ISBLANK($F259),"",VLOOKUP($C259,PLAYERS_IDS,2,FALSE)*VLOOKUP($D259,PLAYERS_IDS,2,FALSE))</f>
        <v/>
      </c>
      <c r="Q259" s="5">
        <f>IF(ISBLANK($F259), "",VLOOKUP($F259,PLAYERS_IDS,2,FALSE)*VLOOKUP($G259,PLAYERS_IDS,2,FALSE))</f>
        <v/>
      </c>
      <c r="R259" s="5">
        <f>IFERROR((P259*100000)+Q259,"")</f>
        <v/>
      </c>
    </row>
    <row r="260" ht="20.25" customHeight="1" s="106">
      <c r="A260" s="14" t="n"/>
      <c r="B260" s="15" t="n">
        <v>256</v>
      </c>
      <c r="C260" s="22" t="n"/>
      <c r="D260" s="22" t="n"/>
      <c r="E260" s="23" t="n"/>
      <c r="F260" s="21" t="n"/>
      <c r="G260" s="21" t="n"/>
      <c r="H260" s="16" t="n"/>
      <c r="I260" s="15">
        <f>IF(ISBLANK($E260)," ",IF($E260&gt;$H260,$C260,$F260))</f>
        <v/>
      </c>
      <c r="J260" s="15">
        <f>IF(ISBLANK($E260)," ",IF($E260&gt;$H260,$D260,$G260))</f>
        <v/>
      </c>
      <c r="K260" s="15" t="n"/>
      <c r="L260" s="15">
        <f>E260-H260</f>
        <v/>
      </c>
      <c r="M260" s="5">
        <f>IF(ISBLANK($E260),"",VLOOKUP($I260,PLAYERS_IDS,2,FALSE)*VLOOKUP($J260,PLAYERS_IDS,2,FALSE))</f>
        <v/>
      </c>
      <c r="N260" s="25">
        <f>IF(ISBLANK($E260)," ", COUNTIF($M$4:$M260,$M260))</f>
        <v/>
      </c>
      <c r="O260" s="25">
        <f>IF(N260 =" ", " ", IF(N260=1,15,(IF(N260=2,15,(IF(N260=3,15,15))))))</f>
        <v/>
      </c>
      <c r="P260" s="5">
        <f>IF(ISBLANK($F260),"",VLOOKUP($C260,PLAYERS_IDS,2,FALSE)*VLOOKUP($D260,PLAYERS_IDS,2,FALSE))</f>
        <v/>
      </c>
      <c r="Q260" s="5">
        <f>IF(ISBLANK($F260), "",VLOOKUP($F260,PLAYERS_IDS,2,FALSE)*VLOOKUP($G260,PLAYERS_IDS,2,FALSE))</f>
        <v/>
      </c>
      <c r="R260" s="5">
        <f>IFERROR((P260*100000)+Q260,"")</f>
        <v/>
      </c>
    </row>
    <row r="261" ht="20.25" customHeight="1" s="106">
      <c r="A261" s="14" t="n"/>
      <c r="B261" s="15" t="n">
        <v>257</v>
      </c>
      <c r="C261" s="22" t="n"/>
      <c r="D261" s="22" t="n"/>
      <c r="E261" s="23" t="n"/>
      <c r="F261" s="21" t="n"/>
      <c r="G261" s="21" t="n"/>
      <c r="H261" s="16" t="n"/>
      <c r="I261" s="15">
        <f>IF(ISBLANK($E261)," ",IF($E261&gt;$H261,$C261,$F261))</f>
        <v/>
      </c>
      <c r="J261" s="15">
        <f>IF(ISBLANK($E261)," ",IF($E261&gt;$H261,$D261,$G261))</f>
        <v/>
      </c>
      <c r="K261" s="15" t="n"/>
      <c r="L261" s="15">
        <f>E261-H261</f>
        <v/>
      </c>
      <c r="M261" s="5">
        <f>IF(ISBLANK($E261),"",VLOOKUP($I261,PLAYERS_IDS,2,FALSE)*VLOOKUP($J261,PLAYERS_IDS,2,FALSE))</f>
        <v/>
      </c>
      <c r="N261" s="25">
        <f>IF(ISBLANK($E261)," ", COUNTIF($M$4:$M261,$M261))</f>
        <v/>
      </c>
      <c r="O261" s="25">
        <f>IF(N261 =" ", " ", IF(N261=1,15,(IF(N261=2,15,(IF(N261=3,15,15))))))</f>
        <v/>
      </c>
      <c r="P261" s="5">
        <f>IF(ISBLANK($F261),"",VLOOKUP($C261,PLAYERS_IDS,2,FALSE)*VLOOKUP($D261,PLAYERS_IDS,2,FALSE))</f>
        <v/>
      </c>
      <c r="Q261" s="5">
        <f>IF(ISBLANK($F261), "",VLOOKUP($F261,PLAYERS_IDS,2,FALSE)*VLOOKUP($G261,PLAYERS_IDS,2,FALSE))</f>
        <v/>
      </c>
      <c r="R261" s="5">
        <f>IFERROR((P261*100000)+Q261,"")</f>
        <v/>
      </c>
    </row>
    <row r="262" ht="20.25" customHeight="1" s="106">
      <c r="A262" s="14" t="n"/>
      <c r="B262" s="15" t="n">
        <v>258</v>
      </c>
      <c r="C262" s="22" t="n"/>
      <c r="D262" s="22" t="n"/>
      <c r="E262" s="23" t="n"/>
      <c r="F262" s="21" t="n"/>
      <c r="G262" s="21" t="n"/>
      <c r="H262" s="16" t="n"/>
      <c r="I262" s="15">
        <f>IF(ISBLANK($E262)," ",IF($E262&gt;$H262,$C262,$F262))</f>
        <v/>
      </c>
      <c r="J262" s="15">
        <f>IF(ISBLANK($E262)," ",IF($E262&gt;$H262,$D262,$G262))</f>
        <v/>
      </c>
      <c r="K262" s="15" t="n"/>
      <c r="L262" s="15">
        <f>E262-H262</f>
        <v/>
      </c>
      <c r="M262" s="5">
        <f>IF(ISBLANK($E262),"",VLOOKUP($I262,PLAYERS_IDS,2,FALSE)*VLOOKUP($J262,PLAYERS_IDS,2,FALSE))</f>
        <v/>
      </c>
      <c r="N262" s="25">
        <f>IF(ISBLANK($E262)," ", COUNTIF($M$4:$M262,$M262))</f>
        <v/>
      </c>
      <c r="O262" s="25">
        <f>IF(N262 =" ", " ", IF(N262=1,15,(IF(N262=2,15,(IF(N262=3,15,15))))))</f>
        <v/>
      </c>
      <c r="P262" s="5">
        <f>IF(ISBLANK($F262),"",VLOOKUP($C262,PLAYERS_IDS,2,FALSE)*VLOOKUP($D262,PLAYERS_IDS,2,FALSE))</f>
        <v/>
      </c>
      <c r="Q262" s="5">
        <f>IF(ISBLANK($F262), "",VLOOKUP($F262,PLAYERS_IDS,2,FALSE)*VLOOKUP($G262,PLAYERS_IDS,2,FALSE))</f>
        <v/>
      </c>
      <c r="R262" s="5">
        <f>IFERROR((P262*100000)+Q262,"")</f>
        <v/>
      </c>
    </row>
    <row r="263" ht="20.25" customHeight="1" s="106">
      <c r="A263" s="14" t="n"/>
      <c r="B263" s="15" t="n">
        <v>259</v>
      </c>
      <c r="C263" s="22" t="n"/>
      <c r="D263" s="22" t="n"/>
      <c r="E263" s="23" t="n"/>
      <c r="F263" s="21" t="n"/>
      <c r="G263" s="21" t="n"/>
      <c r="H263" s="16" t="n"/>
      <c r="I263" s="15">
        <f>IF(ISBLANK($E263)," ",IF($E263&gt;$H263,$C263,$F263))</f>
        <v/>
      </c>
      <c r="J263" s="15">
        <f>IF(ISBLANK($E263)," ",IF($E263&gt;$H263,$D263,$G263))</f>
        <v/>
      </c>
      <c r="K263" s="15" t="n"/>
      <c r="L263" s="15">
        <f>E263-H263</f>
        <v/>
      </c>
      <c r="M263" s="5">
        <f>IF(ISBLANK($E263),"",VLOOKUP($I263,PLAYERS_IDS,2,FALSE)*VLOOKUP($J263,PLAYERS_IDS,2,FALSE))</f>
        <v/>
      </c>
      <c r="N263" s="25">
        <f>IF(ISBLANK($E263)," ", COUNTIF($M$4:$M263,$M263))</f>
        <v/>
      </c>
      <c r="O263" s="25">
        <f>IF(N263 =" ", " ", IF(N263=1,15,(IF(N263=2,15,(IF(N263=3,15,15))))))</f>
        <v/>
      </c>
      <c r="P263" s="5">
        <f>IF(ISBLANK($F263),"",VLOOKUP($C263,PLAYERS_IDS,2,FALSE)*VLOOKUP($D263,PLAYERS_IDS,2,FALSE))</f>
        <v/>
      </c>
      <c r="Q263" s="5">
        <f>IF(ISBLANK($F263), "",VLOOKUP($F263,PLAYERS_IDS,2,FALSE)*VLOOKUP($G263,PLAYERS_IDS,2,FALSE))</f>
        <v/>
      </c>
      <c r="R263" s="5">
        <f>IFERROR((P263*100000)+Q263,"")</f>
        <v/>
      </c>
    </row>
    <row r="264" ht="20.25" customHeight="1" s="106">
      <c r="A264" s="14" t="n"/>
      <c r="B264" s="15" t="n">
        <v>260</v>
      </c>
      <c r="C264" s="22" t="n"/>
      <c r="D264" s="22" t="n"/>
      <c r="E264" s="23" t="n"/>
      <c r="F264" s="21" t="n"/>
      <c r="G264" s="21" t="n"/>
      <c r="H264" s="16" t="n"/>
      <c r="I264" s="15">
        <f>IF(ISBLANK($E264)," ",IF($E264&gt;$H264,$C264,$F264))</f>
        <v/>
      </c>
      <c r="J264" s="15">
        <f>IF(ISBLANK($E264)," ",IF($E264&gt;$H264,$D264,$G264))</f>
        <v/>
      </c>
      <c r="K264" s="15" t="n"/>
      <c r="L264" s="15">
        <f>E264-H264</f>
        <v/>
      </c>
      <c r="M264" s="5">
        <f>IF(ISBLANK($E264),"",VLOOKUP($I264,PLAYERS_IDS,2,FALSE)*VLOOKUP($J264,PLAYERS_IDS,2,FALSE))</f>
        <v/>
      </c>
      <c r="N264" s="25">
        <f>IF(ISBLANK($E264)," ", COUNTIF($M$4:$M264,$M264))</f>
        <v/>
      </c>
      <c r="O264" s="25">
        <f>IF(N264 =" ", " ", IF(N264=1,15,(IF(N264=2,15,(IF(N264=3,15,15))))))</f>
        <v/>
      </c>
      <c r="P264" s="5">
        <f>IF(ISBLANK($F264),"",VLOOKUP($C264,PLAYERS_IDS,2,FALSE)*VLOOKUP($D264,PLAYERS_IDS,2,FALSE))</f>
        <v/>
      </c>
      <c r="Q264" s="5">
        <f>IF(ISBLANK($F264), "",VLOOKUP($F264,PLAYERS_IDS,2,FALSE)*VLOOKUP($G264,PLAYERS_IDS,2,FALSE))</f>
        <v/>
      </c>
      <c r="R264" s="5">
        <f>IFERROR((P264*100000)+Q264,"")</f>
        <v/>
      </c>
    </row>
    <row r="265" ht="20.25" customHeight="1" s="106">
      <c r="A265" s="14" t="n"/>
      <c r="B265" s="15" t="n">
        <v>261</v>
      </c>
      <c r="C265" s="22" t="n"/>
      <c r="D265" s="22" t="n"/>
      <c r="E265" s="23" t="n"/>
      <c r="F265" s="21" t="n"/>
      <c r="G265" s="21" t="n"/>
      <c r="H265" s="16" t="n"/>
      <c r="I265" s="15">
        <f>IF(ISBLANK($E265)," ",IF($E265&gt;$H265,$C265,$F265))</f>
        <v/>
      </c>
      <c r="J265" s="15">
        <f>IF(ISBLANK($E265)," ",IF($E265&gt;$H265,$D265,$G265))</f>
        <v/>
      </c>
      <c r="K265" s="15" t="n"/>
      <c r="L265" s="15">
        <f>E265-H265</f>
        <v/>
      </c>
      <c r="M265" s="5">
        <f>IF(ISBLANK($E265),"",VLOOKUP($I265,PLAYERS_IDS,2,FALSE)*VLOOKUP($J265,PLAYERS_IDS,2,FALSE))</f>
        <v/>
      </c>
      <c r="N265" s="25">
        <f>IF(ISBLANK($E265)," ", COUNTIF($M$4:$M265,$M265))</f>
        <v/>
      </c>
      <c r="O265" s="25">
        <f>IF(N265 =" ", " ", IF(N265=1,15,(IF(N265=2,15,(IF(N265=3,15,15))))))</f>
        <v/>
      </c>
      <c r="P265" s="5">
        <f>IF(ISBLANK($F265),"",VLOOKUP($C265,PLAYERS_IDS,2,FALSE)*VLOOKUP($D265,PLAYERS_IDS,2,FALSE))</f>
        <v/>
      </c>
      <c r="Q265" s="5">
        <f>IF(ISBLANK($F265), "",VLOOKUP($F265,PLAYERS_IDS,2,FALSE)*VLOOKUP($G265,PLAYERS_IDS,2,FALSE))</f>
        <v/>
      </c>
      <c r="R265" s="5">
        <f>IFERROR((P265*100000)+Q265,"")</f>
        <v/>
      </c>
    </row>
    <row r="266" ht="20.25" customHeight="1" s="106">
      <c r="A266" s="14" t="n"/>
      <c r="B266" s="15" t="n">
        <v>262</v>
      </c>
      <c r="C266" s="22" t="n"/>
      <c r="D266" s="22" t="n"/>
      <c r="E266" s="23" t="n"/>
      <c r="F266" s="21" t="n"/>
      <c r="G266" s="21" t="n"/>
      <c r="H266" s="16" t="n"/>
      <c r="I266" s="15">
        <f>IF(ISBLANK($E266)," ",IF($E266&gt;$H266,$C266,$F266))</f>
        <v/>
      </c>
      <c r="J266" s="15">
        <f>IF(ISBLANK($E266)," ",IF($E266&gt;$H266,$D266,$G266))</f>
        <v/>
      </c>
      <c r="K266" s="15" t="n"/>
      <c r="L266" s="15">
        <f>E266-H266</f>
        <v/>
      </c>
      <c r="M266" s="5">
        <f>IF(ISBLANK($E266),"",VLOOKUP($I266,PLAYERS_IDS,2,FALSE)*VLOOKUP($J266,PLAYERS_IDS,2,FALSE))</f>
        <v/>
      </c>
      <c r="N266" s="25">
        <f>IF(ISBLANK($E266)," ", COUNTIF($M$4:$M266,$M266))</f>
        <v/>
      </c>
      <c r="O266" s="25">
        <f>IF(N266 =" ", " ", IF(N266=1,15,(IF(N266=2,15,(IF(N266=3,15,15))))))</f>
        <v/>
      </c>
      <c r="P266" s="5">
        <f>IF(ISBLANK($F266),"",VLOOKUP($C266,PLAYERS_IDS,2,FALSE)*VLOOKUP($D266,PLAYERS_IDS,2,FALSE))</f>
        <v/>
      </c>
      <c r="Q266" s="5">
        <f>IF(ISBLANK($F266), "",VLOOKUP($F266,PLAYERS_IDS,2,FALSE)*VLOOKUP($G266,PLAYERS_IDS,2,FALSE))</f>
        <v/>
      </c>
      <c r="R266" s="5">
        <f>IFERROR((P266*100000)+Q266,"")</f>
        <v/>
      </c>
    </row>
    <row r="267" ht="20.25" customHeight="1" s="106">
      <c r="A267" s="14" t="n"/>
      <c r="B267" s="15" t="n">
        <v>263</v>
      </c>
      <c r="C267" s="22" t="n"/>
      <c r="D267" s="22" t="n"/>
      <c r="E267" s="23" t="n"/>
      <c r="F267" s="21" t="n"/>
      <c r="G267" s="21" t="n"/>
      <c r="H267" s="16" t="n"/>
      <c r="I267" s="15">
        <f>IF(ISBLANK($E267)," ",IF($E267&gt;$H267,$C267,$F267))</f>
        <v/>
      </c>
      <c r="J267" s="15">
        <f>IF(ISBLANK($E267)," ",IF($E267&gt;$H267,$D267,$G267))</f>
        <v/>
      </c>
      <c r="K267" s="15" t="n"/>
      <c r="L267" s="15">
        <f>E267-H267</f>
        <v/>
      </c>
      <c r="M267" s="5">
        <f>IF(ISBLANK($E267),"",VLOOKUP($I267,PLAYERS_IDS,2,FALSE)*VLOOKUP($J267,PLAYERS_IDS,2,FALSE))</f>
        <v/>
      </c>
      <c r="N267" s="25">
        <f>IF(ISBLANK($E267)," ", COUNTIF($M$4:$M267,$M267))</f>
        <v/>
      </c>
      <c r="O267" s="25">
        <f>IF(N267 =" ", " ", IF(N267=1,15,(IF(N267=2,15,(IF(N267=3,15,15))))))</f>
        <v/>
      </c>
      <c r="P267" s="5">
        <f>IF(ISBLANK($F267),"",VLOOKUP($C267,PLAYERS_IDS,2,FALSE)*VLOOKUP($D267,PLAYERS_IDS,2,FALSE))</f>
        <v/>
      </c>
      <c r="Q267" s="5">
        <f>IF(ISBLANK($F267), "",VLOOKUP($F267,PLAYERS_IDS,2,FALSE)*VLOOKUP($G267,PLAYERS_IDS,2,FALSE))</f>
        <v/>
      </c>
      <c r="R267" s="5">
        <f>IFERROR((P267*100000)+Q267,"")</f>
        <v/>
      </c>
    </row>
    <row r="268" ht="20.25" customHeight="1" s="106">
      <c r="A268" s="14" t="n"/>
      <c r="B268" s="15" t="n">
        <v>264</v>
      </c>
      <c r="C268" s="22" t="n"/>
      <c r="D268" s="22" t="n"/>
      <c r="E268" s="23" t="n"/>
      <c r="F268" s="21" t="n"/>
      <c r="G268" s="21" t="n"/>
      <c r="H268" s="16" t="n"/>
      <c r="I268" s="15">
        <f>IF(ISBLANK($E268)," ",IF($E268&gt;$H268,$C268,$F268))</f>
        <v/>
      </c>
      <c r="J268" s="15">
        <f>IF(ISBLANK($E268)," ",IF($E268&gt;$H268,$D268,$G268))</f>
        <v/>
      </c>
      <c r="K268" s="15" t="n"/>
      <c r="L268" s="15">
        <f>E268-H268</f>
        <v/>
      </c>
      <c r="M268" s="5">
        <f>IF(ISBLANK($E268),"",VLOOKUP($I268,PLAYERS_IDS,2,FALSE)*VLOOKUP($J268,PLAYERS_IDS,2,FALSE))</f>
        <v/>
      </c>
      <c r="N268" s="25">
        <f>IF(ISBLANK($E268)," ", COUNTIF($M$4:$M268,$M268))</f>
        <v/>
      </c>
      <c r="O268" s="25">
        <f>IF(N268 =" ", " ", IF(N268=1,15,(IF(N268=2,15,(IF(N268=3,15,15))))))</f>
        <v/>
      </c>
      <c r="P268" s="5">
        <f>IF(ISBLANK($F268),"",VLOOKUP($C268,PLAYERS_IDS,2,FALSE)*VLOOKUP($D268,PLAYERS_IDS,2,FALSE))</f>
        <v/>
      </c>
      <c r="Q268" s="5">
        <f>IF(ISBLANK($F268), "",VLOOKUP($F268,PLAYERS_IDS,2,FALSE)*VLOOKUP($G268,PLAYERS_IDS,2,FALSE))</f>
        <v/>
      </c>
      <c r="R268" s="5">
        <f>IFERROR((P268*100000)+Q268,"")</f>
        <v/>
      </c>
    </row>
    <row r="269" ht="20.25" customHeight="1" s="106">
      <c r="A269" s="14" t="n"/>
      <c r="B269" s="15" t="n">
        <v>265</v>
      </c>
      <c r="C269" s="22" t="n"/>
      <c r="D269" s="22" t="n"/>
      <c r="E269" s="23" t="n"/>
      <c r="F269" s="21" t="n"/>
      <c r="G269" s="21" t="n"/>
      <c r="H269" s="16" t="n"/>
      <c r="I269" s="15">
        <f>IF(ISBLANK($E269)," ",IF($E269&gt;$H269,$C269,$F269))</f>
        <v/>
      </c>
      <c r="J269" s="15">
        <f>IF(ISBLANK($E269)," ",IF($E269&gt;$H269,$D269,$G269))</f>
        <v/>
      </c>
      <c r="K269" s="15" t="n"/>
      <c r="L269" s="15">
        <f>E269-H269</f>
        <v/>
      </c>
      <c r="M269" s="5">
        <f>IF(ISBLANK($E269),"",VLOOKUP($I269,PLAYERS_IDS,2,FALSE)*VLOOKUP($J269,PLAYERS_IDS,2,FALSE))</f>
        <v/>
      </c>
      <c r="N269" s="25">
        <f>IF(ISBLANK($E269)," ", COUNTIF($M$4:$M269,$M269))</f>
        <v/>
      </c>
      <c r="O269" s="25">
        <f>IF(N269 =" ", " ", IF(N269=1,15,(IF(N269=2,15,(IF(N269=3,15,15))))))</f>
        <v/>
      </c>
      <c r="P269" s="5">
        <f>IF(ISBLANK($F269),"",VLOOKUP($C269,PLAYERS_IDS,2,FALSE)*VLOOKUP($D269,PLAYERS_IDS,2,FALSE))</f>
        <v/>
      </c>
      <c r="Q269" s="5">
        <f>IF(ISBLANK($F269), "",VLOOKUP($F269,PLAYERS_IDS,2,FALSE)*VLOOKUP($G269,PLAYERS_IDS,2,FALSE))</f>
        <v/>
      </c>
      <c r="R269" s="5">
        <f>IFERROR((P269*100000)+Q269,"")</f>
        <v/>
      </c>
    </row>
    <row r="270" ht="20.25" customHeight="1" s="106">
      <c r="A270" s="14" t="n"/>
      <c r="B270" s="15" t="n">
        <v>266</v>
      </c>
      <c r="C270" s="22" t="n"/>
      <c r="D270" s="22" t="n"/>
      <c r="E270" s="23" t="n"/>
      <c r="F270" s="21" t="n"/>
      <c r="G270" s="21" t="n"/>
      <c r="H270" s="16" t="n"/>
      <c r="I270" s="15">
        <f>IF(ISBLANK($E270)," ",IF($E270&gt;$H270,$C270,$F270))</f>
        <v/>
      </c>
      <c r="J270" s="15">
        <f>IF(ISBLANK($E270)," ",IF($E270&gt;$H270,$D270,$G270))</f>
        <v/>
      </c>
      <c r="K270" s="15" t="n"/>
      <c r="L270" s="15">
        <f>E270-H270</f>
        <v/>
      </c>
      <c r="M270" s="5">
        <f>IF(ISBLANK($E270),"",VLOOKUP($I270,PLAYERS_IDS,2,FALSE)*VLOOKUP($J270,PLAYERS_IDS,2,FALSE))</f>
        <v/>
      </c>
      <c r="N270" s="25">
        <f>IF(ISBLANK($E270)," ", COUNTIF($M$4:$M270,$M270))</f>
        <v/>
      </c>
      <c r="O270" s="25">
        <f>IF(N270 =" ", " ", IF(N270=1,15,(IF(N270=2,15,(IF(N270=3,15,15))))))</f>
        <v/>
      </c>
      <c r="P270" s="5">
        <f>IF(ISBLANK($F270),"",VLOOKUP($C270,PLAYERS_IDS,2,FALSE)*VLOOKUP($D270,PLAYERS_IDS,2,FALSE))</f>
        <v/>
      </c>
      <c r="Q270" s="5">
        <f>IF(ISBLANK($F270), "",VLOOKUP($F270,PLAYERS_IDS,2,FALSE)*VLOOKUP($G270,PLAYERS_IDS,2,FALSE))</f>
        <v/>
      </c>
      <c r="R270" s="5">
        <f>IFERROR((P270*100000)+Q270,"")</f>
        <v/>
      </c>
    </row>
    <row r="271" ht="20.25" customHeight="1" s="106">
      <c r="A271" s="14" t="n"/>
      <c r="B271" s="15" t="n">
        <v>267</v>
      </c>
      <c r="C271" s="22" t="n"/>
      <c r="D271" s="22" t="n"/>
      <c r="E271" s="23" t="n"/>
      <c r="F271" s="21" t="n"/>
      <c r="G271" s="21" t="n"/>
      <c r="H271" s="16" t="n"/>
      <c r="I271" s="15">
        <f>IF(ISBLANK($E271)," ",IF($E271&gt;$H271,$C271,$F271))</f>
        <v/>
      </c>
      <c r="J271" s="15">
        <f>IF(ISBLANK($E271)," ",IF($E271&gt;$H271,$D271,$G271))</f>
        <v/>
      </c>
      <c r="K271" s="15" t="n"/>
      <c r="L271" s="15">
        <f>E271-H271</f>
        <v/>
      </c>
      <c r="M271" s="5">
        <f>IF(ISBLANK($E271),"",VLOOKUP($I271,PLAYERS_IDS,2,FALSE)*VLOOKUP($J271,PLAYERS_IDS,2,FALSE))</f>
        <v/>
      </c>
      <c r="N271" s="25">
        <f>IF(ISBLANK($E271)," ", COUNTIF($M$4:$M271,$M271))</f>
        <v/>
      </c>
      <c r="O271" s="25">
        <f>IF(N271 =" ", " ", IF(N271=1,15,(IF(N271=2,15,(IF(N271=3,15,15))))))</f>
        <v/>
      </c>
      <c r="P271" s="5">
        <f>IF(ISBLANK($F271),"",VLOOKUP($C271,PLAYERS_IDS,2,FALSE)*VLOOKUP($D271,PLAYERS_IDS,2,FALSE))</f>
        <v/>
      </c>
      <c r="Q271" s="5">
        <f>IF(ISBLANK($F271), "",VLOOKUP($F271,PLAYERS_IDS,2,FALSE)*VLOOKUP($G271,PLAYERS_IDS,2,FALSE))</f>
        <v/>
      </c>
      <c r="R271" s="5">
        <f>IFERROR((P271*100000)+Q271,"")</f>
        <v/>
      </c>
    </row>
    <row r="272" ht="20.25" customHeight="1" s="106">
      <c r="A272" s="14" t="n"/>
      <c r="B272" s="15" t="n">
        <v>268</v>
      </c>
      <c r="C272" s="22" t="n"/>
      <c r="D272" s="22" t="n"/>
      <c r="E272" s="23" t="n"/>
      <c r="F272" s="21" t="n"/>
      <c r="G272" s="21" t="n"/>
      <c r="H272" s="16" t="n"/>
      <c r="I272" s="15">
        <f>IF(ISBLANK($E272)," ",IF($E272&gt;$H272,$C272,$F272))</f>
        <v/>
      </c>
      <c r="J272" s="15">
        <f>IF(ISBLANK($E272)," ",IF($E272&gt;$H272,$D272,$G272))</f>
        <v/>
      </c>
      <c r="K272" s="15" t="n"/>
      <c r="L272" s="15">
        <f>E272-H272</f>
        <v/>
      </c>
      <c r="M272" s="5">
        <f>IF(ISBLANK($E272),"",VLOOKUP($I272,PLAYERS_IDS,2,FALSE)*VLOOKUP($J272,PLAYERS_IDS,2,FALSE))</f>
        <v/>
      </c>
      <c r="N272" s="25">
        <f>IF(ISBLANK($E272)," ", COUNTIF($M$4:$M272,$M272))</f>
        <v/>
      </c>
      <c r="O272" s="25">
        <f>IF(N272 =" ", " ", IF(N272=1,15,(IF(N272=2,15,(IF(N272=3,15,15))))))</f>
        <v/>
      </c>
      <c r="P272" s="5">
        <f>IF(ISBLANK($F272),"",VLOOKUP($C272,PLAYERS_IDS,2,FALSE)*VLOOKUP($D272,PLAYERS_IDS,2,FALSE))</f>
        <v/>
      </c>
      <c r="Q272" s="5">
        <f>IF(ISBLANK($F272), "",VLOOKUP($F272,PLAYERS_IDS,2,FALSE)*VLOOKUP($G272,PLAYERS_IDS,2,FALSE))</f>
        <v/>
      </c>
      <c r="R272" s="5">
        <f>IFERROR((P272*100000)+Q272,"")</f>
        <v/>
      </c>
    </row>
    <row r="273" ht="20.25" customHeight="1" s="106">
      <c r="A273" s="14" t="n"/>
      <c r="B273" s="15" t="n">
        <v>269</v>
      </c>
      <c r="C273" s="22" t="n"/>
      <c r="D273" s="22" t="n"/>
      <c r="E273" s="23" t="n"/>
      <c r="F273" s="21" t="n"/>
      <c r="G273" s="21" t="n"/>
      <c r="H273" s="16" t="n"/>
      <c r="I273" s="15">
        <f>IF(ISBLANK($E273)," ",IF($E273&gt;$H273,$C273,$F273))</f>
        <v/>
      </c>
      <c r="J273" s="15">
        <f>IF(ISBLANK($E273)," ",IF($E273&gt;$H273,$D273,$G273))</f>
        <v/>
      </c>
      <c r="K273" s="15" t="n"/>
      <c r="L273" s="15">
        <f>E273-H273</f>
        <v/>
      </c>
      <c r="M273" s="5">
        <f>IF(ISBLANK($E273),"",VLOOKUP($I273,PLAYERS_IDS,2,FALSE)*VLOOKUP($J273,PLAYERS_IDS,2,FALSE))</f>
        <v/>
      </c>
      <c r="N273" s="25">
        <f>IF(ISBLANK($E273)," ", COUNTIF($M$4:$M273,$M273))</f>
        <v/>
      </c>
      <c r="O273" s="25">
        <f>IF(N273 =" ", " ", IF(N273=1,15,(IF(N273=2,15,(IF(N273=3,15,15))))))</f>
        <v/>
      </c>
      <c r="P273" s="5">
        <f>IF(ISBLANK($F273),"",VLOOKUP($C273,PLAYERS_IDS,2,FALSE)*VLOOKUP($D273,PLAYERS_IDS,2,FALSE))</f>
        <v/>
      </c>
      <c r="Q273" s="5">
        <f>IF(ISBLANK($F273), "",VLOOKUP($F273,PLAYERS_IDS,2,FALSE)*VLOOKUP($G273,PLAYERS_IDS,2,FALSE))</f>
        <v/>
      </c>
      <c r="R273" s="5">
        <f>IFERROR((P273*100000)+Q273,"")</f>
        <v/>
      </c>
    </row>
    <row r="274" ht="20.25" customHeight="1" s="106">
      <c r="A274" s="14" t="n"/>
      <c r="B274" s="15" t="n">
        <v>270</v>
      </c>
      <c r="C274" s="22" t="n"/>
      <c r="D274" s="22" t="n"/>
      <c r="E274" s="23" t="n"/>
      <c r="F274" s="21" t="n"/>
      <c r="G274" s="21" t="n"/>
      <c r="H274" s="16" t="n"/>
      <c r="I274" s="15">
        <f>IF(ISBLANK($E274)," ",IF($E274&gt;$H274,$C274,$F274))</f>
        <v/>
      </c>
      <c r="J274" s="15">
        <f>IF(ISBLANK($E274)," ",IF($E274&gt;$H274,$D274,$G274))</f>
        <v/>
      </c>
      <c r="K274" s="15" t="n"/>
      <c r="L274" s="15">
        <f>E274-H274</f>
        <v/>
      </c>
      <c r="M274" s="5">
        <f>IF(ISBLANK($E274),"",VLOOKUP($I274,PLAYERS_IDS,2,FALSE)*VLOOKUP($J274,PLAYERS_IDS,2,FALSE))</f>
        <v/>
      </c>
      <c r="N274" s="25">
        <f>IF(ISBLANK($E274)," ", COUNTIF($M$4:$M274,$M274))</f>
        <v/>
      </c>
      <c r="O274" s="25">
        <f>IF(N274 =" ", " ", IF(N274=1,15,(IF(N274=2,15,(IF(N274=3,15,15))))))</f>
        <v/>
      </c>
      <c r="P274" s="5">
        <f>IF(ISBLANK($F274),"",VLOOKUP($C274,PLAYERS_IDS,2,FALSE)*VLOOKUP($D274,PLAYERS_IDS,2,FALSE))</f>
        <v/>
      </c>
      <c r="Q274" s="5">
        <f>IF(ISBLANK($F274), "",VLOOKUP($F274,PLAYERS_IDS,2,FALSE)*VLOOKUP($G274,PLAYERS_IDS,2,FALSE))</f>
        <v/>
      </c>
      <c r="R274" s="5">
        <f>IFERROR((P274*100000)+Q274,"")</f>
        <v/>
      </c>
    </row>
    <row r="275" ht="20.25" customHeight="1" s="106">
      <c r="A275" s="14" t="n"/>
      <c r="B275" s="15" t="n">
        <v>271</v>
      </c>
      <c r="C275" s="22" t="n"/>
      <c r="D275" s="22" t="n"/>
      <c r="E275" s="23" t="n"/>
      <c r="F275" s="21" t="n"/>
      <c r="G275" s="21" t="n"/>
      <c r="H275" s="16" t="n"/>
      <c r="I275" s="15">
        <f>IF(ISBLANK($E275)," ",IF($E275&gt;$H275,$C275,$F275))</f>
        <v/>
      </c>
      <c r="J275" s="15">
        <f>IF(ISBLANK($E275)," ",IF($E275&gt;$H275,$D275,$G275))</f>
        <v/>
      </c>
      <c r="K275" s="15" t="n"/>
      <c r="L275" s="15">
        <f>E275-H275</f>
        <v/>
      </c>
      <c r="M275" s="5">
        <f>IF(ISBLANK($E275),"",VLOOKUP($I275,PLAYERS_IDS,2,FALSE)*VLOOKUP($J275,PLAYERS_IDS,2,FALSE))</f>
        <v/>
      </c>
      <c r="N275" s="25">
        <f>IF(ISBLANK($E275)," ", COUNTIF($M$4:$M275,$M275))</f>
        <v/>
      </c>
      <c r="O275" s="25">
        <f>IF(N275 =" ", " ", IF(N275=1,15,(IF(N275=2,15,(IF(N275=3,15,15))))))</f>
        <v/>
      </c>
      <c r="P275" s="5">
        <f>IF(ISBLANK($F275),"",VLOOKUP($C275,PLAYERS_IDS,2,FALSE)*VLOOKUP($D275,PLAYERS_IDS,2,FALSE))</f>
        <v/>
      </c>
      <c r="Q275" s="5">
        <f>IF(ISBLANK($F275), "",VLOOKUP($F275,PLAYERS_IDS,2,FALSE)*VLOOKUP($G275,PLAYERS_IDS,2,FALSE))</f>
        <v/>
      </c>
      <c r="R275" s="5">
        <f>IFERROR((P275*100000)+Q275,"")</f>
        <v/>
      </c>
    </row>
    <row r="276" ht="20.25" customHeight="1" s="106">
      <c r="A276" s="14" t="n"/>
      <c r="B276" s="15" t="n">
        <v>272</v>
      </c>
      <c r="C276" s="22" t="n"/>
      <c r="D276" s="22" t="n"/>
      <c r="E276" s="23" t="n"/>
      <c r="F276" s="21" t="n"/>
      <c r="G276" s="21" t="n"/>
      <c r="H276" s="16" t="n"/>
      <c r="I276" s="15">
        <f>IF(ISBLANK($E276)," ",IF($E276&gt;$H276,$C276,$F276))</f>
        <v/>
      </c>
      <c r="J276" s="15">
        <f>IF(ISBLANK($E276)," ",IF($E276&gt;$H276,$D276,$G276))</f>
        <v/>
      </c>
      <c r="K276" s="15" t="n"/>
      <c r="L276" s="15">
        <f>E276-H276</f>
        <v/>
      </c>
      <c r="M276" s="5">
        <f>IF(ISBLANK($E276),"",VLOOKUP($I276,PLAYERS_IDS,2,FALSE)*VLOOKUP($J276,PLAYERS_IDS,2,FALSE))</f>
        <v/>
      </c>
      <c r="N276" s="25">
        <f>IF(ISBLANK($E276)," ", COUNTIF($M$4:$M276,$M276))</f>
        <v/>
      </c>
      <c r="O276" s="25">
        <f>IF(N276 =" ", " ", IF(N276=1,15,(IF(N276=2,15,(IF(N276=3,15,15))))))</f>
        <v/>
      </c>
      <c r="P276" s="5">
        <f>IF(ISBLANK($F276),"",VLOOKUP($C276,PLAYERS_IDS,2,FALSE)*VLOOKUP($D276,PLAYERS_IDS,2,FALSE))</f>
        <v/>
      </c>
      <c r="Q276" s="5">
        <f>IF(ISBLANK($F276), "",VLOOKUP($F276,PLAYERS_IDS,2,FALSE)*VLOOKUP($G276,PLAYERS_IDS,2,FALSE))</f>
        <v/>
      </c>
      <c r="R276" s="5">
        <f>IFERROR((P276*100000)+Q276,"")</f>
        <v/>
      </c>
    </row>
    <row r="277" ht="20.25" customHeight="1" s="106">
      <c r="A277" s="14" t="n"/>
      <c r="B277" s="15" t="n">
        <v>273</v>
      </c>
      <c r="C277" s="22" t="n"/>
      <c r="D277" s="22" t="n"/>
      <c r="E277" s="23" t="n"/>
      <c r="F277" s="21" t="n"/>
      <c r="G277" s="21" t="n"/>
      <c r="H277" s="16" t="n"/>
      <c r="I277" s="15">
        <f>IF(ISBLANK($E277)," ",IF($E277&gt;$H277,$C277,$F277))</f>
        <v/>
      </c>
      <c r="J277" s="15">
        <f>IF(ISBLANK($E277)," ",IF($E277&gt;$H277,$D277,$G277))</f>
        <v/>
      </c>
      <c r="K277" s="15" t="n"/>
      <c r="L277" s="15">
        <f>E277-H277</f>
        <v/>
      </c>
      <c r="M277" s="5">
        <f>IF(ISBLANK($E277),"",VLOOKUP($I277,PLAYERS_IDS,2,FALSE)*VLOOKUP($J277,PLAYERS_IDS,2,FALSE))</f>
        <v/>
      </c>
      <c r="N277" s="25">
        <f>IF(ISBLANK($E277)," ", COUNTIF($M$4:$M277,$M277))</f>
        <v/>
      </c>
      <c r="O277" s="25">
        <f>IF(N277 =" ", " ", IF(N277=1,15,(IF(N277=2,15,(IF(N277=3,15,15))))))</f>
        <v/>
      </c>
      <c r="P277" s="5">
        <f>IF(ISBLANK($F277),"",VLOOKUP($C277,PLAYERS_IDS,2,FALSE)*VLOOKUP($D277,PLAYERS_IDS,2,FALSE))</f>
        <v/>
      </c>
      <c r="Q277" s="5">
        <f>IF(ISBLANK($F277), "",VLOOKUP($F277,PLAYERS_IDS,2,FALSE)*VLOOKUP($G277,PLAYERS_IDS,2,FALSE))</f>
        <v/>
      </c>
      <c r="R277" s="5">
        <f>IFERROR((P277*100000)+Q277,"")</f>
        <v/>
      </c>
    </row>
    <row r="278" ht="20.25" customHeight="1" s="106">
      <c r="A278" s="14" t="n"/>
      <c r="B278" s="15" t="n">
        <v>274</v>
      </c>
      <c r="C278" s="22" t="n"/>
      <c r="D278" s="22" t="n"/>
      <c r="E278" s="23" t="n"/>
      <c r="F278" s="21" t="n"/>
      <c r="G278" s="21" t="n"/>
      <c r="H278" s="16" t="n"/>
      <c r="I278" s="15">
        <f>IF(ISBLANK($E278)," ",IF($E278&gt;$H278,$C278,$F278))</f>
        <v/>
      </c>
      <c r="J278" s="15">
        <f>IF(ISBLANK($E278)," ",IF($E278&gt;$H278,$D278,$G278))</f>
        <v/>
      </c>
      <c r="K278" s="15" t="n"/>
      <c r="L278" s="15">
        <f>E278-H278</f>
        <v/>
      </c>
      <c r="M278" s="5">
        <f>IF(ISBLANK($E278),"",VLOOKUP($I278,PLAYERS_IDS,2,FALSE)*VLOOKUP($J278,PLAYERS_IDS,2,FALSE))</f>
        <v/>
      </c>
      <c r="N278" s="25">
        <f>IF(ISBLANK($E278)," ", COUNTIF($M$4:$M278,$M278))</f>
        <v/>
      </c>
      <c r="O278" s="25">
        <f>IF(N278 =" ", " ", IF(N278=1,15,(IF(N278=2,15,(IF(N278=3,15,15))))))</f>
        <v/>
      </c>
      <c r="P278" s="5">
        <f>IF(ISBLANK($F278),"",VLOOKUP($C278,PLAYERS_IDS,2,FALSE)*VLOOKUP($D278,PLAYERS_IDS,2,FALSE))</f>
        <v/>
      </c>
      <c r="Q278" s="5">
        <f>IF(ISBLANK($F278), "",VLOOKUP($F278,PLAYERS_IDS,2,FALSE)*VLOOKUP($G278,PLAYERS_IDS,2,FALSE))</f>
        <v/>
      </c>
      <c r="R278" s="5">
        <f>IFERROR((P278*100000)+Q278,"")</f>
        <v/>
      </c>
    </row>
    <row r="279" ht="20.25" customHeight="1" s="106">
      <c r="A279" s="14" t="n"/>
      <c r="B279" s="15" t="n">
        <v>275</v>
      </c>
      <c r="C279" s="22" t="n"/>
      <c r="D279" s="22" t="n"/>
      <c r="E279" s="23" t="n"/>
      <c r="F279" s="21" t="n"/>
      <c r="G279" s="21" t="n"/>
      <c r="H279" s="16" t="n"/>
      <c r="I279" s="15">
        <f>IF(ISBLANK($E279)," ",IF($E279&gt;$H279,$C279,$F279))</f>
        <v/>
      </c>
      <c r="J279" s="15">
        <f>IF(ISBLANK($E279)," ",IF($E279&gt;$H279,$D279,$G279))</f>
        <v/>
      </c>
      <c r="K279" s="15" t="n"/>
      <c r="L279" s="15">
        <f>E279-H279</f>
        <v/>
      </c>
      <c r="M279" s="5">
        <f>IF(ISBLANK($E279),"",VLOOKUP($I279,PLAYERS_IDS,2,FALSE)*VLOOKUP($J279,PLAYERS_IDS,2,FALSE))</f>
        <v/>
      </c>
      <c r="N279" s="25">
        <f>IF(ISBLANK($E279)," ", COUNTIF($M$4:$M279,$M279))</f>
        <v/>
      </c>
      <c r="O279" s="25">
        <f>IF(N279 =" ", " ", IF(N279=1,15,(IF(N279=2,15,(IF(N279=3,15,15))))))</f>
        <v/>
      </c>
      <c r="P279" s="5">
        <f>IF(ISBLANK($F279),"",VLOOKUP($C279,PLAYERS_IDS,2,FALSE)*VLOOKUP($D279,PLAYERS_IDS,2,FALSE))</f>
        <v/>
      </c>
      <c r="Q279" s="5">
        <f>IF(ISBLANK($F279), "",VLOOKUP($F279,PLAYERS_IDS,2,FALSE)*VLOOKUP($G279,PLAYERS_IDS,2,FALSE))</f>
        <v/>
      </c>
      <c r="R279" s="5">
        <f>IFERROR((P279*100000)+Q279,"")</f>
        <v/>
      </c>
    </row>
    <row r="280" ht="20.25" customHeight="1" s="106">
      <c r="A280" s="14" t="n"/>
      <c r="B280" s="15" t="n">
        <v>276</v>
      </c>
      <c r="C280" s="22" t="n"/>
      <c r="D280" s="15" t="n"/>
      <c r="E280" s="23" t="n"/>
      <c r="F280" s="21" t="n"/>
      <c r="G280" s="21" t="n"/>
      <c r="H280" s="16" t="n"/>
      <c r="I280" s="15">
        <f>IF(ISBLANK($E280)," ",IF($E280&gt;$H280,$C280,$F280))</f>
        <v/>
      </c>
      <c r="J280" s="15">
        <f>IF(ISBLANK($E280)," ",IF($E280&gt;$H280,$D280,$G280))</f>
        <v/>
      </c>
      <c r="K280" s="15" t="n"/>
      <c r="L280" s="15">
        <f>E280-H280</f>
        <v/>
      </c>
      <c r="M280" s="5">
        <f>IF(ISBLANK($E280),"",VLOOKUP($I280,PLAYERS_IDS,2,FALSE)*VLOOKUP($J280,PLAYERS_IDS,2,FALSE))</f>
        <v/>
      </c>
      <c r="N280" s="25">
        <f>IF(ISBLANK($E280)," ", COUNTIF($M$4:$M280,$M280))</f>
        <v/>
      </c>
      <c r="O280" s="25">
        <f>IF(N280 =" ", " ", IF(N280=1,15,(IF(N280=2,15,(IF(N280=3,15,15))))))</f>
        <v/>
      </c>
      <c r="P280" s="5">
        <f>IF(ISBLANK($F280),"",VLOOKUP($C280,PLAYERS_IDS,2,FALSE)*VLOOKUP($D280,PLAYERS_IDS,2,FALSE))</f>
        <v/>
      </c>
      <c r="Q280" s="5">
        <f>IF(ISBLANK($F280), "",VLOOKUP($F280,PLAYERS_IDS,2,FALSE)*VLOOKUP($G280,PLAYERS_IDS,2,FALSE))</f>
        <v/>
      </c>
      <c r="R280" s="5">
        <f>IFERROR((P280*100000)+Q280,"")</f>
        <v/>
      </c>
    </row>
    <row r="281" ht="20.25" customHeight="1" s="106">
      <c r="A281" s="14" t="n"/>
      <c r="B281" s="15" t="n">
        <v>277</v>
      </c>
      <c r="C281" s="22" t="n"/>
      <c r="D281" s="15" t="n"/>
      <c r="E281" s="23" t="n"/>
      <c r="F281" s="21" t="n"/>
      <c r="G281" s="21" t="n"/>
      <c r="H281" s="16" t="n"/>
      <c r="I281" s="15">
        <f>IF(ISBLANK($E281)," ",IF($E281&gt;$H281,$C281,$F281))</f>
        <v/>
      </c>
      <c r="J281" s="15">
        <f>IF(ISBLANK($E281)," ",IF($E281&gt;$H281,$D281,$G281))</f>
        <v/>
      </c>
      <c r="K281" s="15" t="n"/>
      <c r="L281" s="15">
        <f>E281-H281</f>
        <v/>
      </c>
      <c r="M281" s="5">
        <f>IF(ISBLANK($E281),"",VLOOKUP($I281,PLAYERS_IDS,2,FALSE)*VLOOKUP($J281,PLAYERS_IDS,2,FALSE))</f>
        <v/>
      </c>
      <c r="N281" s="25">
        <f>IF(ISBLANK($E281)," ", COUNTIF($M$4:$M281,$M281))</f>
        <v/>
      </c>
      <c r="O281" s="25">
        <f>IF(N281 =" ", " ", IF(N281=1,15,(IF(N281=2,15,(IF(N281=3,15,15))))))</f>
        <v/>
      </c>
      <c r="P281" s="5">
        <f>IF(ISBLANK($F281),"",VLOOKUP($C281,PLAYERS_IDS,2,FALSE)*VLOOKUP($D281,PLAYERS_IDS,2,FALSE))</f>
        <v/>
      </c>
      <c r="Q281" s="5">
        <f>IF(ISBLANK($F281), "",VLOOKUP($F281,PLAYERS_IDS,2,FALSE)*VLOOKUP($G281,PLAYERS_IDS,2,FALSE))</f>
        <v/>
      </c>
      <c r="R281" s="5">
        <f>IFERROR((P281*100000)+Q281,"")</f>
        <v/>
      </c>
    </row>
    <row r="282" ht="20.25" customHeight="1" s="106">
      <c r="A282" s="14" t="n"/>
      <c r="B282" s="15" t="n">
        <v>278</v>
      </c>
      <c r="C282" s="22" t="n"/>
      <c r="D282" s="15" t="n"/>
      <c r="E282" s="23" t="n"/>
      <c r="F282" s="21" t="n"/>
      <c r="G282" s="21" t="n"/>
      <c r="H282" s="16" t="n"/>
      <c r="I282" s="15">
        <f>IF(ISBLANK($E282)," ",IF($E282&gt;$H282,$C282,$F282))</f>
        <v/>
      </c>
      <c r="J282" s="15">
        <f>IF(ISBLANK($E282)," ",IF($E282&gt;$H282,$D282,$G282))</f>
        <v/>
      </c>
      <c r="K282" s="15" t="n"/>
      <c r="L282" s="15">
        <f>E282-H282</f>
        <v/>
      </c>
      <c r="M282" s="5">
        <f>IF(ISBLANK($E282),"",VLOOKUP($I282,PLAYERS_IDS,2,FALSE)*VLOOKUP($J282,PLAYERS_IDS,2,FALSE))</f>
        <v/>
      </c>
      <c r="N282" s="25">
        <f>IF(ISBLANK($E282)," ", COUNTIF($M$4:$M282,$M282))</f>
        <v/>
      </c>
      <c r="O282" s="25">
        <f>IF(N282 =" ", " ", IF(N282=1,15,(IF(N282=2,15,(IF(N282=3,15,15))))))</f>
        <v/>
      </c>
      <c r="P282" s="5">
        <f>IF(ISBLANK($F282),"",VLOOKUP($C282,PLAYERS_IDS,2,FALSE)*VLOOKUP($D282,PLAYERS_IDS,2,FALSE))</f>
        <v/>
      </c>
      <c r="Q282" s="5">
        <f>IF(ISBLANK($F282), "",VLOOKUP($F282,PLAYERS_IDS,2,FALSE)*VLOOKUP($G282,PLAYERS_IDS,2,FALSE))</f>
        <v/>
      </c>
      <c r="R282" s="5">
        <f>IFERROR((P282*100000)+Q282,"")</f>
        <v/>
      </c>
    </row>
    <row r="283" ht="20.25" customHeight="1" s="106">
      <c r="A283" s="14" t="n"/>
      <c r="B283" s="15" t="n">
        <v>279</v>
      </c>
      <c r="C283" s="22" t="n"/>
      <c r="D283" s="15" t="n"/>
      <c r="E283" s="23" t="n"/>
      <c r="F283" s="21" t="n"/>
      <c r="G283" s="21" t="n"/>
      <c r="H283" s="16" t="n"/>
      <c r="I283" s="15">
        <f>IF(ISBLANK($E283)," ",IF($E283&gt;$H283,$C283,$F283))</f>
        <v/>
      </c>
      <c r="J283" s="15">
        <f>IF(ISBLANK($E283)," ",IF($E283&gt;$H283,$D283,$G283))</f>
        <v/>
      </c>
      <c r="K283" s="15" t="n"/>
      <c r="L283" s="15">
        <f>E283-H283</f>
        <v/>
      </c>
      <c r="M283" s="5">
        <f>IF(ISBLANK($E283),"",VLOOKUP($I283,PLAYERS_IDS,2,FALSE)*VLOOKUP($J283,PLAYERS_IDS,2,FALSE))</f>
        <v/>
      </c>
      <c r="N283" s="25">
        <f>IF(ISBLANK($E283)," ", COUNTIF($M$4:$M283,$M283))</f>
        <v/>
      </c>
      <c r="O283" s="25">
        <f>IF(N283 =" ", " ", IF(N283=1,15,(IF(N283=2,15,(IF(N283=3,15,15))))))</f>
        <v/>
      </c>
      <c r="P283" s="5">
        <f>IF(ISBLANK($F283),"",VLOOKUP($C283,PLAYERS_IDS,2,FALSE)*VLOOKUP($D283,PLAYERS_IDS,2,FALSE))</f>
        <v/>
      </c>
      <c r="Q283" s="5">
        <f>IF(ISBLANK($F283), "",VLOOKUP($F283,PLAYERS_IDS,2,FALSE)*VLOOKUP($G283,PLAYERS_IDS,2,FALSE))</f>
        <v/>
      </c>
      <c r="R283" s="5">
        <f>IFERROR((P283*100000)+Q283,"")</f>
        <v/>
      </c>
    </row>
    <row r="284" ht="20.25" customHeight="1" s="106">
      <c r="A284" s="14" t="n"/>
      <c r="B284" s="15" t="n">
        <v>280</v>
      </c>
      <c r="C284" s="22" t="n"/>
      <c r="D284" s="15" t="n"/>
      <c r="E284" s="23" t="n"/>
      <c r="F284" s="21" t="n"/>
      <c r="G284" s="21" t="n"/>
      <c r="H284" s="16" t="n"/>
      <c r="I284" s="15">
        <f>IF(ISBLANK($E284)," ",IF($E284&gt;$H284,$C284,$F284))</f>
        <v/>
      </c>
      <c r="J284" s="15">
        <f>IF(ISBLANK($E284)," ",IF($E284&gt;$H284,$D284,$G284))</f>
        <v/>
      </c>
      <c r="K284" s="15" t="n"/>
      <c r="L284" s="15">
        <f>E284-H284</f>
        <v/>
      </c>
      <c r="M284" s="5">
        <f>IF(ISBLANK($E284),"",VLOOKUP($I284,PLAYERS_IDS,2,FALSE)*VLOOKUP($J284,PLAYERS_IDS,2,FALSE))</f>
        <v/>
      </c>
      <c r="N284" s="25">
        <f>IF(ISBLANK($E284)," ", COUNTIF($M$4:$M284,$M284))</f>
        <v/>
      </c>
      <c r="O284" s="25">
        <f>IF(N284 =" ", " ", IF(N284=1,15,(IF(N284=2,15,(IF(N284=3,15,15))))))</f>
        <v/>
      </c>
      <c r="P284" s="5">
        <f>IF(ISBLANK($F284),"",VLOOKUP($C284,PLAYERS_IDS,2,FALSE)*VLOOKUP($D284,PLAYERS_IDS,2,FALSE))</f>
        <v/>
      </c>
      <c r="Q284" s="5">
        <f>IF(ISBLANK($F284), "",VLOOKUP($F284,PLAYERS_IDS,2,FALSE)*VLOOKUP($G284,PLAYERS_IDS,2,FALSE))</f>
        <v/>
      </c>
      <c r="R284" s="5">
        <f>IFERROR((P284*100000)+Q284,"")</f>
        <v/>
      </c>
    </row>
    <row r="285" ht="20.25" customHeight="1" s="106">
      <c r="A285" s="14" t="n"/>
      <c r="B285" s="15" t="n">
        <v>281</v>
      </c>
      <c r="C285" s="22" t="n"/>
      <c r="D285" s="15" t="n"/>
      <c r="E285" s="23" t="n"/>
      <c r="F285" s="21" t="n"/>
      <c r="G285" s="21" t="n"/>
      <c r="H285" s="16" t="n"/>
      <c r="I285" s="15">
        <f>IF(ISBLANK($E285)," ",IF($E285&gt;$H285,$C285,$F285))</f>
        <v/>
      </c>
      <c r="J285" s="15">
        <f>IF(ISBLANK($E285)," ",IF($E285&gt;$H285,$D285,$G285))</f>
        <v/>
      </c>
      <c r="K285" s="15" t="n"/>
      <c r="L285" s="15">
        <f>E285-H285</f>
        <v/>
      </c>
      <c r="M285" s="5">
        <f>IF(ISBLANK($E285),"",VLOOKUP($I285,PLAYERS_IDS,2,FALSE)*VLOOKUP($J285,PLAYERS_IDS,2,FALSE))</f>
        <v/>
      </c>
      <c r="N285" s="25">
        <f>IF(ISBLANK($E285)," ", COUNTIF($M$4:$M285,$M285))</f>
        <v/>
      </c>
      <c r="O285" s="25">
        <f>IF(N285 =" ", " ", IF(N285=1,15,(IF(N285=2,15,(IF(N285=3,15,15))))))</f>
        <v/>
      </c>
      <c r="P285" s="5">
        <f>IF(ISBLANK($F285),"",VLOOKUP($C285,PLAYERS_IDS,2,FALSE)*VLOOKUP($D285,PLAYERS_IDS,2,FALSE))</f>
        <v/>
      </c>
      <c r="Q285" s="5">
        <f>IF(ISBLANK($F285), "",VLOOKUP($F285,PLAYERS_IDS,2,FALSE)*VLOOKUP($G285,PLAYERS_IDS,2,FALSE))</f>
        <v/>
      </c>
      <c r="R285" s="5">
        <f>IFERROR((P285*100000)+Q285,"")</f>
        <v/>
      </c>
    </row>
    <row r="286" ht="20.25" customHeight="1" s="106">
      <c r="A286" s="14" t="n"/>
      <c r="B286" s="15" t="n">
        <v>282</v>
      </c>
      <c r="C286" s="22" t="n"/>
      <c r="D286" s="15" t="n"/>
      <c r="E286" s="23" t="n"/>
      <c r="F286" s="21" t="n"/>
      <c r="G286" s="21" t="n"/>
      <c r="H286" s="16" t="n"/>
      <c r="I286" s="15">
        <f>IF(ISBLANK($E286)," ",IF($E286&gt;$H286,$C286,$F286))</f>
        <v/>
      </c>
      <c r="J286" s="15">
        <f>IF(ISBLANK($E286)," ",IF($E286&gt;$H286,$D286,$G286))</f>
        <v/>
      </c>
      <c r="K286" s="15" t="n"/>
      <c r="L286" s="15">
        <f>E286-H286</f>
        <v/>
      </c>
      <c r="M286" s="5">
        <f>IF(ISBLANK($E286),"",VLOOKUP($I286,PLAYERS_IDS,2,FALSE)*VLOOKUP($J286,PLAYERS_IDS,2,FALSE))</f>
        <v/>
      </c>
      <c r="N286" s="25">
        <f>IF(ISBLANK($E286)," ", COUNTIF($M$4:$M286,$M286))</f>
        <v/>
      </c>
      <c r="O286" s="25">
        <f>IF(N286 =" ", " ", IF(N286=1,15,(IF(N286=2,15,(IF(N286=3,15,15))))))</f>
        <v/>
      </c>
      <c r="P286" s="5">
        <f>IF(ISBLANK($F286),"",VLOOKUP($C286,PLAYERS_IDS,2,FALSE)*VLOOKUP($D286,PLAYERS_IDS,2,FALSE))</f>
        <v/>
      </c>
      <c r="Q286" s="5">
        <f>IF(ISBLANK($F286), "",VLOOKUP($F286,PLAYERS_IDS,2,FALSE)*VLOOKUP($G286,PLAYERS_IDS,2,FALSE))</f>
        <v/>
      </c>
      <c r="R286" s="5">
        <f>IFERROR((P286*100000)+Q286,"")</f>
        <v/>
      </c>
    </row>
    <row r="287" ht="20.25" customHeight="1" s="106">
      <c r="A287" s="14" t="n"/>
      <c r="B287" s="15" t="n">
        <v>283</v>
      </c>
      <c r="C287" s="22" t="n"/>
      <c r="D287" s="15" t="n"/>
      <c r="E287" s="23" t="n"/>
      <c r="F287" s="21" t="n"/>
      <c r="G287" s="21" t="n"/>
      <c r="H287" s="16" t="n"/>
      <c r="I287" s="15">
        <f>IF(ISBLANK($E287)," ",IF($E287&gt;$H287,$C287,$F287))</f>
        <v/>
      </c>
      <c r="J287" s="15">
        <f>IF(ISBLANK($E287)," ",IF($E287&gt;$H287,$D287,$G287))</f>
        <v/>
      </c>
      <c r="K287" s="15" t="n"/>
      <c r="L287" s="15">
        <f>E287-H287</f>
        <v/>
      </c>
      <c r="M287" s="5">
        <f>IF(ISBLANK($E287),"",VLOOKUP($I287,PLAYERS_IDS,2,FALSE)*VLOOKUP($J287,PLAYERS_IDS,2,FALSE))</f>
        <v/>
      </c>
      <c r="N287" s="25">
        <f>IF(ISBLANK($E287)," ", COUNTIF($M$4:$M287,$M287))</f>
        <v/>
      </c>
      <c r="O287" s="25">
        <f>IF(N287 =" ", " ", IF(N287=1,15,(IF(N287=2,15,(IF(N287=3,15,15))))))</f>
        <v/>
      </c>
      <c r="P287" s="5">
        <f>IF(ISBLANK($F287),"",VLOOKUP($C287,PLAYERS_IDS,2,FALSE)*VLOOKUP($D287,PLAYERS_IDS,2,FALSE))</f>
        <v/>
      </c>
      <c r="Q287" s="5">
        <f>IF(ISBLANK($F287), "",VLOOKUP($F287,PLAYERS_IDS,2,FALSE)*VLOOKUP($G287,PLAYERS_IDS,2,FALSE))</f>
        <v/>
      </c>
      <c r="R287" s="5">
        <f>IFERROR((P287*100000)+Q287,"")</f>
        <v/>
      </c>
    </row>
    <row r="288" ht="20.25" customHeight="1" s="106">
      <c r="A288" s="14" t="n"/>
      <c r="B288" s="15" t="n">
        <v>284</v>
      </c>
      <c r="C288" s="22" t="n"/>
      <c r="D288" s="15" t="n"/>
      <c r="E288" s="23" t="n"/>
      <c r="F288" s="21" t="n"/>
      <c r="G288" s="21" t="n"/>
      <c r="H288" s="16" t="n"/>
      <c r="I288" s="15">
        <f>IF(ISBLANK($E288)," ",IF($E288&gt;$H288,$C288,$F288))</f>
        <v/>
      </c>
      <c r="J288" s="15">
        <f>IF(ISBLANK($E288)," ",IF($E288&gt;$H288,$D288,$G288))</f>
        <v/>
      </c>
      <c r="K288" s="15" t="n"/>
      <c r="L288" s="15">
        <f>E288-H288</f>
        <v/>
      </c>
      <c r="M288" s="5">
        <f>IF(ISBLANK($E288),"",VLOOKUP($I288,PLAYERS_IDS,2,FALSE)*VLOOKUP($J288,PLAYERS_IDS,2,FALSE))</f>
        <v/>
      </c>
      <c r="N288" s="25">
        <f>IF(ISBLANK($E288)," ", COUNTIF($M$4:$M288,$M288))</f>
        <v/>
      </c>
      <c r="O288" s="25">
        <f>IF(N288 =" ", " ", IF(N288=1,15,(IF(N288=2,15,(IF(N288=3,15,15))))))</f>
        <v/>
      </c>
      <c r="P288" s="5">
        <f>IF(ISBLANK($F288),"",VLOOKUP($C288,PLAYERS_IDS,2,FALSE)*VLOOKUP($D288,PLAYERS_IDS,2,FALSE))</f>
        <v/>
      </c>
      <c r="Q288" s="5">
        <f>IF(ISBLANK($F288), "",VLOOKUP($F288,PLAYERS_IDS,2,FALSE)*VLOOKUP($G288,PLAYERS_IDS,2,FALSE))</f>
        <v/>
      </c>
      <c r="R288" s="5">
        <f>IFERROR((P288*100000)+Q288,"")</f>
        <v/>
      </c>
    </row>
    <row r="289" ht="20.25" customHeight="1" s="106">
      <c r="A289" s="14" t="n"/>
      <c r="B289" s="15" t="n">
        <v>285</v>
      </c>
      <c r="C289" s="22" t="n"/>
      <c r="D289" s="15" t="n"/>
      <c r="E289" s="23" t="n"/>
      <c r="F289" s="21" t="n"/>
      <c r="G289" s="21" t="n"/>
      <c r="H289" s="16" t="n"/>
      <c r="I289" s="15">
        <f>IF(ISBLANK($E289)," ",IF($E289&gt;$H289,$C289,$F289))</f>
        <v/>
      </c>
      <c r="J289" s="15">
        <f>IF(ISBLANK($E289)," ",IF($E289&gt;$H289,$D289,$G289))</f>
        <v/>
      </c>
      <c r="K289" s="15" t="n"/>
      <c r="L289" s="15">
        <f>E289-H289</f>
        <v/>
      </c>
      <c r="M289" s="5">
        <f>IF(ISBLANK($E289),"",VLOOKUP($I289,PLAYERS_IDS,2,FALSE)*VLOOKUP($J289,PLAYERS_IDS,2,FALSE))</f>
        <v/>
      </c>
      <c r="N289" s="25">
        <f>IF(ISBLANK($E289)," ", COUNTIF($M$4:$M289,$M289))</f>
        <v/>
      </c>
      <c r="O289" s="25">
        <f>IF(N289 =" ", " ", IF(N289=1,15,(IF(N289=2,15,(IF(N289=3,15,15))))))</f>
        <v/>
      </c>
      <c r="P289" s="5">
        <f>IF(ISBLANK($F289),"",VLOOKUP($C289,PLAYERS_IDS,2,FALSE)*VLOOKUP($D289,PLAYERS_IDS,2,FALSE))</f>
        <v/>
      </c>
      <c r="Q289" s="5">
        <f>IF(ISBLANK($F289), "",VLOOKUP($F289,PLAYERS_IDS,2,FALSE)*VLOOKUP($G289,PLAYERS_IDS,2,FALSE))</f>
        <v/>
      </c>
      <c r="R289" s="5">
        <f>IFERROR((P289*100000)+Q289,"")</f>
        <v/>
      </c>
    </row>
    <row r="290" ht="20.25" customHeight="1" s="106">
      <c r="A290" s="14" t="n"/>
      <c r="B290" s="15" t="n">
        <v>286</v>
      </c>
      <c r="C290" s="22" t="n"/>
      <c r="D290" s="15" t="n"/>
      <c r="E290" s="23" t="n"/>
      <c r="F290" s="21" t="n"/>
      <c r="G290" s="21" t="n"/>
      <c r="H290" s="16" t="n"/>
      <c r="I290" s="15">
        <f>IF(ISBLANK($E290)," ",IF($E290&gt;$H290,$C290,$F290))</f>
        <v/>
      </c>
      <c r="J290" s="15">
        <f>IF(ISBLANK($E290)," ",IF($E290&gt;$H290,$D290,$G290))</f>
        <v/>
      </c>
      <c r="K290" s="15" t="n"/>
      <c r="L290" s="15">
        <f>E290-H290</f>
        <v/>
      </c>
      <c r="M290" s="5">
        <f>IF(ISBLANK($E290),"",VLOOKUP($I290,PLAYERS_IDS,2,FALSE)*VLOOKUP($J290,PLAYERS_IDS,2,FALSE))</f>
        <v/>
      </c>
      <c r="N290" s="25">
        <f>IF(ISBLANK($E290)," ", COUNTIF($M$4:$M290,$M290))</f>
        <v/>
      </c>
      <c r="O290" s="25">
        <f>IF(N290 =" ", " ", IF(N290=1,15,(IF(N290=2,15,(IF(N290=3,15,15))))))</f>
        <v/>
      </c>
      <c r="P290" s="5">
        <f>IF(ISBLANK($F290),"",VLOOKUP($C290,PLAYERS_IDS,2,FALSE)*VLOOKUP($D290,PLAYERS_IDS,2,FALSE))</f>
        <v/>
      </c>
      <c r="Q290" s="5">
        <f>IF(ISBLANK($F290), "",VLOOKUP($F290,PLAYERS_IDS,2,FALSE)*VLOOKUP($G290,PLAYERS_IDS,2,FALSE))</f>
        <v/>
      </c>
      <c r="R290" s="5">
        <f>IFERROR((P290*100000)+Q290,"")</f>
        <v/>
      </c>
    </row>
    <row r="291" ht="20.25" customHeight="1" s="106">
      <c r="A291" s="14" t="n"/>
      <c r="B291" s="15" t="n">
        <v>287</v>
      </c>
      <c r="C291" s="22" t="n"/>
      <c r="D291" s="15" t="n"/>
      <c r="E291" s="23" t="n"/>
      <c r="F291" s="21" t="n"/>
      <c r="G291" s="21" t="n"/>
      <c r="H291" s="16" t="n"/>
      <c r="I291" s="15">
        <f>IF(ISBLANK($E291)," ",IF($E291&gt;$H291,$C291,$F291))</f>
        <v/>
      </c>
      <c r="J291" s="15">
        <f>IF(ISBLANK($E291)," ",IF($E291&gt;$H291,$D291,$G291))</f>
        <v/>
      </c>
      <c r="K291" s="15" t="n"/>
      <c r="L291" s="15">
        <f>E291-H291</f>
        <v/>
      </c>
      <c r="M291" s="5">
        <f>IF(ISBLANK($E291),"",VLOOKUP($I291,PLAYERS_IDS,2,FALSE)*VLOOKUP($J291,PLAYERS_IDS,2,FALSE))</f>
        <v/>
      </c>
      <c r="N291" s="25">
        <f>IF(ISBLANK($E291)," ", COUNTIF($M$4:$M291,$M291))</f>
        <v/>
      </c>
      <c r="O291" s="25">
        <f>IF(N291 =" ", " ", IF(N291=1,15,(IF(N291=2,15,(IF(N291=3,15,15))))))</f>
        <v/>
      </c>
      <c r="P291" s="5">
        <f>IF(ISBLANK($F291),"",VLOOKUP($C291,PLAYERS_IDS,2,FALSE)*VLOOKUP($D291,PLAYERS_IDS,2,FALSE))</f>
        <v/>
      </c>
      <c r="Q291" s="5">
        <f>IF(ISBLANK($F291), "",VLOOKUP($F291,PLAYERS_IDS,2,FALSE)*VLOOKUP($G291,PLAYERS_IDS,2,FALSE))</f>
        <v/>
      </c>
      <c r="R291" s="5">
        <f>IFERROR((P291*100000)+Q291,"")</f>
        <v/>
      </c>
    </row>
    <row r="292" ht="20.25" customHeight="1" s="106">
      <c r="A292" s="14" t="n"/>
      <c r="B292" s="15" t="n">
        <v>288</v>
      </c>
      <c r="C292" s="22" t="n"/>
      <c r="D292" s="15" t="n"/>
      <c r="E292" s="23" t="n"/>
      <c r="F292" s="21" t="n"/>
      <c r="G292" s="21" t="n"/>
      <c r="H292" s="16" t="n"/>
      <c r="I292" s="15">
        <f>IF(ISBLANK($E292)," ",IF($E292&gt;$H292,$C292,$F292))</f>
        <v/>
      </c>
      <c r="J292" s="15">
        <f>IF(ISBLANK($E292)," ",IF($E292&gt;$H292,$D292,$G292))</f>
        <v/>
      </c>
      <c r="K292" s="15" t="n"/>
      <c r="L292" s="15">
        <f>E292-H292</f>
        <v/>
      </c>
      <c r="M292" s="5">
        <f>IF(ISBLANK($E292),"",VLOOKUP($I292,PLAYERS_IDS,2,FALSE)*VLOOKUP($J292,PLAYERS_IDS,2,FALSE))</f>
        <v/>
      </c>
      <c r="N292" s="25">
        <f>IF(ISBLANK($E292)," ", COUNTIF($M$4:$M292,$M292))</f>
        <v/>
      </c>
      <c r="O292" s="25">
        <f>IF(N292 =" ", " ", IF(N292=1,15,(IF(N292=2,15,(IF(N292=3,15,15))))))</f>
        <v/>
      </c>
      <c r="P292" s="5">
        <f>IF(ISBLANK($F292),"",VLOOKUP($C292,PLAYERS_IDS,2,FALSE)*VLOOKUP($D292,PLAYERS_IDS,2,FALSE))</f>
        <v/>
      </c>
      <c r="Q292" s="5">
        <f>IF(ISBLANK($F292), "",VLOOKUP($F292,PLAYERS_IDS,2,FALSE)*VLOOKUP($G292,PLAYERS_IDS,2,FALSE))</f>
        <v/>
      </c>
      <c r="R292" s="5">
        <f>IFERROR((P292*100000)+Q292,"")</f>
        <v/>
      </c>
    </row>
    <row r="293" ht="20.25" customHeight="1" s="106">
      <c r="A293" s="14" t="n"/>
      <c r="B293" s="15" t="n">
        <v>289</v>
      </c>
      <c r="C293" s="22" t="n"/>
      <c r="D293" s="15" t="n"/>
      <c r="E293" s="23" t="n"/>
      <c r="F293" s="21" t="n"/>
      <c r="G293" s="21" t="n"/>
      <c r="H293" s="16" t="n"/>
      <c r="I293" s="15">
        <f>IF(ISBLANK($E293)," ",IF($E293&gt;$H293,$C293,$F293))</f>
        <v/>
      </c>
      <c r="J293" s="15">
        <f>IF(ISBLANK($E293)," ",IF($E293&gt;$H293,$D293,$G293))</f>
        <v/>
      </c>
      <c r="K293" s="15" t="n"/>
      <c r="L293" s="15">
        <f>E293-H293</f>
        <v/>
      </c>
      <c r="M293" s="5">
        <f>IF(ISBLANK($E293),"",VLOOKUP($I293,PLAYERS_IDS,2,FALSE)*VLOOKUP($J293,PLAYERS_IDS,2,FALSE))</f>
        <v/>
      </c>
      <c r="N293" s="25">
        <f>IF(ISBLANK($E293)," ", COUNTIF($M$4:$M293,$M293))</f>
        <v/>
      </c>
      <c r="O293" s="25">
        <f>IF(N293 =" ", " ", IF(N293=1,15,(IF(N293=2,15,(IF(N293=3,15,15))))))</f>
        <v/>
      </c>
      <c r="P293" s="5">
        <f>IF(ISBLANK($F293),"",VLOOKUP($C293,PLAYERS_IDS,2,FALSE)*VLOOKUP($D293,PLAYERS_IDS,2,FALSE))</f>
        <v/>
      </c>
      <c r="Q293" s="5">
        <f>IF(ISBLANK($F293), "",VLOOKUP($F293,PLAYERS_IDS,2,FALSE)*VLOOKUP($G293,PLAYERS_IDS,2,FALSE))</f>
        <v/>
      </c>
      <c r="R293" s="5">
        <f>IFERROR((P293*100000)+Q293,"")</f>
        <v/>
      </c>
    </row>
    <row r="294" ht="20.25" customHeight="1" s="106">
      <c r="A294" s="14" t="n"/>
      <c r="B294" s="15" t="n">
        <v>290</v>
      </c>
      <c r="C294" s="22" t="n"/>
      <c r="D294" s="15" t="n"/>
      <c r="E294" s="23" t="n"/>
      <c r="F294" s="21" t="n"/>
      <c r="G294" s="21" t="n"/>
      <c r="H294" s="16" t="n"/>
      <c r="I294" s="15">
        <f>IF(ISBLANK($E294)," ",IF($E294&gt;$H294,$C294,$F294))</f>
        <v/>
      </c>
      <c r="J294" s="15">
        <f>IF(ISBLANK($E294)," ",IF($E294&gt;$H294,$D294,$G294))</f>
        <v/>
      </c>
      <c r="K294" s="15" t="n"/>
      <c r="L294" s="15">
        <f>E294-H294</f>
        <v/>
      </c>
      <c r="M294" s="5">
        <f>IF(ISBLANK($E294),"",VLOOKUP($I294,PLAYERS_IDS,2,FALSE)*VLOOKUP($J294,PLAYERS_IDS,2,FALSE))</f>
        <v/>
      </c>
      <c r="N294" s="25">
        <f>IF(ISBLANK($E294)," ", COUNTIF($M$4:$M294,$M294))</f>
        <v/>
      </c>
      <c r="O294" s="25">
        <f>IF(N294 =" ", " ", IF(N294=1,15,(IF(N294=2,15,(IF(N294=3,15,15))))))</f>
        <v/>
      </c>
      <c r="P294" s="5">
        <f>IF(ISBLANK($F294),"",VLOOKUP($C294,PLAYERS_IDS,2,FALSE)*VLOOKUP($D294,PLAYERS_IDS,2,FALSE))</f>
        <v/>
      </c>
      <c r="Q294" s="5">
        <f>IF(ISBLANK($F294), "",VLOOKUP($F294,PLAYERS_IDS,2,FALSE)*VLOOKUP($G294,PLAYERS_IDS,2,FALSE))</f>
        <v/>
      </c>
      <c r="R294" s="5">
        <f>IFERROR((P294*100000)+Q294,"")</f>
        <v/>
      </c>
    </row>
    <row r="295" ht="20.25" customHeight="1" s="106">
      <c r="A295" s="14" t="n"/>
      <c r="B295" s="15" t="n">
        <v>291</v>
      </c>
      <c r="C295" s="22" t="n"/>
      <c r="D295" s="15" t="n"/>
      <c r="E295" s="23" t="n"/>
      <c r="F295" s="21" t="n"/>
      <c r="G295" s="21" t="n"/>
      <c r="H295" s="16" t="n"/>
      <c r="I295" s="15">
        <f>IF(ISBLANK($E295)," ",IF($E295&gt;$H295,$C295,$F295))</f>
        <v/>
      </c>
      <c r="J295" s="15">
        <f>IF(ISBLANK($E295)," ",IF($E295&gt;$H295,$D295,$G295))</f>
        <v/>
      </c>
      <c r="K295" s="15" t="n"/>
      <c r="L295" s="15">
        <f>E295-H295</f>
        <v/>
      </c>
      <c r="M295" s="5">
        <f>IF(ISBLANK($E295),"",VLOOKUP($I295,PLAYERS_IDS,2,FALSE)*VLOOKUP($J295,PLAYERS_IDS,2,FALSE))</f>
        <v/>
      </c>
      <c r="N295" s="25">
        <f>IF(ISBLANK($E295)," ", COUNTIF($M$4:$M295,$M295))</f>
        <v/>
      </c>
      <c r="O295" s="25">
        <f>IF(N295 =" ", " ", IF(N295=1,15,(IF(N295=2,15,(IF(N295=3,15,15))))))</f>
        <v/>
      </c>
      <c r="P295" s="5">
        <f>IF(ISBLANK($F295),"",VLOOKUP($C295,PLAYERS_IDS,2,FALSE)*VLOOKUP($D295,PLAYERS_IDS,2,FALSE))</f>
        <v/>
      </c>
      <c r="Q295" s="5">
        <f>IF(ISBLANK($F295), "",VLOOKUP($F295,PLAYERS_IDS,2,FALSE)*VLOOKUP($G295,PLAYERS_IDS,2,FALSE))</f>
        <v/>
      </c>
      <c r="R295" s="5">
        <f>IFERROR((P295*100000)+Q295,"")</f>
        <v/>
      </c>
    </row>
    <row r="296" ht="20.25" customHeight="1" s="106">
      <c r="A296" s="14" t="n"/>
      <c r="B296" s="15" t="n">
        <v>292</v>
      </c>
      <c r="C296" s="22" t="n"/>
      <c r="D296" s="15" t="n"/>
      <c r="E296" s="23" t="n"/>
      <c r="F296" s="21" t="n"/>
      <c r="G296" s="21" t="n"/>
      <c r="H296" s="16" t="n"/>
      <c r="I296" s="15">
        <f>IF(ISBLANK($E296)," ",IF($E296&gt;$H296,$C296,$F296))</f>
        <v/>
      </c>
      <c r="J296" s="15">
        <f>IF(ISBLANK($E296)," ",IF($E296&gt;$H296,$D296,$G296))</f>
        <v/>
      </c>
      <c r="K296" s="15" t="n"/>
      <c r="L296" s="15">
        <f>E296-H296</f>
        <v/>
      </c>
      <c r="M296" s="5">
        <f>IF(ISBLANK($E296),"",VLOOKUP($I296,PLAYERS_IDS,2,FALSE)*VLOOKUP($J296,PLAYERS_IDS,2,FALSE))</f>
        <v/>
      </c>
      <c r="N296" s="25">
        <f>IF(ISBLANK($E296)," ", COUNTIF($M$4:$M296,$M296))</f>
        <v/>
      </c>
      <c r="O296" s="25">
        <f>IF(N296 =" ", " ", IF(N296=1,15,(IF(N296=2,15,(IF(N296=3,15,15))))))</f>
        <v/>
      </c>
      <c r="P296" s="5">
        <f>IF(ISBLANK($F296),"",VLOOKUP($C296,PLAYERS_IDS,2,FALSE)*VLOOKUP($D296,PLAYERS_IDS,2,FALSE))</f>
        <v/>
      </c>
      <c r="Q296" s="5">
        <f>IF(ISBLANK($F296), "",VLOOKUP($F296,PLAYERS_IDS,2,FALSE)*VLOOKUP($G296,PLAYERS_IDS,2,FALSE))</f>
        <v/>
      </c>
      <c r="R296" s="5">
        <f>IFERROR((P296*100000)+Q296,"")</f>
        <v/>
      </c>
    </row>
    <row r="297" ht="20.25" customHeight="1" s="106">
      <c r="A297" s="14" t="n"/>
      <c r="B297" s="15" t="n">
        <v>293</v>
      </c>
      <c r="C297" s="22" t="n"/>
      <c r="D297" s="15" t="n"/>
      <c r="E297" s="23" t="n"/>
      <c r="F297" s="21" t="n"/>
      <c r="G297" s="21" t="n"/>
      <c r="H297" s="16" t="n"/>
      <c r="I297" s="15">
        <f>IF(ISBLANK($E297)," ",IF($E297&gt;$H297,$C297,$F297))</f>
        <v/>
      </c>
      <c r="J297" s="15">
        <f>IF(ISBLANK($E297)," ",IF($E297&gt;$H297,$D297,$G297))</f>
        <v/>
      </c>
      <c r="K297" s="15" t="n"/>
      <c r="L297" s="15">
        <f>E297-H297</f>
        <v/>
      </c>
      <c r="M297" s="5">
        <f>IF(ISBLANK($E297),"",VLOOKUP($I297,PLAYERS_IDS,2,FALSE)*VLOOKUP($J297,PLAYERS_IDS,2,FALSE))</f>
        <v/>
      </c>
      <c r="N297" s="25">
        <f>IF(ISBLANK($E297)," ", COUNTIF($M$4:$M297,$M297))</f>
        <v/>
      </c>
      <c r="O297" s="25">
        <f>IF(N297 =" ", " ", IF(N297=1,15,(IF(N297=2,15,(IF(N297=3,15,15))))))</f>
        <v/>
      </c>
      <c r="P297" s="5">
        <f>IF(ISBLANK($F297),"",VLOOKUP($C297,PLAYERS_IDS,2,FALSE)*VLOOKUP($D297,PLAYERS_IDS,2,FALSE))</f>
        <v/>
      </c>
      <c r="Q297" s="5">
        <f>IF(ISBLANK($F297), "",VLOOKUP($F297,PLAYERS_IDS,2,FALSE)*VLOOKUP($G297,PLAYERS_IDS,2,FALSE))</f>
        <v/>
      </c>
      <c r="R297" s="5">
        <f>IFERROR((P297*100000)+Q297,"")</f>
        <v/>
      </c>
    </row>
    <row r="298" ht="20.25" customHeight="1" s="106">
      <c r="A298" s="14" t="n"/>
      <c r="B298" s="15" t="n">
        <v>294</v>
      </c>
      <c r="C298" s="22" t="n"/>
      <c r="D298" s="15" t="n"/>
      <c r="E298" s="23" t="n"/>
      <c r="F298" s="21" t="n"/>
      <c r="G298" s="21" t="n"/>
      <c r="H298" s="16" t="n"/>
      <c r="I298" s="15">
        <f>IF(ISBLANK($E298)," ",IF($E298&gt;$H298,$C298,$F298))</f>
        <v/>
      </c>
      <c r="J298" s="15">
        <f>IF(ISBLANK($E298)," ",IF($E298&gt;$H298,$D298,$G298))</f>
        <v/>
      </c>
      <c r="K298" s="15" t="n"/>
      <c r="L298" s="15">
        <f>E298-H298</f>
        <v/>
      </c>
      <c r="M298" s="5">
        <f>IF(ISBLANK($E298),"",VLOOKUP($I298,PLAYERS_IDS,2,FALSE)*VLOOKUP($J298,PLAYERS_IDS,2,FALSE))</f>
        <v/>
      </c>
      <c r="N298" s="25">
        <f>IF(ISBLANK($E298)," ", COUNTIF($M$4:$M298,$M298))</f>
        <v/>
      </c>
      <c r="O298" s="25">
        <f>IF(N298 =" ", " ", IF(N298=1,15,(IF(N298=2,15,(IF(N298=3,15,15))))))</f>
        <v/>
      </c>
      <c r="P298" s="5">
        <f>IF(ISBLANK($F298),"",VLOOKUP($C298,PLAYERS_IDS,2,FALSE)*VLOOKUP($D298,PLAYERS_IDS,2,FALSE))</f>
        <v/>
      </c>
      <c r="Q298" s="5">
        <f>IF(ISBLANK($F298), "",VLOOKUP($F298,PLAYERS_IDS,2,FALSE)*VLOOKUP($G298,PLAYERS_IDS,2,FALSE))</f>
        <v/>
      </c>
      <c r="R298" s="5">
        <f>IFERROR((P298*100000)+Q298,"")</f>
        <v/>
      </c>
    </row>
    <row r="299" ht="20.25" customHeight="1" s="106">
      <c r="A299" s="14" t="n"/>
      <c r="B299" s="15" t="n">
        <v>295</v>
      </c>
      <c r="C299" s="22" t="n"/>
      <c r="D299" s="15" t="n"/>
      <c r="E299" s="23" t="n"/>
      <c r="F299" s="21" t="n"/>
      <c r="G299" s="21" t="n"/>
      <c r="H299" s="16" t="n"/>
      <c r="I299" s="15">
        <f>IF(ISBLANK($E299)," ",IF($E299&gt;$H299,$C299,$F299))</f>
        <v/>
      </c>
      <c r="J299" s="15">
        <f>IF(ISBLANK($E299)," ",IF($E299&gt;$H299,$D299,$G299))</f>
        <v/>
      </c>
      <c r="K299" s="15" t="n"/>
      <c r="L299" s="15">
        <f>E299-H299</f>
        <v/>
      </c>
      <c r="M299" s="5">
        <f>IF(ISBLANK($E299),"",VLOOKUP($I299,PLAYERS_IDS,2,FALSE)*VLOOKUP($J299,PLAYERS_IDS,2,FALSE))</f>
        <v/>
      </c>
      <c r="N299" s="25">
        <f>IF(ISBLANK($E299)," ", COUNTIF($M$4:$M299,$M299))</f>
        <v/>
      </c>
      <c r="O299" s="25">
        <f>IF(N299 =" ", " ", IF(N299=1,15,(IF(N299=2,15,(IF(N299=3,15,15))))))</f>
        <v/>
      </c>
      <c r="P299" s="5">
        <f>IF(ISBLANK($F299),"",VLOOKUP($C299,PLAYERS_IDS,2,FALSE)*VLOOKUP($D299,PLAYERS_IDS,2,FALSE))</f>
        <v/>
      </c>
      <c r="Q299" s="5">
        <f>IF(ISBLANK($F299), "",VLOOKUP($F299,PLAYERS_IDS,2,FALSE)*VLOOKUP($G299,PLAYERS_IDS,2,FALSE))</f>
        <v/>
      </c>
      <c r="R299" s="5">
        <f>IFERROR((P299*100000)+Q299,"")</f>
        <v/>
      </c>
    </row>
    <row r="300" ht="20.25" customHeight="1" s="106">
      <c r="A300" s="14" t="n"/>
      <c r="B300" s="15" t="n">
        <v>296</v>
      </c>
      <c r="C300" s="22" t="n"/>
      <c r="D300" s="15" t="n"/>
      <c r="E300" s="23" t="n"/>
      <c r="F300" s="21" t="n"/>
      <c r="G300" s="21" t="n"/>
      <c r="H300" s="16" t="n"/>
      <c r="I300" s="15">
        <f>IF(ISBLANK($E300)," ",IF($E300&gt;$H300,$C300,$F300))</f>
        <v/>
      </c>
      <c r="J300" s="15">
        <f>IF(ISBLANK($E300)," ",IF($E300&gt;$H300,$D300,$G300))</f>
        <v/>
      </c>
      <c r="K300" s="15" t="n"/>
      <c r="L300" s="15">
        <f>E300-H300</f>
        <v/>
      </c>
      <c r="M300" s="5">
        <f>IF(ISBLANK($E300),"",VLOOKUP($I300,PLAYERS_IDS,2,FALSE)*VLOOKUP($J300,PLAYERS_IDS,2,FALSE))</f>
        <v/>
      </c>
      <c r="N300" s="25">
        <f>IF(ISBLANK($E300)," ", COUNTIF($M$4:$M300,$M300))</f>
        <v/>
      </c>
      <c r="O300" s="25">
        <f>IF(N300 =" ", " ", IF(N300=1,15,(IF(N300=2,15,(IF(N300=3,15,15))))))</f>
        <v/>
      </c>
      <c r="P300" s="5">
        <f>IF(ISBLANK($F300),"",VLOOKUP($C300,PLAYERS_IDS,2,FALSE)*VLOOKUP($D300,PLAYERS_IDS,2,FALSE))</f>
        <v/>
      </c>
      <c r="Q300" s="5">
        <f>IF(ISBLANK($F300), "",VLOOKUP($F300,PLAYERS_IDS,2,FALSE)*VLOOKUP($G300,PLAYERS_IDS,2,FALSE))</f>
        <v/>
      </c>
      <c r="R300" s="5">
        <f>IFERROR((P300*100000)+Q300,"")</f>
        <v/>
      </c>
    </row>
    <row r="301" ht="20.25" customHeight="1" s="106">
      <c r="A301" s="14" t="n"/>
      <c r="B301" s="15" t="n">
        <v>297</v>
      </c>
      <c r="C301" s="22" t="n"/>
      <c r="D301" s="15" t="n"/>
      <c r="E301" s="23" t="n"/>
      <c r="F301" s="21" t="n"/>
      <c r="G301" s="21" t="n"/>
      <c r="H301" s="16" t="n"/>
      <c r="I301" s="15">
        <f>IF(ISBLANK($E301)," ",IF($E301&gt;$H301,$C301,$F301))</f>
        <v/>
      </c>
      <c r="J301" s="15">
        <f>IF(ISBLANK($E301)," ",IF($E301&gt;$H301,$D301,$G301))</f>
        <v/>
      </c>
      <c r="K301" s="15" t="n"/>
      <c r="L301" s="15">
        <f>E301-H301</f>
        <v/>
      </c>
      <c r="M301" s="5">
        <f>IF(ISBLANK($E301),"",VLOOKUP($I301,PLAYERS_IDS,2,FALSE)*VLOOKUP($J301,PLAYERS_IDS,2,FALSE))</f>
        <v/>
      </c>
      <c r="N301" s="25">
        <f>IF(ISBLANK($E301)," ", COUNTIF($M$4:$M301,$M301))</f>
        <v/>
      </c>
      <c r="O301" s="25">
        <f>IF(N301 =" ", " ", IF(N301=1,15,(IF(N301=2,15,(IF(N301=3,15,15))))))</f>
        <v/>
      </c>
      <c r="P301" s="5">
        <f>IF(ISBLANK($F301),"",VLOOKUP($C301,PLAYERS_IDS,2,FALSE)*VLOOKUP($D301,PLAYERS_IDS,2,FALSE))</f>
        <v/>
      </c>
      <c r="Q301" s="5">
        <f>IF(ISBLANK($F301), "",VLOOKUP($F301,PLAYERS_IDS,2,FALSE)*VLOOKUP($G301,PLAYERS_IDS,2,FALSE))</f>
        <v/>
      </c>
      <c r="R301" s="5">
        <f>IFERROR((P301*100000)+Q301,"")</f>
        <v/>
      </c>
    </row>
    <row r="302" ht="20.25" customHeight="1" s="106">
      <c r="A302" s="14" t="n"/>
      <c r="B302" s="15" t="n">
        <v>298</v>
      </c>
      <c r="C302" s="22" t="n"/>
      <c r="D302" s="15" t="n"/>
      <c r="E302" s="23" t="n"/>
      <c r="F302" s="21" t="n"/>
      <c r="G302" s="21" t="n"/>
      <c r="H302" s="16" t="n"/>
      <c r="I302" s="15">
        <f>IF(ISBLANK($E302)," ",IF($E302&gt;$H302,$C302,$F302))</f>
        <v/>
      </c>
      <c r="J302" s="15">
        <f>IF(ISBLANK($E302)," ",IF($E302&gt;$H302,$D302,$G302))</f>
        <v/>
      </c>
      <c r="K302" s="15" t="n"/>
      <c r="L302" s="15">
        <f>E302-H302</f>
        <v/>
      </c>
      <c r="M302" s="5">
        <f>IF(ISBLANK($E302),"",VLOOKUP($I302,PLAYERS_IDS,2,FALSE)*VLOOKUP($J302,PLAYERS_IDS,2,FALSE))</f>
        <v/>
      </c>
      <c r="N302" s="25">
        <f>IF(ISBLANK($E302)," ", COUNTIF($M$4:$M302,$M302))</f>
        <v/>
      </c>
      <c r="O302" s="25">
        <f>IF(N302 =" ", " ", IF(N302=1,15,(IF(N302=2,15,(IF(N302=3,15,15))))))</f>
        <v/>
      </c>
      <c r="P302" s="5">
        <f>IF(ISBLANK($F302),"",VLOOKUP($C302,PLAYERS_IDS,2,FALSE)*VLOOKUP($D302,PLAYERS_IDS,2,FALSE))</f>
        <v/>
      </c>
      <c r="Q302" s="5">
        <f>IF(ISBLANK($F302), "",VLOOKUP($F302,PLAYERS_IDS,2,FALSE)*VLOOKUP($G302,PLAYERS_IDS,2,FALSE))</f>
        <v/>
      </c>
      <c r="R302" s="5">
        <f>IFERROR((P302*100000)+Q302,"")</f>
        <v/>
      </c>
    </row>
    <row r="303" ht="20.25" customHeight="1" s="106">
      <c r="A303" s="14" t="n"/>
      <c r="B303" s="15" t="n">
        <v>299</v>
      </c>
      <c r="C303" s="22" t="n"/>
      <c r="D303" s="15" t="n"/>
      <c r="E303" s="23" t="n"/>
      <c r="F303" s="21" t="n"/>
      <c r="G303" s="21" t="n"/>
      <c r="H303" s="16" t="n"/>
      <c r="I303" s="15">
        <f>IF(ISBLANK($E303)," ",IF($E303&gt;$H303,$C303,$F303))</f>
        <v/>
      </c>
      <c r="J303" s="15">
        <f>IF(ISBLANK($E303)," ",IF($E303&gt;$H303,$D303,$G303))</f>
        <v/>
      </c>
      <c r="K303" s="15" t="n"/>
      <c r="L303" s="15">
        <f>E303-H303</f>
        <v/>
      </c>
      <c r="M303" s="5">
        <f>IF(ISBLANK($E303),"",VLOOKUP($I303,PLAYERS_IDS,2,FALSE)*VLOOKUP($J303,PLAYERS_IDS,2,FALSE))</f>
        <v/>
      </c>
      <c r="N303" s="25">
        <f>IF(ISBLANK($E303)," ", COUNTIF($M$4:$M303,$M303))</f>
        <v/>
      </c>
      <c r="O303" s="25">
        <f>IF(N303 =" ", " ", IF(N303=1,15,(IF(N303=2,15,(IF(N303=3,15,15))))))</f>
        <v/>
      </c>
      <c r="P303" s="5">
        <f>IF(ISBLANK($F303),"",VLOOKUP($C303,PLAYERS_IDS,2,FALSE)*VLOOKUP($D303,PLAYERS_IDS,2,FALSE))</f>
        <v/>
      </c>
      <c r="Q303" s="5">
        <f>IF(ISBLANK($F303), "",VLOOKUP($F303,PLAYERS_IDS,2,FALSE)*VLOOKUP($G303,PLAYERS_IDS,2,FALSE))</f>
        <v/>
      </c>
      <c r="R303" s="5">
        <f>IFERROR((P303*100000)+Q303,"")</f>
        <v/>
      </c>
    </row>
    <row r="304" ht="20.25" customHeight="1" s="106">
      <c r="A304" s="14" t="n"/>
      <c r="B304" s="15" t="n">
        <v>300</v>
      </c>
      <c r="C304" s="22" t="n"/>
      <c r="D304" s="15" t="n"/>
      <c r="E304" s="23" t="n"/>
      <c r="F304" s="21" t="n"/>
      <c r="G304" s="21" t="n"/>
      <c r="H304" s="16" t="n"/>
      <c r="I304" s="15">
        <f>IF(ISBLANK($E304)," ",IF($E304&gt;$H304,$C304,$F304))</f>
        <v/>
      </c>
      <c r="J304" s="15">
        <f>IF(ISBLANK($E304)," ",IF($E304&gt;$H304,$D304,$G304))</f>
        <v/>
      </c>
      <c r="K304" s="15" t="n"/>
      <c r="L304" s="15">
        <f>E304-H304</f>
        <v/>
      </c>
      <c r="M304" s="5">
        <f>IF(ISBLANK($E304),"",VLOOKUP($I304,PLAYERS_IDS,2,FALSE)*VLOOKUP($J304,PLAYERS_IDS,2,FALSE))</f>
        <v/>
      </c>
      <c r="N304" s="25">
        <f>IF(ISBLANK($E304)," ", COUNTIF($M$4:$M304,$M304))</f>
        <v/>
      </c>
      <c r="O304" s="25">
        <f>IF(N304 =" ", " ", IF(N304=1,15,(IF(N304=2,15,(IF(N304=3,15,15))))))</f>
        <v/>
      </c>
      <c r="P304" s="5">
        <f>IF(ISBLANK($F304),"",VLOOKUP($C304,PLAYERS_IDS,2,FALSE)*VLOOKUP($D304,PLAYERS_IDS,2,FALSE))</f>
        <v/>
      </c>
      <c r="Q304" s="5">
        <f>IF(ISBLANK($F304), "",VLOOKUP($F304,PLAYERS_IDS,2,FALSE)*VLOOKUP($G304,PLAYERS_IDS,2,FALSE))</f>
        <v/>
      </c>
      <c r="R304" s="5">
        <f>IFERROR((P304*100000)+Q304,"")</f>
        <v/>
      </c>
    </row>
    <row r="305" ht="20.25" customHeight="1" s="106">
      <c r="A305" s="14" t="n"/>
      <c r="B305" s="15" t="n">
        <v>301</v>
      </c>
      <c r="C305" s="22" t="n"/>
      <c r="D305" s="15" t="n"/>
      <c r="E305" s="23" t="n"/>
      <c r="F305" s="21" t="n"/>
      <c r="G305" s="21" t="n"/>
      <c r="H305" s="16" t="n"/>
      <c r="I305" s="15">
        <f>IF(ISBLANK($E305)," ",IF($E305&gt;$H305,$C305,$F305))</f>
        <v/>
      </c>
      <c r="J305" s="15">
        <f>IF(ISBLANK($E305)," ",IF($E305&gt;$H305,$D305,$G305))</f>
        <v/>
      </c>
      <c r="K305" s="15" t="n"/>
      <c r="L305" s="15">
        <f>E305-H305</f>
        <v/>
      </c>
      <c r="M305" s="5">
        <f>IF(ISBLANK($E305),"",VLOOKUP($I305,PLAYERS_IDS,2,FALSE)*VLOOKUP($J305,PLAYERS_IDS,2,FALSE))</f>
        <v/>
      </c>
      <c r="N305" s="25">
        <f>IF(ISBLANK($E305)," ", COUNTIF($M$4:$M305,$M305))</f>
        <v/>
      </c>
      <c r="O305" s="25">
        <f>IF(N305 =" ", " ", IF(N305=1,15,(IF(N305=2,15,(IF(N305=3,15,15))))))</f>
        <v/>
      </c>
      <c r="P305" s="5">
        <f>IF(ISBLANK($F305),"",VLOOKUP($C305,PLAYERS_IDS,2,FALSE)*VLOOKUP($D305,PLAYERS_IDS,2,FALSE))</f>
        <v/>
      </c>
      <c r="Q305" s="5">
        <f>IF(ISBLANK($F305), "",VLOOKUP($F305,PLAYERS_IDS,2,FALSE)*VLOOKUP($G305,PLAYERS_IDS,2,FALSE))</f>
        <v/>
      </c>
      <c r="R305" s="5">
        <f>IFERROR((P305*100000)+Q305,"")</f>
        <v/>
      </c>
    </row>
    <row r="306" ht="20.25" customHeight="1" s="106">
      <c r="A306" s="14" t="n"/>
      <c r="B306" s="15" t="n">
        <v>302</v>
      </c>
      <c r="C306" s="22" t="n"/>
      <c r="D306" s="15" t="n"/>
      <c r="E306" s="23" t="n"/>
      <c r="F306" s="21" t="n"/>
      <c r="G306" s="21" t="n"/>
      <c r="H306" s="16" t="n"/>
      <c r="I306" s="15">
        <f>IF(ISBLANK($E306)," ",IF($E306&gt;$H306,$C306,$F306))</f>
        <v/>
      </c>
      <c r="J306" s="15">
        <f>IF(ISBLANK($E306)," ",IF($E306&gt;$H306,$D306,$G306))</f>
        <v/>
      </c>
      <c r="K306" s="15" t="n"/>
      <c r="L306" s="15">
        <f>E306-H306</f>
        <v/>
      </c>
      <c r="M306" s="5">
        <f>IF(ISBLANK($E306),"",VLOOKUP($I306,PLAYERS_IDS,2,FALSE)*VLOOKUP($J306,PLAYERS_IDS,2,FALSE))</f>
        <v/>
      </c>
      <c r="N306" s="25">
        <f>IF(ISBLANK($E306)," ", COUNTIF($M$4:$M306,$M306))</f>
        <v/>
      </c>
      <c r="O306" s="25">
        <f>IF(N306 =" ", " ", IF(N306=1,15,(IF(N306=2,15,(IF(N306=3,15,15))))))</f>
        <v/>
      </c>
      <c r="P306" s="5">
        <f>IF(ISBLANK($F306),"",VLOOKUP($C306,PLAYERS_IDS,2,FALSE)*VLOOKUP($D306,PLAYERS_IDS,2,FALSE))</f>
        <v/>
      </c>
      <c r="Q306" s="5">
        <f>IF(ISBLANK($F306), "",VLOOKUP($F306,PLAYERS_IDS,2,FALSE)*VLOOKUP($G306,PLAYERS_IDS,2,FALSE))</f>
        <v/>
      </c>
      <c r="R306" s="5">
        <f>IFERROR((P306*100000)+Q306,"")</f>
        <v/>
      </c>
    </row>
    <row r="307" ht="20.25" customHeight="1" s="106">
      <c r="A307" s="14" t="n"/>
      <c r="B307" s="15" t="n">
        <v>303</v>
      </c>
      <c r="C307" s="22" t="n"/>
      <c r="D307" s="15" t="n"/>
      <c r="E307" s="23" t="n"/>
      <c r="F307" s="21" t="n"/>
      <c r="G307" s="21" t="n"/>
      <c r="H307" s="16" t="n"/>
      <c r="I307" s="15">
        <f>IF(ISBLANK($E307)," ",IF($E307&gt;$H307,$C307,$F307))</f>
        <v/>
      </c>
      <c r="J307" s="15">
        <f>IF(ISBLANK($E307)," ",IF($E307&gt;$H307,$D307,$G307))</f>
        <v/>
      </c>
      <c r="K307" s="15" t="n"/>
      <c r="L307" s="15">
        <f>E307-H307</f>
        <v/>
      </c>
      <c r="M307" s="5">
        <f>IF(ISBLANK($E307),"",VLOOKUP($I307,PLAYERS_IDS,2,FALSE)*VLOOKUP($J307,PLAYERS_IDS,2,FALSE))</f>
        <v/>
      </c>
      <c r="N307" s="25">
        <f>IF(ISBLANK($E307)," ", COUNTIF($M$4:$M307,$M307))</f>
        <v/>
      </c>
      <c r="O307" s="25">
        <f>IF(N307 =" ", " ", IF(N307=1,15,(IF(N307=2,15,(IF(N307=3,15,15))))))</f>
        <v/>
      </c>
      <c r="P307" s="5">
        <f>IF(ISBLANK($F307),"",VLOOKUP($C307,PLAYERS_IDS,2,FALSE)*VLOOKUP($D307,PLAYERS_IDS,2,FALSE))</f>
        <v/>
      </c>
      <c r="Q307" s="5">
        <f>IF(ISBLANK($F307), "",VLOOKUP($F307,PLAYERS_IDS,2,FALSE)*VLOOKUP($G307,PLAYERS_IDS,2,FALSE))</f>
        <v/>
      </c>
      <c r="R307" s="5">
        <f>IFERROR((P307*100000)+Q307,"")</f>
        <v/>
      </c>
    </row>
    <row r="308" ht="20.25" customHeight="1" s="106">
      <c r="A308" s="14" t="n"/>
      <c r="B308" s="15" t="n">
        <v>304</v>
      </c>
      <c r="C308" s="22" t="n"/>
      <c r="D308" s="15" t="n"/>
      <c r="E308" s="23" t="n"/>
      <c r="F308" s="21" t="n"/>
      <c r="G308" s="21" t="n"/>
      <c r="H308" s="16" t="n"/>
      <c r="I308" s="15">
        <f>IF(ISBLANK($E308)," ",IF($E308&gt;$H308,$C308,$F308))</f>
        <v/>
      </c>
      <c r="J308" s="15">
        <f>IF(ISBLANK($E308)," ",IF($E308&gt;$H308,$D308,$G308))</f>
        <v/>
      </c>
      <c r="K308" s="15" t="n"/>
      <c r="L308" s="15">
        <f>E308-H308</f>
        <v/>
      </c>
      <c r="M308" s="5">
        <f>IF(ISBLANK($E308),"",VLOOKUP($I308,PLAYERS_IDS,2,FALSE)*VLOOKUP($J308,PLAYERS_IDS,2,FALSE))</f>
        <v/>
      </c>
      <c r="N308" s="25">
        <f>IF(ISBLANK($E308)," ", COUNTIF($M$4:$M308,$M308))</f>
        <v/>
      </c>
      <c r="O308" s="25">
        <f>IF(N308 =" ", " ", IF(N308=1,15,(IF(N308=2,15,(IF(N308=3,15,15))))))</f>
        <v/>
      </c>
      <c r="P308" s="5">
        <f>IF(ISBLANK($F308),"",VLOOKUP($C308,PLAYERS_IDS,2,FALSE)*VLOOKUP($D308,PLAYERS_IDS,2,FALSE))</f>
        <v/>
      </c>
      <c r="Q308" s="5">
        <f>IF(ISBLANK($F308), "",VLOOKUP($F308,PLAYERS_IDS,2,FALSE)*VLOOKUP($G308,PLAYERS_IDS,2,FALSE))</f>
        <v/>
      </c>
      <c r="R308" s="5">
        <f>IFERROR((P308*100000)+Q308,"")</f>
        <v/>
      </c>
    </row>
    <row r="309" ht="20.25" customHeight="1" s="106">
      <c r="A309" s="14" t="n"/>
      <c r="B309" s="15" t="n">
        <v>305</v>
      </c>
      <c r="C309" s="22" t="n"/>
      <c r="D309" s="15" t="n"/>
      <c r="E309" s="23" t="n"/>
      <c r="F309" s="21" t="n"/>
      <c r="G309" s="21" t="n"/>
      <c r="H309" s="16" t="n"/>
      <c r="I309" s="15">
        <f>IF(ISBLANK($E309)," ",IF($E309&gt;$H309,$C309,$F309))</f>
        <v/>
      </c>
      <c r="J309" s="15">
        <f>IF(ISBLANK($E309)," ",IF($E309&gt;$H309,$D309,$G309))</f>
        <v/>
      </c>
      <c r="K309" s="15" t="n"/>
      <c r="L309" s="15">
        <f>E309-H309</f>
        <v/>
      </c>
      <c r="M309" s="5">
        <f>IF(ISBLANK($E309),"",VLOOKUP($I309,PLAYERS_IDS,2,FALSE)*VLOOKUP($J309,PLAYERS_IDS,2,FALSE))</f>
        <v/>
      </c>
      <c r="N309" s="25">
        <f>IF(ISBLANK($E309)," ", COUNTIF($M$4:$M309,$M309))</f>
        <v/>
      </c>
      <c r="O309" s="25">
        <f>IF(N309 =" ", " ", IF(N309=1,15,(IF(N309=2,15,(IF(N309=3,15,15))))))</f>
        <v/>
      </c>
      <c r="P309" s="5">
        <f>IF(ISBLANK($F309),"",VLOOKUP($C309,PLAYERS_IDS,2,FALSE)*VLOOKUP($D309,PLAYERS_IDS,2,FALSE))</f>
        <v/>
      </c>
      <c r="Q309" s="5">
        <f>IF(ISBLANK($F309), "",VLOOKUP($F309,PLAYERS_IDS,2,FALSE)*VLOOKUP($G309,PLAYERS_IDS,2,FALSE))</f>
        <v/>
      </c>
      <c r="R309" s="5">
        <f>IFERROR((P309*100000)+Q309,"")</f>
        <v/>
      </c>
    </row>
    <row r="310" ht="20.25" customHeight="1" s="106">
      <c r="A310" s="14" t="n"/>
      <c r="B310" s="15" t="n">
        <v>306</v>
      </c>
      <c r="C310" s="22" t="n"/>
      <c r="D310" s="15" t="n"/>
      <c r="E310" s="23" t="n"/>
      <c r="F310" s="21" t="n"/>
      <c r="G310" s="21" t="n"/>
      <c r="H310" s="16" t="n"/>
      <c r="I310" s="15">
        <f>IF(ISBLANK($E310)," ",IF($E310&gt;$H310,$C310,$F310))</f>
        <v/>
      </c>
      <c r="J310" s="15">
        <f>IF(ISBLANK($E310)," ",IF($E310&gt;$H310,$D310,$G310))</f>
        <v/>
      </c>
      <c r="K310" s="15" t="n"/>
      <c r="L310" s="15">
        <f>E310-H310</f>
        <v/>
      </c>
      <c r="M310" s="5">
        <f>IF(ISBLANK($E310),"",VLOOKUP($I310,PLAYERS_IDS,2,FALSE)*VLOOKUP($J310,PLAYERS_IDS,2,FALSE))</f>
        <v/>
      </c>
      <c r="N310" s="25">
        <f>IF(ISBLANK($E310)," ", COUNTIF($M$4:$M310,$M310))</f>
        <v/>
      </c>
      <c r="O310" s="25">
        <f>IF(N310 =" ", " ", IF(N310=1,15,(IF(N310=2,15,(IF(N310=3,15,15))))))</f>
        <v/>
      </c>
      <c r="P310" s="5">
        <f>IF(ISBLANK($F310),"",VLOOKUP($C310,PLAYERS_IDS,2,FALSE)*VLOOKUP($D310,PLAYERS_IDS,2,FALSE))</f>
        <v/>
      </c>
      <c r="Q310" s="5">
        <f>IF(ISBLANK($F310), "",VLOOKUP($F310,PLAYERS_IDS,2,FALSE)*VLOOKUP($G310,PLAYERS_IDS,2,FALSE))</f>
        <v/>
      </c>
      <c r="R310" s="5">
        <f>IFERROR((P310*100000)+Q310,"")</f>
        <v/>
      </c>
    </row>
    <row r="311" ht="20.25" customHeight="1" s="106">
      <c r="A311" s="14" t="n"/>
      <c r="B311" s="15" t="n">
        <v>307</v>
      </c>
      <c r="C311" s="22" t="n"/>
      <c r="D311" s="15" t="n"/>
      <c r="E311" s="23" t="n"/>
      <c r="F311" s="21" t="n"/>
      <c r="G311" s="21" t="n"/>
      <c r="H311" s="16" t="n"/>
      <c r="I311" s="15">
        <f>IF(ISBLANK($E311)," ",IF($E311&gt;$H311,$C311,$F311))</f>
        <v/>
      </c>
      <c r="J311" s="15">
        <f>IF(ISBLANK($E311)," ",IF($E311&gt;$H311,$D311,$G311))</f>
        <v/>
      </c>
      <c r="K311" s="15" t="n"/>
      <c r="L311" s="15">
        <f>E311-H311</f>
        <v/>
      </c>
      <c r="M311" s="5">
        <f>IF(ISBLANK($E311),"",VLOOKUP($I311,PLAYERS_IDS,2,FALSE)*VLOOKUP($J311,PLAYERS_IDS,2,FALSE))</f>
        <v/>
      </c>
      <c r="N311" s="25">
        <f>IF(ISBLANK($E311)," ", COUNTIF($M$4:$M311,$M311))</f>
        <v/>
      </c>
      <c r="O311" s="25">
        <f>IF(N311 =" ", " ", IF(N311=1,15,(IF(N311=2,15,(IF(N311=3,15,15))))))</f>
        <v/>
      </c>
      <c r="P311" s="5">
        <f>IF(ISBLANK($F311),"",VLOOKUP($C311,PLAYERS_IDS,2,FALSE)*VLOOKUP($D311,PLAYERS_IDS,2,FALSE))</f>
        <v/>
      </c>
      <c r="Q311" s="5">
        <f>IF(ISBLANK($F311), "",VLOOKUP($F311,PLAYERS_IDS,2,FALSE)*VLOOKUP($G311,PLAYERS_IDS,2,FALSE))</f>
        <v/>
      </c>
      <c r="R311" s="5">
        <f>IFERROR((P311*100000)+Q311,"")</f>
        <v/>
      </c>
    </row>
    <row r="312" ht="20.25" customHeight="1" s="106">
      <c r="A312" s="14" t="n"/>
      <c r="B312" s="15" t="n">
        <v>308</v>
      </c>
      <c r="C312" s="22" t="n"/>
      <c r="D312" s="15" t="n"/>
      <c r="E312" s="23" t="n"/>
      <c r="F312" s="21" t="n"/>
      <c r="G312" s="21" t="n"/>
      <c r="H312" s="16" t="n"/>
      <c r="I312" s="15">
        <f>IF(ISBLANK($E312)," ",IF($E312&gt;$H312,$C312,$F312))</f>
        <v/>
      </c>
      <c r="J312" s="15">
        <f>IF(ISBLANK($E312)," ",IF($E312&gt;$H312,$D312,$G312))</f>
        <v/>
      </c>
      <c r="K312" s="15" t="n"/>
      <c r="L312" s="15">
        <f>E312-H312</f>
        <v/>
      </c>
      <c r="M312" s="5">
        <f>IF(ISBLANK($E312),"",VLOOKUP($I312,PLAYERS_IDS,2,FALSE)*VLOOKUP($J312,PLAYERS_IDS,2,FALSE))</f>
        <v/>
      </c>
      <c r="N312" s="25">
        <f>IF(ISBLANK($E312)," ", COUNTIF($M$4:$M312,$M312))</f>
        <v/>
      </c>
      <c r="O312" s="25">
        <f>IF(N312 =" ", " ", IF(N312=1,15,(IF(N312=2,15,(IF(N312=3,15,15))))))</f>
        <v/>
      </c>
      <c r="P312" s="5">
        <f>IF(ISBLANK($F312),"",VLOOKUP($C312,PLAYERS_IDS,2,FALSE)*VLOOKUP($D312,PLAYERS_IDS,2,FALSE))</f>
        <v/>
      </c>
      <c r="Q312" s="5">
        <f>IF(ISBLANK($F312), "",VLOOKUP($F312,PLAYERS_IDS,2,FALSE)*VLOOKUP($G312,PLAYERS_IDS,2,FALSE))</f>
        <v/>
      </c>
      <c r="R312" s="5">
        <f>IFERROR((P312*100000)+Q312,"")</f>
        <v/>
      </c>
    </row>
    <row r="313" ht="20.25" customHeight="1" s="106">
      <c r="A313" s="14" t="n"/>
      <c r="B313" s="15" t="n">
        <v>309</v>
      </c>
      <c r="C313" s="22" t="n"/>
      <c r="D313" s="15" t="n"/>
      <c r="E313" s="23" t="n"/>
      <c r="F313" s="21" t="n"/>
      <c r="G313" s="21" t="n"/>
      <c r="H313" s="16" t="n"/>
      <c r="I313" s="15">
        <f>IF(ISBLANK($E313)," ",IF($E313&gt;$H313,$C313,$F313))</f>
        <v/>
      </c>
      <c r="J313" s="15">
        <f>IF(ISBLANK($E313)," ",IF($E313&gt;$H313,$D313,$G313))</f>
        <v/>
      </c>
      <c r="K313" s="15" t="n"/>
      <c r="L313" s="15">
        <f>E313-H313</f>
        <v/>
      </c>
      <c r="M313" s="5">
        <f>IF(ISBLANK($E313),"",VLOOKUP($I313,PLAYERS_IDS,2,FALSE)*VLOOKUP($J313,PLAYERS_IDS,2,FALSE))</f>
        <v/>
      </c>
      <c r="N313" s="25">
        <f>IF(ISBLANK($E313)," ", COUNTIF($M$4:$M313,$M313))</f>
        <v/>
      </c>
      <c r="O313" s="25">
        <f>IF(N313 =" ", " ", IF(N313=1,15,(IF(N313=2,15,(IF(N313=3,15,15))))))</f>
        <v/>
      </c>
      <c r="P313" s="5">
        <f>IF(ISBLANK($F313),"",VLOOKUP($C313,PLAYERS_IDS,2,FALSE)*VLOOKUP($D313,PLAYERS_IDS,2,FALSE))</f>
        <v/>
      </c>
      <c r="Q313" s="5">
        <f>IF(ISBLANK($F313), "",VLOOKUP($F313,PLAYERS_IDS,2,FALSE)*VLOOKUP($G313,PLAYERS_IDS,2,FALSE))</f>
        <v/>
      </c>
      <c r="R313" s="5">
        <f>IFERROR((P313*100000)+Q313,"")</f>
        <v/>
      </c>
    </row>
    <row r="314" ht="20.25" customHeight="1" s="106">
      <c r="A314" s="14" t="n"/>
      <c r="B314" s="15" t="n">
        <v>310</v>
      </c>
      <c r="C314" s="22" t="n"/>
      <c r="D314" s="15" t="n"/>
      <c r="E314" s="23" t="n"/>
      <c r="F314" s="21" t="n"/>
      <c r="G314" s="21" t="n"/>
      <c r="H314" s="16" t="n"/>
      <c r="I314" s="15">
        <f>IF(ISBLANK($E314)," ",IF($E314&gt;$H314,$C314,$F314))</f>
        <v/>
      </c>
      <c r="J314" s="15">
        <f>IF(ISBLANK($E314)," ",IF($E314&gt;$H314,$D314,$G314))</f>
        <v/>
      </c>
      <c r="K314" s="15" t="n"/>
      <c r="L314" s="15">
        <f>E314-H314</f>
        <v/>
      </c>
      <c r="M314" s="5">
        <f>IF(ISBLANK($E314),"",VLOOKUP($I314,PLAYERS_IDS,2,FALSE)*VLOOKUP($J314,PLAYERS_IDS,2,FALSE))</f>
        <v/>
      </c>
      <c r="N314" s="25">
        <f>IF(ISBLANK($E314)," ", COUNTIF($M$4:$M314,$M314))</f>
        <v/>
      </c>
      <c r="O314" s="25">
        <f>IF(N314 =" ", " ", IF(N314=1,15,(IF(N314=2,15,(IF(N314=3,15,15))))))</f>
        <v/>
      </c>
      <c r="P314" s="5">
        <f>IF(ISBLANK($F314),"",VLOOKUP($C314,PLAYERS_IDS,2,FALSE)*VLOOKUP($D314,PLAYERS_IDS,2,FALSE))</f>
        <v/>
      </c>
      <c r="Q314" s="5">
        <f>IF(ISBLANK($F314), "",VLOOKUP($F314,PLAYERS_IDS,2,FALSE)*VLOOKUP($G314,PLAYERS_IDS,2,FALSE))</f>
        <v/>
      </c>
      <c r="R314" s="5">
        <f>IFERROR((P314*100000)+Q314,"")</f>
        <v/>
      </c>
    </row>
    <row r="315" ht="20.25" customHeight="1" s="106">
      <c r="A315" s="14" t="n"/>
      <c r="B315" s="15" t="n">
        <v>311</v>
      </c>
      <c r="C315" s="22" t="n"/>
      <c r="D315" s="15" t="n"/>
      <c r="E315" s="23" t="n"/>
      <c r="F315" s="21" t="n"/>
      <c r="G315" s="21" t="n"/>
      <c r="H315" s="16" t="n"/>
      <c r="I315" s="15">
        <f>IF(ISBLANK($E315)," ",IF($E315&gt;$H315,$C315,$F315))</f>
        <v/>
      </c>
      <c r="J315" s="15">
        <f>IF(ISBLANK($E315)," ",IF($E315&gt;$H315,$D315,$G315))</f>
        <v/>
      </c>
      <c r="K315" s="15" t="n"/>
      <c r="L315" s="15">
        <f>E315-H315</f>
        <v/>
      </c>
      <c r="M315" s="5">
        <f>IF(ISBLANK($E315),"",VLOOKUP($I315,PLAYERS_IDS,2,FALSE)*VLOOKUP($J315,PLAYERS_IDS,2,FALSE))</f>
        <v/>
      </c>
      <c r="N315" s="25">
        <f>IF(ISBLANK($E315)," ", COUNTIF($M$4:$M315,$M315))</f>
        <v/>
      </c>
      <c r="O315" s="25">
        <f>IF(N315 =" ", " ", IF(N315=1,15,(IF(N315=2,15,(IF(N315=3,15,15))))))</f>
        <v/>
      </c>
      <c r="P315" s="5">
        <f>IF(ISBLANK($F315),"",VLOOKUP($C315,PLAYERS_IDS,2,FALSE)*VLOOKUP($D315,PLAYERS_IDS,2,FALSE))</f>
        <v/>
      </c>
      <c r="Q315" s="5">
        <f>IF(ISBLANK($F315), "",VLOOKUP($F315,PLAYERS_IDS,2,FALSE)*VLOOKUP($G315,PLAYERS_IDS,2,FALSE))</f>
        <v/>
      </c>
      <c r="R315" s="5">
        <f>IFERROR((P315*100000)+Q315,"")</f>
        <v/>
      </c>
    </row>
    <row r="316" ht="20.25" customHeight="1" s="106">
      <c r="A316" s="14" t="n"/>
      <c r="B316" s="15" t="n">
        <v>312</v>
      </c>
      <c r="C316" s="22" t="n"/>
      <c r="D316" s="15" t="n"/>
      <c r="E316" s="23" t="n"/>
      <c r="F316" s="21" t="n"/>
      <c r="G316" s="21" t="n"/>
      <c r="H316" s="16" t="n"/>
      <c r="I316" s="15">
        <f>IF(ISBLANK($E316)," ",IF($E316&gt;$H316,$C316,$F316))</f>
        <v/>
      </c>
      <c r="J316" s="15">
        <f>IF(ISBLANK($E316)," ",IF($E316&gt;$H316,$D316,$G316))</f>
        <v/>
      </c>
      <c r="K316" s="15" t="n"/>
      <c r="L316" s="15">
        <f>E316-H316</f>
        <v/>
      </c>
      <c r="M316" s="5">
        <f>IF(ISBLANK($E316),"",VLOOKUP($I316,PLAYERS_IDS,2,FALSE)*VLOOKUP($J316,PLAYERS_IDS,2,FALSE))</f>
        <v/>
      </c>
      <c r="N316" s="25">
        <f>IF(ISBLANK($E316)," ", COUNTIF($M$4:$M316,$M316))</f>
        <v/>
      </c>
      <c r="O316" s="25">
        <f>IF(N316 =" ", " ", IF(N316=1,15,(IF(N316=2,15,(IF(N316=3,15,15))))))</f>
        <v/>
      </c>
      <c r="P316" s="5">
        <f>IF(ISBLANK($F316),"",VLOOKUP($C316,PLAYERS_IDS,2,FALSE)*VLOOKUP($D316,PLAYERS_IDS,2,FALSE))</f>
        <v/>
      </c>
      <c r="Q316" s="5">
        <f>IF(ISBLANK($F316), "",VLOOKUP($F316,PLAYERS_IDS,2,FALSE)*VLOOKUP($G316,PLAYERS_IDS,2,FALSE))</f>
        <v/>
      </c>
      <c r="R316" s="5">
        <f>IFERROR((P316*100000)+Q316,"")</f>
        <v/>
      </c>
    </row>
    <row r="317" ht="20.25" customHeight="1" s="106">
      <c r="A317" s="14" t="n"/>
      <c r="B317" s="15" t="n">
        <v>313</v>
      </c>
      <c r="C317" s="22" t="n"/>
      <c r="D317" s="15" t="n"/>
      <c r="E317" s="23" t="n"/>
      <c r="F317" s="21" t="n"/>
      <c r="G317" s="21" t="n"/>
      <c r="H317" s="16" t="n"/>
      <c r="I317" s="15">
        <f>IF(ISBLANK($E317)," ",IF($E317&gt;$H317,$C317,$F317))</f>
        <v/>
      </c>
      <c r="J317" s="15">
        <f>IF(ISBLANK($E317)," ",IF($E317&gt;$H317,$D317,$G317))</f>
        <v/>
      </c>
      <c r="K317" s="15" t="n"/>
      <c r="L317" s="15">
        <f>E317-H317</f>
        <v/>
      </c>
      <c r="M317" s="5">
        <f>IF(ISBLANK($E317),"",VLOOKUP($I317,PLAYERS_IDS,2,FALSE)*VLOOKUP($J317,PLAYERS_IDS,2,FALSE))</f>
        <v/>
      </c>
      <c r="N317" s="25">
        <f>IF(ISBLANK($E317)," ", COUNTIF($M$4:$M317,$M317))</f>
        <v/>
      </c>
      <c r="O317" s="25">
        <f>IF(N317 =" ", " ", IF(N317=1,15,(IF(N317=2,15,(IF(N317=3,15,15))))))</f>
        <v/>
      </c>
      <c r="P317" s="5">
        <f>IF(ISBLANK($F317),"",VLOOKUP($C317,PLAYERS_IDS,2,FALSE)*VLOOKUP($D317,PLAYERS_IDS,2,FALSE))</f>
        <v/>
      </c>
      <c r="Q317" s="5">
        <f>IF(ISBLANK($F317), "",VLOOKUP($F317,PLAYERS_IDS,2,FALSE)*VLOOKUP($G317,PLAYERS_IDS,2,FALSE))</f>
        <v/>
      </c>
      <c r="R317" s="5">
        <f>IFERROR((P317*100000)+Q317,"")</f>
        <v/>
      </c>
    </row>
    <row r="318" ht="20.25" customHeight="1" s="106">
      <c r="A318" s="14" t="n"/>
      <c r="B318" s="15" t="n">
        <v>314</v>
      </c>
      <c r="C318" s="22" t="n"/>
      <c r="D318" s="15" t="n"/>
      <c r="E318" s="23" t="n"/>
      <c r="F318" s="21" t="n"/>
      <c r="G318" s="21" t="n"/>
      <c r="H318" s="16" t="n"/>
      <c r="I318" s="15">
        <f>IF(ISBLANK($E318)," ",IF($E318&gt;$H318,$C318,$F318))</f>
        <v/>
      </c>
      <c r="J318" s="15">
        <f>IF(ISBLANK($E318)," ",IF($E318&gt;$H318,$D318,$G318))</f>
        <v/>
      </c>
      <c r="K318" s="15" t="n"/>
      <c r="L318" s="15">
        <f>E318-H318</f>
        <v/>
      </c>
      <c r="M318" s="5">
        <f>IF(ISBLANK($E318),"",VLOOKUP($I318,PLAYERS_IDS,2,FALSE)*VLOOKUP($J318,PLAYERS_IDS,2,FALSE))</f>
        <v/>
      </c>
      <c r="N318" s="25">
        <f>IF(ISBLANK($E318)," ", COUNTIF($M$4:$M318,$M318))</f>
        <v/>
      </c>
      <c r="O318" s="25">
        <f>IF(N318 =" ", " ", IF(N318=1,15,(IF(N318=2,15,(IF(N318=3,15,15))))))</f>
        <v/>
      </c>
      <c r="P318" s="5">
        <f>IF(ISBLANK($F318),"",VLOOKUP($C318,PLAYERS_IDS,2,FALSE)*VLOOKUP($D318,PLAYERS_IDS,2,FALSE))</f>
        <v/>
      </c>
      <c r="Q318" s="5">
        <f>IF(ISBLANK($F318), "",VLOOKUP($F318,PLAYERS_IDS,2,FALSE)*VLOOKUP($G318,PLAYERS_IDS,2,FALSE))</f>
        <v/>
      </c>
      <c r="R318" s="5">
        <f>IFERROR((P318*100000)+Q318,"")</f>
        <v/>
      </c>
    </row>
    <row r="319" ht="20.25" customHeight="1" s="106">
      <c r="A319" s="14" t="n"/>
      <c r="B319" s="15" t="n">
        <v>315</v>
      </c>
      <c r="C319" s="22" t="n"/>
      <c r="D319" s="15" t="n"/>
      <c r="E319" s="23" t="n"/>
      <c r="F319" s="21" t="n"/>
      <c r="G319" s="21" t="n"/>
      <c r="H319" s="16" t="n"/>
      <c r="I319" s="15">
        <f>IF(ISBLANK($E319)," ",IF($E319&gt;$H319,$C319,$F319))</f>
        <v/>
      </c>
      <c r="J319" s="15">
        <f>IF(ISBLANK($E319)," ",IF($E319&gt;$H319,$D319,$G319))</f>
        <v/>
      </c>
      <c r="K319" s="15" t="n"/>
      <c r="L319" s="15">
        <f>E319-H319</f>
        <v/>
      </c>
      <c r="M319" s="5">
        <f>IF(ISBLANK($E319),"",VLOOKUP($I319,PLAYERS_IDS,2,FALSE)*VLOOKUP($J319,PLAYERS_IDS,2,FALSE))</f>
        <v/>
      </c>
      <c r="N319" s="25">
        <f>IF(ISBLANK($E319)," ", COUNTIF($M$4:$M319,$M319))</f>
        <v/>
      </c>
      <c r="O319" s="25">
        <f>IF(N319 =" ", " ", IF(N319=1,15,(IF(N319=2,15,(IF(N319=3,15,15))))))</f>
        <v/>
      </c>
      <c r="P319" s="5">
        <f>IF(ISBLANK($F319),"",VLOOKUP($C319,PLAYERS_IDS,2,FALSE)*VLOOKUP($D319,PLAYERS_IDS,2,FALSE))</f>
        <v/>
      </c>
      <c r="Q319" s="5">
        <f>IF(ISBLANK($F319), "",VLOOKUP($F319,PLAYERS_IDS,2,FALSE)*VLOOKUP($G319,PLAYERS_IDS,2,FALSE))</f>
        <v/>
      </c>
      <c r="R319" s="5">
        <f>IFERROR((P319*100000)+Q319,"")</f>
        <v/>
      </c>
    </row>
    <row r="320" ht="20.25" customHeight="1" s="106">
      <c r="A320" s="14" t="n"/>
      <c r="B320" s="15" t="n">
        <v>316</v>
      </c>
      <c r="C320" s="22" t="n"/>
      <c r="D320" s="15" t="n"/>
      <c r="E320" s="23" t="n"/>
      <c r="F320" s="21" t="n"/>
      <c r="G320" s="21" t="n"/>
      <c r="H320" s="16" t="n"/>
      <c r="I320" s="15">
        <f>IF(ISBLANK($E320)," ",IF($E320&gt;$H320,$C320,$F320))</f>
        <v/>
      </c>
      <c r="J320" s="15">
        <f>IF(ISBLANK($E320)," ",IF($E320&gt;$H320,$D320,$G320))</f>
        <v/>
      </c>
      <c r="K320" s="15" t="n"/>
      <c r="L320" s="15">
        <f>E320-H320</f>
        <v/>
      </c>
      <c r="M320" s="5">
        <f>IF(ISBLANK($E320),"",VLOOKUP($I320,PLAYERS_IDS,2,FALSE)*VLOOKUP($J320,PLAYERS_IDS,2,FALSE))</f>
        <v/>
      </c>
      <c r="N320" s="25">
        <f>IF(ISBLANK($E320)," ", COUNTIF($M$4:$M320,$M320))</f>
        <v/>
      </c>
      <c r="O320" s="25">
        <f>IF(N320 =" ", " ", IF(N320=1,15,(IF(N320=2,15,(IF(N320=3,15,15))))))</f>
        <v/>
      </c>
      <c r="P320" s="5">
        <f>IF(ISBLANK($F320),"",VLOOKUP($C320,PLAYERS_IDS,2,FALSE)*VLOOKUP($D320,PLAYERS_IDS,2,FALSE))</f>
        <v/>
      </c>
      <c r="Q320" s="5">
        <f>IF(ISBLANK($F320), "",VLOOKUP($F320,PLAYERS_IDS,2,FALSE)*VLOOKUP($G320,PLAYERS_IDS,2,FALSE))</f>
        <v/>
      </c>
      <c r="R320" s="5">
        <f>IFERROR((P320*100000)+Q320,"")</f>
        <v/>
      </c>
    </row>
    <row r="321" ht="20.25" customHeight="1" s="106">
      <c r="A321" s="14" t="n"/>
      <c r="B321" s="15" t="n">
        <v>317</v>
      </c>
      <c r="C321" s="22" t="n"/>
      <c r="D321" s="15" t="n"/>
      <c r="E321" s="23" t="n"/>
      <c r="F321" s="21" t="n"/>
      <c r="G321" s="21" t="n"/>
      <c r="H321" s="16" t="n"/>
      <c r="I321" s="15">
        <f>IF(ISBLANK($E321)," ",IF($E321&gt;$H321,$C321,$F321))</f>
        <v/>
      </c>
      <c r="J321" s="15">
        <f>IF(ISBLANK($E321)," ",IF($E321&gt;$H321,$D321,$G321))</f>
        <v/>
      </c>
      <c r="K321" s="15" t="n"/>
      <c r="L321" s="15">
        <f>E321-H321</f>
        <v/>
      </c>
      <c r="M321" s="5">
        <f>IF(ISBLANK($E321),"",VLOOKUP($I321,PLAYERS_IDS,2,FALSE)*VLOOKUP($J321,PLAYERS_IDS,2,FALSE))</f>
        <v/>
      </c>
      <c r="N321" s="25">
        <f>IF(ISBLANK($E321)," ", COUNTIF($M$4:$M321,$M321))</f>
        <v/>
      </c>
      <c r="O321" s="25">
        <f>IF(N321 =" ", " ", IF(N321=1,15,(IF(N321=2,15,(IF(N321=3,15,15))))))</f>
        <v/>
      </c>
      <c r="P321" s="5">
        <f>IF(ISBLANK($F321),"",VLOOKUP($C321,PLAYERS_IDS,2,FALSE)*VLOOKUP($D321,PLAYERS_IDS,2,FALSE))</f>
        <v/>
      </c>
      <c r="Q321" s="5">
        <f>IF(ISBLANK($F321), "",VLOOKUP($F321,PLAYERS_IDS,2,FALSE)*VLOOKUP($G321,PLAYERS_IDS,2,FALSE))</f>
        <v/>
      </c>
      <c r="R321" s="5">
        <f>IFERROR((P321*100000)+Q321,"")</f>
        <v/>
      </c>
    </row>
    <row r="322" ht="20.25" customHeight="1" s="106">
      <c r="A322" s="14" t="n"/>
      <c r="B322" s="15" t="n">
        <v>318</v>
      </c>
      <c r="C322" s="22" t="n"/>
      <c r="D322" s="15" t="n"/>
      <c r="E322" s="23" t="n"/>
      <c r="F322" s="21" t="n"/>
      <c r="G322" s="21" t="n"/>
      <c r="H322" s="16" t="n"/>
      <c r="I322" s="15">
        <f>IF(ISBLANK($E322)," ",IF($E322&gt;$H322,$C322,$F322))</f>
        <v/>
      </c>
      <c r="J322" s="15">
        <f>IF(ISBLANK($E322)," ",IF($E322&gt;$H322,$D322,$G322))</f>
        <v/>
      </c>
      <c r="K322" s="15" t="n"/>
      <c r="L322" s="15">
        <f>E322-H322</f>
        <v/>
      </c>
      <c r="M322" s="5">
        <f>IF(ISBLANK($E322),"",VLOOKUP($I322,PLAYERS_IDS,2,FALSE)*VLOOKUP($J322,PLAYERS_IDS,2,FALSE))</f>
        <v/>
      </c>
      <c r="N322" s="25">
        <f>IF(ISBLANK($E322)," ", COUNTIF($M$4:$M322,$M322))</f>
        <v/>
      </c>
      <c r="O322" s="25">
        <f>IF(N322 =" ", " ", IF(N322=1,15,(IF(N322=2,15,(IF(N322=3,15,15))))))</f>
        <v/>
      </c>
      <c r="P322" s="5">
        <f>IF(ISBLANK($F322),"",VLOOKUP($C322,PLAYERS_IDS,2,FALSE)*VLOOKUP($D322,PLAYERS_IDS,2,FALSE))</f>
        <v/>
      </c>
      <c r="Q322" s="5">
        <f>IF(ISBLANK($F322), "",VLOOKUP($F322,PLAYERS_IDS,2,FALSE)*VLOOKUP($G322,PLAYERS_IDS,2,FALSE))</f>
        <v/>
      </c>
      <c r="R322" s="5">
        <f>IFERROR((P322*100000)+Q322,"")</f>
        <v/>
      </c>
    </row>
    <row r="323" ht="20.25" customHeight="1" s="106">
      <c r="A323" s="14" t="n"/>
      <c r="B323" s="15" t="n">
        <v>319</v>
      </c>
      <c r="C323" s="22" t="n"/>
      <c r="D323" s="15" t="n"/>
      <c r="E323" s="23" t="n"/>
      <c r="F323" s="21" t="n"/>
      <c r="G323" s="21" t="n"/>
      <c r="H323" s="16" t="n"/>
      <c r="I323" s="15">
        <f>IF(ISBLANK($E323)," ",IF($E323&gt;$H323,$C323,$F323))</f>
        <v/>
      </c>
      <c r="J323" s="15">
        <f>IF(ISBLANK($E323)," ",IF($E323&gt;$H323,$D323,$G323))</f>
        <v/>
      </c>
      <c r="K323" s="15" t="n"/>
      <c r="L323" s="15">
        <f>E323-H323</f>
        <v/>
      </c>
      <c r="M323" s="5">
        <f>IF(ISBLANK($E323),"",VLOOKUP($I323,PLAYERS_IDS,2,FALSE)*VLOOKUP($J323,PLAYERS_IDS,2,FALSE))</f>
        <v/>
      </c>
      <c r="N323" s="25">
        <f>IF(ISBLANK($E323)," ", COUNTIF($M$4:$M323,$M323))</f>
        <v/>
      </c>
      <c r="O323" s="25">
        <f>IF(N323 =" ", " ", IF(N323=1,15,(IF(N323=2,15,(IF(N323=3,15,15))))))</f>
        <v/>
      </c>
      <c r="P323" s="5">
        <f>IF(ISBLANK($F323),"",VLOOKUP($C323,PLAYERS_IDS,2,FALSE)*VLOOKUP($D323,PLAYERS_IDS,2,FALSE))</f>
        <v/>
      </c>
      <c r="Q323" s="5">
        <f>IF(ISBLANK($F323), "",VLOOKUP($F323,PLAYERS_IDS,2,FALSE)*VLOOKUP($G323,PLAYERS_IDS,2,FALSE))</f>
        <v/>
      </c>
      <c r="R323" s="5">
        <f>IFERROR((P323*100000)+Q323,"")</f>
        <v/>
      </c>
    </row>
    <row r="324" ht="20.25" customHeight="1" s="106">
      <c r="A324" s="14" t="n"/>
      <c r="B324" s="15" t="n">
        <v>320</v>
      </c>
      <c r="C324" s="22" t="n"/>
      <c r="D324" s="15" t="n"/>
      <c r="E324" s="23" t="n"/>
      <c r="F324" s="21" t="n"/>
      <c r="G324" s="21" t="n"/>
      <c r="H324" s="16" t="n"/>
      <c r="I324" s="15">
        <f>IF(ISBLANK($E324)," ",IF($E324&gt;$H324,$C324,$F324))</f>
        <v/>
      </c>
      <c r="J324" s="15">
        <f>IF(ISBLANK($E324)," ",IF($E324&gt;$H324,$D324,$G324))</f>
        <v/>
      </c>
      <c r="K324" s="15" t="n"/>
      <c r="L324" s="15">
        <f>E324-H324</f>
        <v/>
      </c>
      <c r="M324" s="5">
        <f>IF(ISBLANK($E324),"",VLOOKUP($I324,PLAYERS_IDS,2,FALSE)*VLOOKUP($J324,PLAYERS_IDS,2,FALSE))</f>
        <v/>
      </c>
      <c r="N324" s="25">
        <f>IF(ISBLANK($E324)," ", COUNTIF($M$4:$M324,$M324))</f>
        <v/>
      </c>
      <c r="O324" s="25">
        <f>IF(N324 =" ", " ", IF(N324=1,15,(IF(N324=2,15,(IF(N324=3,15,15))))))</f>
        <v/>
      </c>
      <c r="P324" s="5">
        <f>IF(ISBLANK($F324),"",VLOOKUP($C324,PLAYERS_IDS,2,FALSE)*VLOOKUP($D324,PLAYERS_IDS,2,FALSE))</f>
        <v/>
      </c>
      <c r="Q324" s="5">
        <f>IF(ISBLANK($F324), "",VLOOKUP($F324,PLAYERS_IDS,2,FALSE)*VLOOKUP($G324,PLAYERS_IDS,2,FALSE))</f>
        <v/>
      </c>
      <c r="R324" s="5">
        <f>IFERROR((P324*100000)+Q324,"")</f>
        <v/>
      </c>
    </row>
    <row r="325" ht="20.25" customHeight="1" s="106">
      <c r="A325" s="14" t="n"/>
      <c r="B325" s="15" t="n">
        <v>321</v>
      </c>
      <c r="C325" s="22" t="n"/>
      <c r="D325" s="15" t="n"/>
      <c r="E325" s="23" t="n"/>
      <c r="F325" s="21" t="n"/>
      <c r="G325" s="21" t="n"/>
      <c r="H325" s="16" t="n"/>
      <c r="I325" s="15">
        <f>IF(ISBLANK($E325)," ",IF($E325&gt;$H325,$C325,$F325))</f>
        <v/>
      </c>
      <c r="J325" s="15">
        <f>IF(ISBLANK($E325)," ",IF($E325&gt;$H325,$D325,$G325))</f>
        <v/>
      </c>
      <c r="K325" s="15" t="n"/>
      <c r="L325" s="15">
        <f>E325-H325</f>
        <v/>
      </c>
      <c r="M325" s="5">
        <f>IF(ISBLANK($E325),"",VLOOKUP($I325,PLAYERS_IDS,2,FALSE)*VLOOKUP($J325,PLAYERS_IDS,2,FALSE))</f>
        <v/>
      </c>
      <c r="N325" s="25">
        <f>IF(ISBLANK($E325)," ", COUNTIF($M$4:$M325,$M325))</f>
        <v/>
      </c>
      <c r="O325" s="25">
        <f>IF(N325 =" ", " ", IF(N325=1,15,(IF(N325=2,15,(IF(N325=3,15,15))))))</f>
        <v/>
      </c>
      <c r="P325" s="5">
        <f>IF(ISBLANK($F325),"",VLOOKUP($C325,PLAYERS_IDS,2,FALSE)*VLOOKUP($D325,PLAYERS_IDS,2,FALSE))</f>
        <v/>
      </c>
      <c r="Q325" s="5">
        <f>IF(ISBLANK($F325), "",VLOOKUP($F325,PLAYERS_IDS,2,FALSE)*VLOOKUP($G325,PLAYERS_IDS,2,FALSE))</f>
        <v/>
      </c>
      <c r="R325" s="5">
        <f>IFERROR((P325*100000)+Q325,"")</f>
        <v/>
      </c>
    </row>
    <row r="326" ht="20.25" customHeight="1" s="106">
      <c r="A326" s="14" t="n"/>
      <c r="B326" s="15" t="n">
        <v>322</v>
      </c>
      <c r="C326" s="22" t="n"/>
      <c r="D326" s="15" t="n"/>
      <c r="E326" s="23" t="n"/>
      <c r="F326" s="21" t="n"/>
      <c r="G326" s="21" t="n"/>
      <c r="H326" s="16" t="n"/>
      <c r="I326" s="15">
        <f>IF(ISBLANK($E326)," ",IF($E326&gt;$H326,$C326,$F326))</f>
        <v/>
      </c>
      <c r="J326" s="15">
        <f>IF(ISBLANK($E326)," ",IF($E326&gt;$H326,$D326,$G326))</f>
        <v/>
      </c>
      <c r="K326" s="15" t="n"/>
      <c r="L326" s="15">
        <f>E326-H326</f>
        <v/>
      </c>
      <c r="M326" s="5">
        <f>IF(ISBLANK($E326),"",VLOOKUP($I326,PLAYERS_IDS,2,FALSE)*VLOOKUP($J326,PLAYERS_IDS,2,FALSE))</f>
        <v/>
      </c>
      <c r="N326" s="25">
        <f>IF(ISBLANK($E326)," ", COUNTIF($M$4:$M326,$M326))</f>
        <v/>
      </c>
      <c r="O326" s="25">
        <f>IF(N326 =" ", " ", IF(N326=1,15,(IF(N326=2,15,(IF(N326=3,15,15))))))</f>
        <v/>
      </c>
      <c r="P326" s="5">
        <f>IF(ISBLANK($F326),"",VLOOKUP($C326,PLAYERS_IDS,2,FALSE)*VLOOKUP($D326,PLAYERS_IDS,2,FALSE))</f>
        <v/>
      </c>
      <c r="Q326" s="5">
        <f>IF(ISBLANK($F326), "",VLOOKUP($F326,PLAYERS_IDS,2,FALSE)*VLOOKUP($G326,PLAYERS_IDS,2,FALSE))</f>
        <v/>
      </c>
      <c r="R326" s="5">
        <f>IFERROR((P326*100000)+Q326,"")</f>
        <v/>
      </c>
    </row>
    <row r="327" ht="20.25" customHeight="1" s="106">
      <c r="A327" s="14" t="n"/>
      <c r="B327" s="15" t="n">
        <v>323</v>
      </c>
      <c r="C327" s="22" t="n"/>
      <c r="D327" s="15" t="n"/>
      <c r="E327" s="23" t="n"/>
      <c r="F327" s="21" t="n"/>
      <c r="G327" s="21" t="n"/>
      <c r="H327" s="16" t="n"/>
      <c r="I327" s="15">
        <f>IF(ISBLANK($E327)," ",IF($E327&gt;$H327,$C327,$F327))</f>
        <v/>
      </c>
      <c r="J327" s="15">
        <f>IF(ISBLANK($E327)," ",IF($E327&gt;$H327,$D327,$G327))</f>
        <v/>
      </c>
      <c r="K327" s="15" t="n"/>
      <c r="L327" s="15">
        <f>E327-H327</f>
        <v/>
      </c>
      <c r="M327" s="5">
        <f>IF(ISBLANK($E327),"",VLOOKUP($I327,PLAYERS_IDS,2,FALSE)*VLOOKUP($J327,PLAYERS_IDS,2,FALSE))</f>
        <v/>
      </c>
      <c r="N327" s="25">
        <f>IF(ISBLANK($E327)," ", COUNTIF($M$4:$M327,$M327))</f>
        <v/>
      </c>
      <c r="O327" s="25">
        <f>IF(N327 =" ", " ", IF(N327=1,15,(IF(N327=2,15,(IF(N327=3,15,15))))))</f>
        <v/>
      </c>
      <c r="P327" s="5">
        <f>IF(ISBLANK($F327),"",VLOOKUP($C327,PLAYERS_IDS,2,FALSE)*VLOOKUP($D327,PLAYERS_IDS,2,FALSE))</f>
        <v/>
      </c>
      <c r="Q327" s="5">
        <f>IF(ISBLANK($F327), "",VLOOKUP($F327,PLAYERS_IDS,2,FALSE)*VLOOKUP($G327,PLAYERS_IDS,2,FALSE))</f>
        <v/>
      </c>
      <c r="R327" s="5">
        <f>IFERROR((P327*100000)+Q327,"")</f>
        <v/>
      </c>
    </row>
    <row r="328" ht="20.25" customHeight="1" s="106">
      <c r="A328" s="14" t="n"/>
      <c r="B328" s="15" t="n">
        <v>324</v>
      </c>
      <c r="C328" s="22" t="n"/>
      <c r="D328" s="15" t="n"/>
      <c r="E328" s="23" t="n"/>
      <c r="F328" s="21" t="n"/>
      <c r="G328" s="21" t="n"/>
      <c r="H328" s="16" t="n"/>
      <c r="I328" s="15">
        <f>IF(ISBLANK($E328)," ",IF($E328&gt;$H328,$C328,$F328))</f>
        <v/>
      </c>
      <c r="J328" s="15">
        <f>IF(ISBLANK($E328)," ",IF($E328&gt;$H328,$D328,$G328))</f>
        <v/>
      </c>
      <c r="K328" s="15" t="n"/>
      <c r="L328" s="15">
        <f>E328-H328</f>
        <v/>
      </c>
      <c r="M328" s="5">
        <f>IF(ISBLANK($E328),"",VLOOKUP($I328,PLAYERS_IDS,2,FALSE)*VLOOKUP($J328,PLAYERS_IDS,2,FALSE))</f>
        <v/>
      </c>
      <c r="N328" s="25">
        <f>IF(ISBLANK($E328)," ", COUNTIF($M$4:$M328,$M328))</f>
        <v/>
      </c>
      <c r="O328" s="25">
        <f>IF(N328 =" ", " ", IF(N328=1,15,(IF(N328=2,15,(IF(N328=3,15,15))))))</f>
        <v/>
      </c>
      <c r="P328" s="5">
        <f>IF(ISBLANK($F328),"",VLOOKUP($C328,PLAYERS_IDS,2,FALSE)*VLOOKUP($D328,PLAYERS_IDS,2,FALSE))</f>
        <v/>
      </c>
      <c r="Q328" s="5">
        <f>IF(ISBLANK($F328), "",VLOOKUP($F328,PLAYERS_IDS,2,FALSE)*VLOOKUP($G328,PLAYERS_IDS,2,FALSE))</f>
        <v/>
      </c>
      <c r="R328" s="5">
        <f>IFERROR((P328*100000)+Q328,"")</f>
        <v/>
      </c>
    </row>
    <row r="329" ht="20.25" customHeight="1" s="106">
      <c r="A329" s="14" t="n"/>
      <c r="B329" s="15" t="n">
        <v>325</v>
      </c>
      <c r="C329" s="22" t="n"/>
      <c r="D329" s="15" t="n"/>
      <c r="E329" s="23" t="n"/>
      <c r="F329" s="21" t="n"/>
      <c r="G329" s="21" t="n"/>
      <c r="H329" s="16" t="n"/>
      <c r="I329" s="15">
        <f>IF(ISBLANK($E329)," ",IF($E329&gt;$H329,$C329,$F329))</f>
        <v/>
      </c>
      <c r="J329" s="15">
        <f>IF(ISBLANK($E329)," ",IF($E329&gt;$H329,$D329,$G329))</f>
        <v/>
      </c>
      <c r="K329" s="15" t="n"/>
      <c r="L329" s="15">
        <f>E329-H329</f>
        <v/>
      </c>
      <c r="M329" s="5">
        <f>IF(ISBLANK($E329),"",VLOOKUP($I329,PLAYERS_IDS,2,FALSE)*VLOOKUP($J329,PLAYERS_IDS,2,FALSE))</f>
        <v/>
      </c>
      <c r="N329" s="25">
        <f>IF(ISBLANK($E329)," ", COUNTIF($M$4:$M329,$M329))</f>
        <v/>
      </c>
      <c r="O329" s="25">
        <f>IF(N329 =" ", " ", IF(N329=1,15,(IF(N329=2,15,(IF(N329=3,15,15))))))</f>
        <v/>
      </c>
      <c r="P329" s="5">
        <f>IF(ISBLANK($F329),"",VLOOKUP($C329,PLAYERS_IDS,2,FALSE)*VLOOKUP($D329,PLAYERS_IDS,2,FALSE))</f>
        <v/>
      </c>
      <c r="Q329" s="5">
        <f>IF(ISBLANK($F329), "",VLOOKUP($F329,PLAYERS_IDS,2,FALSE)*VLOOKUP($G329,PLAYERS_IDS,2,FALSE))</f>
        <v/>
      </c>
      <c r="R329" s="5">
        <f>IFERROR((P329*100000)+Q329,"")</f>
        <v/>
      </c>
    </row>
    <row r="330" ht="20.25" customHeight="1" s="106">
      <c r="A330" s="14" t="n"/>
      <c r="B330" s="15" t="n">
        <v>326</v>
      </c>
      <c r="C330" s="22" t="n"/>
      <c r="D330" s="15" t="n"/>
      <c r="E330" s="23" t="n"/>
      <c r="F330" s="21" t="n"/>
      <c r="G330" s="21" t="n"/>
      <c r="H330" s="16" t="n"/>
      <c r="I330" s="15">
        <f>IF(ISBLANK($E330)," ",IF($E330&gt;$H330,$C330,$F330))</f>
        <v/>
      </c>
      <c r="J330" s="15">
        <f>IF(ISBLANK($E330)," ",IF($E330&gt;$H330,$D330,$G330))</f>
        <v/>
      </c>
      <c r="K330" s="15" t="n"/>
      <c r="L330" s="15">
        <f>E330-H330</f>
        <v/>
      </c>
      <c r="M330" s="5">
        <f>IF(ISBLANK($E330),"",VLOOKUP($I330,PLAYERS_IDS,2,FALSE)*VLOOKUP($J330,PLAYERS_IDS,2,FALSE))</f>
        <v/>
      </c>
      <c r="N330" s="25">
        <f>IF(ISBLANK($E330)," ", COUNTIF($M$4:$M330,$M330))</f>
        <v/>
      </c>
      <c r="O330" s="25">
        <f>IF(N330 =" ", " ", IF(N330=1,15,(IF(N330=2,15,(IF(N330=3,15,15))))))</f>
        <v/>
      </c>
      <c r="P330" s="5">
        <f>IF(ISBLANK($F330),"",VLOOKUP($C330,PLAYERS_IDS,2,FALSE)*VLOOKUP($D330,PLAYERS_IDS,2,FALSE))</f>
        <v/>
      </c>
      <c r="Q330" s="5">
        <f>IF(ISBLANK($F330), "",VLOOKUP($F330,PLAYERS_IDS,2,FALSE)*VLOOKUP($G330,PLAYERS_IDS,2,FALSE))</f>
        <v/>
      </c>
      <c r="R330" s="5">
        <f>IFERROR((P330*100000)+Q330,"")</f>
        <v/>
      </c>
    </row>
    <row r="331" ht="20.25" customHeight="1" s="106">
      <c r="A331" s="14" t="n"/>
      <c r="B331" s="15" t="n">
        <v>327</v>
      </c>
      <c r="C331" s="22" t="n"/>
      <c r="D331" s="15" t="n"/>
      <c r="E331" s="23" t="n"/>
      <c r="F331" s="21" t="n"/>
      <c r="G331" s="21" t="n"/>
      <c r="H331" s="16" t="n"/>
      <c r="I331" s="15">
        <f>IF(ISBLANK($E331)," ",IF($E331&gt;$H331,$C331,$F331))</f>
        <v/>
      </c>
      <c r="J331" s="15">
        <f>IF(ISBLANK($E331)," ",IF($E331&gt;$H331,$D331,$G331))</f>
        <v/>
      </c>
      <c r="K331" s="15" t="n"/>
      <c r="L331" s="15">
        <f>E331-H331</f>
        <v/>
      </c>
      <c r="M331" s="5">
        <f>IF(ISBLANK($E331),"",VLOOKUP($I331,PLAYERS_IDS,2,FALSE)*VLOOKUP($J331,PLAYERS_IDS,2,FALSE))</f>
        <v/>
      </c>
      <c r="N331" s="25">
        <f>IF(ISBLANK($E331)," ", COUNTIF($M$4:$M331,$M331))</f>
        <v/>
      </c>
      <c r="O331" s="25">
        <f>IF(N331 =" ", " ", IF(N331=1,15,(IF(N331=2,15,(IF(N331=3,15,15))))))</f>
        <v/>
      </c>
      <c r="P331" s="5">
        <f>IF(ISBLANK($F331),"",VLOOKUP($C331,PLAYERS_IDS,2,FALSE)*VLOOKUP($D331,PLAYERS_IDS,2,FALSE))</f>
        <v/>
      </c>
      <c r="Q331" s="5">
        <f>IF(ISBLANK($F331), "",VLOOKUP($F331,PLAYERS_IDS,2,FALSE)*VLOOKUP($G331,PLAYERS_IDS,2,FALSE))</f>
        <v/>
      </c>
      <c r="R331" s="5">
        <f>IFERROR((P331*100000)+Q331,"")</f>
        <v/>
      </c>
    </row>
    <row r="332" ht="20.25" customHeight="1" s="106">
      <c r="A332" s="14" t="n"/>
      <c r="B332" s="15" t="n">
        <v>328</v>
      </c>
      <c r="C332" s="22" t="n"/>
      <c r="D332" s="15" t="n"/>
      <c r="E332" s="23" t="n"/>
      <c r="F332" s="21" t="n"/>
      <c r="G332" s="21" t="n"/>
      <c r="H332" s="16" t="n"/>
      <c r="I332" s="15">
        <f>IF(ISBLANK($E332)," ",IF($E332&gt;$H332,$C332,$F332))</f>
        <v/>
      </c>
      <c r="J332" s="15">
        <f>IF(ISBLANK($E332)," ",IF($E332&gt;$H332,$D332,$G332))</f>
        <v/>
      </c>
      <c r="K332" s="15" t="n"/>
      <c r="L332" s="15">
        <f>E332-H332</f>
        <v/>
      </c>
      <c r="M332" s="5">
        <f>IF(ISBLANK($E332),"",VLOOKUP($I332,PLAYERS_IDS,2,FALSE)*VLOOKUP($J332,PLAYERS_IDS,2,FALSE))</f>
        <v/>
      </c>
      <c r="N332" s="25">
        <f>IF(ISBLANK($E332)," ", COUNTIF($M$4:$M332,$M332))</f>
        <v/>
      </c>
      <c r="O332" s="25">
        <f>IF(N332 =" ", " ", IF(N332=1,15,(IF(N332=2,15,(IF(N332=3,15,15))))))</f>
        <v/>
      </c>
      <c r="P332" s="5">
        <f>IF(ISBLANK($F332),"",VLOOKUP($C332,PLAYERS_IDS,2,FALSE)*VLOOKUP($D332,PLAYERS_IDS,2,FALSE))</f>
        <v/>
      </c>
      <c r="Q332" s="5">
        <f>IF(ISBLANK($F332), "",VLOOKUP($F332,PLAYERS_IDS,2,FALSE)*VLOOKUP($G332,PLAYERS_IDS,2,FALSE))</f>
        <v/>
      </c>
      <c r="R332" s="5">
        <f>IFERROR((P332*100000)+Q332,"")</f>
        <v/>
      </c>
    </row>
    <row r="333" ht="20.25" customHeight="1" s="106">
      <c r="A333" s="14" t="n"/>
      <c r="B333" s="15" t="n">
        <v>329</v>
      </c>
      <c r="C333" s="22" t="n"/>
      <c r="D333" s="15" t="n"/>
      <c r="E333" s="23" t="n"/>
      <c r="F333" s="21" t="n"/>
      <c r="G333" s="21" t="n"/>
      <c r="H333" s="16" t="n"/>
      <c r="I333" s="15">
        <f>IF(ISBLANK($E333)," ",IF($E333&gt;$H333,$C333,$F333))</f>
        <v/>
      </c>
      <c r="J333" s="15">
        <f>IF(ISBLANK($E333)," ",IF($E333&gt;$H333,$D333,$G333))</f>
        <v/>
      </c>
      <c r="K333" s="15" t="n"/>
      <c r="L333" s="15">
        <f>E333-H333</f>
        <v/>
      </c>
      <c r="M333" s="5">
        <f>IF(ISBLANK($E333),"",VLOOKUP($I333,PLAYERS_IDS,2,FALSE)*VLOOKUP($J333,PLAYERS_IDS,2,FALSE))</f>
        <v/>
      </c>
      <c r="N333" s="25">
        <f>IF(ISBLANK($E333)," ", COUNTIF($M$4:$M333,$M333))</f>
        <v/>
      </c>
      <c r="O333" s="25">
        <f>IF(N333 =" ", " ", IF(N333=1,15,(IF(N333=2,15,(IF(N333=3,15,15))))))</f>
        <v/>
      </c>
      <c r="P333" s="5">
        <f>IF(ISBLANK($F333),"",VLOOKUP($C333,PLAYERS_IDS,2,FALSE)*VLOOKUP($D333,PLAYERS_IDS,2,FALSE))</f>
        <v/>
      </c>
      <c r="Q333" s="5">
        <f>IF(ISBLANK($F333), "",VLOOKUP($F333,PLAYERS_IDS,2,FALSE)*VLOOKUP($G333,PLAYERS_IDS,2,FALSE))</f>
        <v/>
      </c>
      <c r="R333" s="5">
        <f>IFERROR((P333*100000)+Q333,"")</f>
        <v/>
      </c>
    </row>
    <row r="334" ht="20.25" customHeight="1" s="106">
      <c r="A334" s="14" t="n"/>
      <c r="B334" s="15" t="n">
        <v>330</v>
      </c>
      <c r="C334" s="22" t="n"/>
      <c r="D334" s="15" t="n"/>
      <c r="E334" s="23" t="n"/>
      <c r="F334" s="21" t="n"/>
      <c r="G334" s="21" t="n"/>
      <c r="H334" s="16" t="n"/>
      <c r="I334" s="15">
        <f>IF(ISBLANK($E334)," ",IF($E334&gt;$H334,$C334,$F334))</f>
        <v/>
      </c>
      <c r="J334" s="15">
        <f>IF(ISBLANK($E334)," ",IF($E334&gt;$H334,$D334,$G334))</f>
        <v/>
      </c>
      <c r="K334" s="15" t="n"/>
      <c r="L334" s="15">
        <f>E334-H334</f>
        <v/>
      </c>
      <c r="M334" s="5">
        <f>IF(ISBLANK($E334),"",VLOOKUP($I334,PLAYERS_IDS,2,FALSE)*VLOOKUP($J334,PLAYERS_IDS,2,FALSE))</f>
        <v/>
      </c>
      <c r="N334" s="25">
        <f>IF(ISBLANK($E334)," ", COUNTIF($M$4:$M334,$M334))</f>
        <v/>
      </c>
      <c r="O334" s="25">
        <f>IF(N334 =" ", " ", IF(N334=1,15,(IF(N334=2,15,(IF(N334=3,15,15))))))</f>
        <v/>
      </c>
      <c r="P334" s="5">
        <f>IF(ISBLANK($F334),"",VLOOKUP($C334,PLAYERS_IDS,2,FALSE)*VLOOKUP($D334,PLAYERS_IDS,2,FALSE))</f>
        <v/>
      </c>
      <c r="Q334" s="5">
        <f>IF(ISBLANK($F334), "",VLOOKUP($F334,PLAYERS_IDS,2,FALSE)*VLOOKUP($G334,PLAYERS_IDS,2,FALSE))</f>
        <v/>
      </c>
      <c r="R334" s="5">
        <f>IFERROR((P334*100000)+Q334,"")</f>
        <v/>
      </c>
    </row>
    <row r="335" ht="20.25" customHeight="1" s="106">
      <c r="A335" s="14" t="n"/>
      <c r="B335" s="15" t="n">
        <v>331</v>
      </c>
      <c r="C335" s="22" t="n"/>
      <c r="D335" s="15" t="n"/>
      <c r="E335" s="23" t="n"/>
      <c r="F335" s="21" t="n"/>
      <c r="G335" s="21" t="n"/>
      <c r="H335" s="16" t="n"/>
      <c r="I335" s="15">
        <f>IF(ISBLANK($E335)," ",IF($E335&gt;$H335,$C335,$F335))</f>
        <v/>
      </c>
      <c r="J335" s="15">
        <f>IF(ISBLANK($E335)," ",IF($E335&gt;$H335,$D335,$G335))</f>
        <v/>
      </c>
      <c r="K335" s="15" t="n"/>
      <c r="L335" s="15">
        <f>E335-H335</f>
        <v/>
      </c>
      <c r="M335" s="5">
        <f>IF(ISBLANK($E335),"",VLOOKUP($I335,PLAYERS_IDS,2,FALSE)*VLOOKUP($J335,PLAYERS_IDS,2,FALSE))</f>
        <v/>
      </c>
      <c r="N335" s="25">
        <f>IF(ISBLANK($E335)," ", COUNTIF($M$4:$M335,$M335))</f>
        <v/>
      </c>
      <c r="O335" s="25">
        <f>IF(N335 =" ", " ", IF(N335=1,15,(IF(N335=2,15,(IF(N335=3,15,15))))))</f>
        <v/>
      </c>
      <c r="P335" s="5">
        <f>IF(ISBLANK($F335),"",VLOOKUP($C335,PLAYERS_IDS,2,FALSE)*VLOOKUP($D335,PLAYERS_IDS,2,FALSE))</f>
        <v/>
      </c>
      <c r="Q335" s="5">
        <f>IF(ISBLANK($F335), "",VLOOKUP($F335,PLAYERS_IDS,2,FALSE)*VLOOKUP($G335,PLAYERS_IDS,2,FALSE))</f>
        <v/>
      </c>
      <c r="R335" s="5">
        <f>IFERROR((P335*100000)+Q335,"")</f>
        <v/>
      </c>
    </row>
    <row r="336" ht="20.25" customHeight="1" s="106">
      <c r="A336" s="14" t="n"/>
      <c r="B336" s="15" t="n">
        <v>332</v>
      </c>
      <c r="C336" s="22" t="n"/>
      <c r="D336" s="15" t="n"/>
      <c r="E336" s="23" t="n"/>
      <c r="F336" s="21" t="n"/>
      <c r="G336" s="21" t="n"/>
      <c r="H336" s="16" t="n"/>
      <c r="I336" s="15">
        <f>IF(ISBLANK($E336)," ",IF($E336&gt;$H336,$C336,$F336))</f>
        <v/>
      </c>
      <c r="J336" s="15">
        <f>IF(ISBLANK($E336)," ",IF($E336&gt;$H336,$D336,$G336))</f>
        <v/>
      </c>
      <c r="K336" s="15" t="n"/>
      <c r="L336" s="15">
        <f>E336-H336</f>
        <v/>
      </c>
      <c r="M336" s="5">
        <f>IF(ISBLANK($E336),"",VLOOKUP($I336,PLAYERS_IDS,2,FALSE)*VLOOKUP($J336,PLAYERS_IDS,2,FALSE))</f>
        <v/>
      </c>
      <c r="N336" s="25">
        <f>IF(ISBLANK($E336)," ", COUNTIF($M$4:$M336,$M336))</f>
        <v/>
      </c>
      <c r="O336" s="25">
        <f>IF(N336 =" ", " ", IF(N336=1,15,(IF(N336=2,15,(IF(N336=3,15,15))))))</f>
        <v/>
      </c>
      <c r="P336" s="5">
        <f>IF(ISBLANK($F336),"",VLOOKUP($C336,PLAYERS_IDS,2,FALSE)*VLOOKUP($D336,PLAYERS_IDS,2,FALSE))</f>
        <v/>
      </c>
      <c r="Q336" s="5">
        <f>IF(ISBLANK($F336), "",VLOOKUP($F336,PLAYERS_IDS,2,FALSE)*VLOOKUP($G336,PLAYERS_IDS,2,FALSE))</f>
        <v/>
      </c>
      <c r="R336" s="5">
        <f>IFERROR((P336*100000)+Q336,"")</f>
        <v/>
      </c>
    </row>
    <row r="337" ht="20.25" customHeight="1" s="106">
      <c r="A337" s="14" t="n"/>
      <c r="B337" s="15" t="n">
        <v>333</v>
      </c>
      <c r="C337" s="22" t="n"/>
      <c r="D337" s="15" t="n"/>
      <c r="E337" s="23" t="n"/>
      <c r="F337" s="21" t="n"/>
      <c r="G337" s="21" t="n"/>
      <c r="H337" s="16" t="n"/>
      <c r="I337" s="15">
        <f>IF(ISBLANK($E337)," ",IF($E337&gt;$H337,$C337,$F337))</f>
        <v/>
      </c>
      <c r="J337" s="15">
        <f>IF(ISBLANK($E337)," ",IF($E337&gt;$H337,$D337,$G337))</f>
        <v/>
      </c>
      <c r="K337" s="15" t="n"/>
      <c r="L337" s="15">
        <f>E337-H337</f>
        <v/>
      </c>
      <c r="M337" s="5">
        <f>IF(ISBLANK($E337),"",VLOOKUP($I337,PLAYERS_IDS,2,FALSE)*VLOOKUP($J337,PLAYERS_IDS,2,FALSE))</f>
        <v/>
      </c>
      <c r="N337" s="25">
        <f>IF(ISBLANK($E337)," ", COUNTIF($M$4:$M337,$M337))</f>
        <v/>
      </c>
      <c r="O337" s="25">
        <f>IF(N337 =" ", " ", IF(N337=1,15,(IF(N337=2,15,(IF(N337=3,15,15))))))</f>
        <v/>
      </c>
      <c r="P337" s="5">
        <f>IF(ISBLANK($F337),"",VLOOKUP($C337,PLAYERS_IDS,2,FALSE)*VLOOKUP($D337,PLAYERS_IDS,2,FALSE))</f>
        <v/>
      </c>
      <c r="Q337" s="5">
        <f>IF(ISBLANK($F337), "",VLOOKUP($F337,PLAYERS_IDS,2,FALSE)*VLOOKUP($G337,PLAYERS_IDS,2,FALSE))</f>
        <v/>
      </c>
      <c r="R337" s="5">
        <f>IFERROR((P337*100000)+Q337,"")</f>
        <v/>
      </c>
    </row>
    <row r="338" ht="20.25" customHeight="1" s="106">
      <c r="A338" s="14" t="n"/>
      <c r="B338" s="15" t="n">
        <v>334</v>
      </c>
      <c r="C338" s="22" t="n"/>
      <c r="D338" s="15" t="n"/>
      <c r="E338" s="23" t="n"/>
      <c r="F338" s="21" t="n"/>
      <c r="G338" s="21" t="n"/>
      <c r="H338" s="16" t="n"/>
      <c r="I338" s="15">
        <f>IF(ISBLANK($E338)," ",IF($E338&gt;$H338,$C338,$F338))</f>
        <v/>
      </c>
      <c r="J338" s="15">
        <f>IF(ISBLANK($E338)," ",IF($E338&gt;$H338,$D338,$G338))</f>
        <v/>
      </c>
      <c r="K338" s="15" t="n"/>
      <c r="L338" s="15">
        <f>E338-H338</f>
        <v/>
      </c>
      <c r="M338" s="5">
        <f>IF(ISBLANK($E338),"",VLOOKUP($I338,PLAYERS_IDS,2,FALSE)*VLOOKUP($J338,PLAYERS_IDS,2,FALSE))</f>
        <v/>
      </c>
      <c r="N338" s="25">
        <f>IF(ISBLANK($E338)," ", COUNTIF($M$4:$M338,$M338))</f>
        <v/>
      </c>
      <c r="O338" s="25">
        <f>IF(N338 =" ", " ", IF(N338=1,15,(IF(N338=2,15,(IF(N338=3,15,15))))))</f>
        <v/>
      </c>
      <c r="P338" s="5">
        <f>IF(ISBLANK($F338),"",VLOOKUP($C338,PLAYERS_IDS,2,FALSE)*VLOOKUP($D338,PLAYERS_IDS,2,FALSE))</f>
        <v/>
      </c>
      <c r="Q338" s="5">
        <f>IF(ISBLANK($F338), "",VLOOKUP($F338,PLAYERS_IDS,2,FALSE)*VLOOKUP($G338,PLAYERS_IDS,2,FALSE))</f>
        <v/>
      </c>
      <c r="R338" s="5">
        <f>IFERROR((P338*100000)+Q338,"")</f>
        <v/>
      </c>
    </row>
    <row r="339" ht="20.25" customHeight="1" s="106">
      <c r="A339" s="14" t="n"/>
      <c r="B339" s="15" t="n">
        <v>335</v>
      </c>
      <c r="C339" s="22" t="n"/>
      <c r="D339" s="15" t="n"/>
      <c r="E339" s="23" t="n"/>
      <c r="F339" s="21" t="n"/>
      <c r="G339" s="21" t="n"/>
      <c r="H339" s="16" t="n"/>
      <c r="I339" s="15">
        <f>IF(ISBLANK($E339)," ",IF($E339&gt;$H339,$C339,$F339))</f>
        <v/>
      </c>
      <c r="J339" s="15">
        <f>IF(ISBLANK($E339)," ",IF($E339&gt;$H339,$D339,$G339))</f>
        <v/>
      </c>
      <c r="K339" s="15" t="n"/>
      <c r="L339" s="15">
        <f>E339-H339</f>
        <v/>
      </c>
      <c r="M339" s="5">
        <f>IF(ISBLANK($E339),"",VLOOKUP($I339,PLAYERS_IDS,2,FALSE)*VLOOKUP($J339,PLAYERS_IDS,2,FALSE))</f>
        <v/>
      </c>
      <c r="N339" s="25">
        <f>IF(ISBLANK($E339)," ", COUNTIF($M$4:$M339,$M339))</f>
        <v/>
      </c>
      <c r="O339" s="25">
        <f>IF(N339 =" ", " ", IF(N339=1,15,(IF(N339=2,15,(IF(N339=3,15,15))))))</f>
        <v/>
      </c>
      <c r="P339" s="5">
        <f>IF(ISBLANK($F339),"",VLOOKUP($C339,PLAYERS_IDS,2,FALSE)*VLOOKUP($D339,PLAYERS_IDS,2,FALSE))</f>
        <v/>
      </c>
      <c r="Q339" s="5">
        <f>IF(ISBLANK($F339), "",VLOOKUP($F339,PLAYERS_IDS,2,FALSE)*VLOOKUP($G339,PLAYERS_IDS,2,FALSE))</f>
        <v/>
      </c>
      <c r="R339" s="5">
        <f>IFERROR((P339*100000)+Q339,"")</f>
        <v/>
      </c>
    </row>
    <row r="340" ht="20.25" customHeight="1" s="106">
      <c r="A340" s="14" t="n"/>
      <c r="B340" s="15" t="n">
        <v>336</v>
      </c>
      <c r="C340" s="22" t="n"/>
      <c r="D340" s="15" t="n"/>
      <c r="E340" s="23" t="n"/>
      <c r="F340" s="21" t="n"/>
      <c r="G340" s="21" t="n"/>
      <c r="H340" s="16" t="n"/>
      <c r="I340" s="15">
        <f>IF(ISBLANK($E340)," ",IF($E340&gt;$H340,$C340,$F340))</f>
        <v/>
      </c>
      <c r="J340" s="15">
        <f>IF(ISBLANK($E340)," ",IF($E340&gt;$H340,$D340,$G340))</f>
        <v/>
      </c>
      <c r="K340" s="15" t="n"/>
      <c r="L340" s="15">
        <f>E340-H340</f>
        <v/>
      </c>
      <c r="M340" s="5">
        <f>IF(ISBLANK($E340),"",VLOOKUP($I340,PLAYERS_IDS,2,FALSE)*VLOOKUP($J340,PLAYERS_IDS,2,FALSE))</f>
        <v/>
      </c>
      <c r="N340" s="25">
        <f>IF(ISBLANK($E340)," ", COUNTIF($M$4:$M340,$M340))</f>
        <v/>
      </c>
      <c r="O340" s="25">
        <f>IF(N340 =" ", " ", IF(N340=1,15,(IF(N340=2,15,(IF(N340=3,15,15))))))</f>
        <v/>
      </c>
      <c r="P340" s="5">
        <f>IF(ISBLANK($F340),"",VLOOKUP($C340,PLAYERS_IDS,2,FALSE)*VLOOKUP($D340,PLAYERS_IDS,2,FALSE))</f>
        <v/>
      </c>
      <c r="Q340" s="5">
        <f>IF(ISBLANK($F340), "",VLOOKUP($F340,PLAYERS_IDS,2,FALSE)*VLOOKUP($G340,PLAYERS_IDS,2,FALSE))</f>
        <v/>
      </c>
      <c r="R340" s="5">
        <f>IFERROR((P340*100000)+Q340,"")</f>
        <v/>
      </c>
    </row>
    <row r="341" ht="20.25" customHeight="1" s="106">
      <c r="A341" s="14" t="n"/>
      <c r="B341" s="15" t="n">
        <v>337</v>
      </c>
      <c r="C341" s="22" t="n"/>
      <c r="D341" s="15" t="n"/>
      <c r="E341" s="23" t="n"/>
      <c r="F341" s="21" t="n"/>
      <c r="G341" s="21" t="n"/>
      <c r="H341" s="16" t="n"/>
      <c r="I341" s="15">
        <f>IF(ISBLANK($E341)," ",IF($E341&gt;$H341,$C341,$F341))</f>
        <v/>
      </c>
      <c r="J341" s="15">
        <f>IF(ISBLANK($E341)," ",IF($E341&gt;$H341,$D341,$G341))</f>
        <v/>
      </c>
      <c r="K341" s="15" t="n"/>
      <c r="L341" s="15">
        <f>E341-H341</f>
        <v/>
      </c>
      <c r="M341" s="5">
        <f>IF(ISBLANK($E341),"",VLOOKUP($I341,PLAYERS_IDS,2,FALSE)*VLOOKUP($J341,PLAYERS_IDS,2,FALSE))</f>
        <v/>
      </c>
      <c r="N341" s="25">
        <f>IF(ISBLANK($E341)," ", COUNTIF($M$4:$M341,$M341))</f>
        <v/>
      </c>
      <c r="O341" s="25">
        <f>IF(N341 =" ", " ", IF(N341=1,15,(IF(N341=2,15,(IF(N341=3,15,15))))))</f>
        <v/>
      </c>
      <c r="P341" s="5">
        <f>IF(ISBLANK($F341),"",VLOOKUP($C341,PLAYERS_IDS,2,FALSE)*VLOOKUP($D341,PLAYERS_IDS,2,FALSE))</f>
        <v/>
      </c>
      <c r="Q341" s="5">
        <f>IF(ISBLANK($F341), "",VLOOKUP($F341,PLAYERS_IDS,2,FALSE)*VLOOKUP($G341,PLAYERS_IDS,2,FALSE))</f>
        <v/>
      </c>
      <c r="R341" s="5">
        <f>IFERROR((P341*100000)+Q341,"")</f>
        <v/>
      </c>
    </row>
    <row r="342" ht="20.25" customHeight="1" s="106">
      <c r="A342" s="14" t="n"/>
      <c r="B342" s="15" t="n">
        <v>338</v>
      </c>
      <c r="C342" s="22" t="n"/>
      <c r="D342" s="15" t="n"/>
      <c r="E342" s="23" t="n"/>
      <c r="F342" s="21" t="n"/>
      <c r="G342" s="21" t="n"/>
      <c r="H342" s="16" t="n"/>
      <c r="I342" s="15">
        <f>IF(ISBLANK($E342)," ",IF($E342&gt;$H342,$C342,$F342))</f>
        <v/>
      </c>
      <c r="J342" s="15">
        <f>IF(ISBLANK($E342)," ",IF($E342&gt;$H342,$D342,$G342))</f>
        <v/>
      </c>
      <c r="K342" s="15" t="n"/>
      <c r="L342" s="15">
        <f>E342-H342</f>
        <v/>
      </c>
      <c r="M342" s="5">
        <f>IF(ISBLANK($E342),"",VLOOKUP($I342,PLAYERS_IDS,2,FALSE)*VLOOKUP($J342,PLAYERS_IDS,2,FALSE))</f>
        <v/>
      </c>
      <c r="N342" s="25">
        <f>IF(ISBLANK($E342)," ", COUNTIF($M$4:$M342,$M342))</f>
        <v/>
      </c>
      <c r="O342" s="25">
        <f>IF(N342 =" ", " ", IF(N342=1,15,(IF(N342=2,15,(IF(N342=3,15,15))))))</f>
        <v/>
      </c>
      <c r="P342" s="5">
        <f>IF(ISBLANK($F342),"",VLOOKUP($C342,PLAYERS_IDS,2,FALSE)*VLOOKUP($D342,PLAYERS_IDS,2,FALSE))</f>
        <v/>
      </c>
      <c r="Q342" s="5">
        <f>IF(ISBLANK($F342), "",VLOOKUP($F342,PLAYERS_IDS,2,FALSE)*VLOOKUP($G342,PLAYERS_IDS,2,FALSE))</f>
        <v/>
      </c>
      <c r="R342" s="5">
        <f>IFERROR((P342*100000)+Q342,"")</f>
        <v/>
      </c>
    </row>
    <row r="343" ht="20.25" customHeight="1" s="106">
      <c r="A343" s="14" t="n"/>
      <c r="B343" s="15" t="n">
        <v>339</v>
      </c>
      <c r="C343" s="22" t="n"/>
      <c r="D343" s="15" t="n"/>
      <c r="E343" s="23" t="n"/>
      <c r="F343" s="21" t="n"/>
      <c r="G343" s="21" t="n"/>
      <c r="H343" s="16" t="n"/>
      <c r="I343" s="15">
        <f>IF(ISBLANK($E343)," ",IF($E343&gt;$H343,$C343,$F343))</f>
        <v/>
      </c>
      <c r="J343" s="15">
        <f>IF(ISBLANK($E343)," ",IF($E343&gt;$H343,$D343,$G343))</f>
        <v/>
      </c>
      <c r="K343" s="15" t="n"/>
      <c r="L343" s="15">
        <f>E343-H343</f>
        <v/>
      </c>
      <c r="M343" s="5">
        <f>IF(ISBLANK($E343),"",VLOOKUP($I343,PLAYERS_IDS,2,FALSE)*VLOOKUP($J343,PLAYERS_IDS,2,FALSE))</f>
        <v/>
      </c>
      <c r="N343" s="25">
        <f>IF(ISBLANK($E343)," ", COUNTIF($M$4:$M343,$M343))</f>
        <v/>
      </c>
      <c r="O343" s="25">
        <f>IF(N343 =" ", " ", IF(N343=1,15,(IF(N343=2,15,(IF(N343=3,15,15))))))</f>
        <v/>
      </c>
      <c r="P343" s="5">
        <f>IF(ISBLANK($F343),"",VLOOKUP($C343,PLAYERS_IDS,2,FALSE)*VLOOKUP($D343,PLAYERS_IDS,2,FALSE))</f>
        <v/>
      </c>
      <c r="Q343" s="5">
        <f>IF(ISBLANK($F343), "",VLOOKUP($F343,PLAYERS_IDS,2,FALSE)*VLOOKUP($G343,PLAYERS_IDS,2,FALSE))</f>
        <v/>
      </c>
      <c r="R343" s="5">
        <f>IFERROR((P343*100000)+Q343,"")</f>
        <v/>
      </c>
    </row>
    <row r="344" ht="20.25" customHeight="1" s="106">
      <c r="A344" s="14" t="n"/>
      <c r="B344" s="15" t="n">
        <v>340</v>
      </c>
      <c r="C344" s="22" t="n"/>
      <c r="D344" s="15" t="n"/>
      <c r="E344" s="23" t="n"/>
      <c r="F344" s="21" t="n"/>
      <c r="G344" s="21" t="n"/>
      <c r="H344" s="16" t="n"/>
      <c r="I344" s="15">
        <f>IF(ISBLANK($E344)," ",IF($E344&gt;$H344,$C344,$F344))</f>
        <v/>
      </c>
      <c r="J344" s="15">
        <f>IF(ISBLANK($E344)," ",IF($E344&gt;$H344,$D344,$G344))</f>
        <v/>
      </c>
      <c r="K344" s="15" t="n"/>
      <c r="L344" s="15">
        <f>E344-H344</f>
        <v/>
      </c>
      <c r="M344" s="5">
        <f>IF(ISBLANK($E344),"",VLOOKUP($I344,PLAYERS_IDS,2,FALSE)*VLOOKUP($J344,PLAYERS_IDS,2,FALSE))</f>
        <v/>
      </c>
      <c r="N344" s="25">
        <f>IF(ISBLANK($E344)," ", COUNTIF($M$4:$M344,$M344))</f>
        <v/>
      </c>
      <c r="O344" s="25">
        <f>IF(N344 =" ", " ", IF(N344=1,15,(IF(N344=2,15,(IF(N344=3,15,15))))))</f>
        <v/>
      </c>
      <c r="P344" s="5">
        <f>IF(ISBLANK($F344),"",VLOOKUP($C344,PLAYERS_IDS,2,FALSE)*VLOOKUP($D344,PLAYERS_IDS,2,FALSE))</f>
        <v/>
      </c>
      <c r="Q344" s="5">
        <f>IF(ISBLANK($F344), "",VLOOKUP($F344,PLAYERS_IDS,2,FALSE)*VLOOKUP($G344,PLAYERS_IDS,2,FALSE))</f>
        <v/>
      </c>
      <c r="R344" s="5">
        <f>IFERROR((P344*100000)+Q344,"")</f>
        <v/>
      </c>
    </row>
    <row r="345" ht="20.25" customHeight="1" s="106">
      <c r="A345" s="14" t="n"/>
      <c r="B345" s="15" t="n">
        <v>341</v>
      </c>
      <c r="C345" s="22" t="n"/>
      <c r="D345" s="15" t="n"/>
      <c r="E345" s="23" t="n"/>
      <c r="F345" s="21" t="n"/>
      <c r="G345" s="21" t="n"/>
      <c r="H345" s="16" t="n"/>
      <c r="I345" s="15">
        <f>IF(ISBLANK($E345)," ",IF($E345&gt;$H345,$C345,$F345))</f>
        <v/>
      </c>
      <c r="J345" s="15">
        <f>IF(ISBLANK($E345)," ",IF($E345&gt;$H345,$D345,$G345))</f>
        <v/>
      </c>
      <c r="K345" s="15" t="n"/>
      <c r="L345" s="15">
        <f>E345-H345</f>
        <v/>
      </c>
      <c r="M345" s="5">
        <f>IF(ISBLANK($E345),"",VLOOKUP($I345,PLAYERS_IDS,2,FALSE)*VLOOKUP($J345,PLAYERS_IDS,2,FALSE))</f>
        <v/>
      </c>
      <c r="N345" s="25">
        <f>IF(ISBLANK($E345)," ", COUNTIF($M$4:$M345,$M345))</f>
        <v/>
      </c>
      <c r="O345" s="25">
        <f>IF(N345 =" ", " ", IF(N345=1,15,(IF(N345=2,15,(IF(N345=3,15,15))))))</f>
        <v/>
      </c>
      <c r="P345" s="5">
        <f>IF(ISBLANK($F345),"",VLOOKUP($C345,PLAYERS_IDS,2,FALSE)*VLOOKUP($D345,PLAYERS_IDS,2,FALSE))</f>
        <v/>
      </c>
      <c r="Q345" s="5">
        <f>IF(ISBLANK($F345), "",VLOOKUP($F345,PLAYERS_IDS,2,FALSE)*VLOOKUP($G345,PLAYERS_IDS,2,FALSE))</f>
        <v/>
      </c>
      <c r="R345" s="5">
        <f>IFERROR((P345*100000)+Q345,"")</f>
        <v/>
      </c>
    </row>
    <row r="346" ht="20.25" customHeight="1" s="106">
      <c r="A346" s="14" t="n"/>
      <c r="B346" s="15" t="n">
        <v>342</v>
      </c>
      <c r="C346" s="22" t="n"/>
      <c r="D346" s="15" t="n"/>
      <c r="E346" s="23" t="n"/>
      <c r="F346" s="21" t="n"/>
      <c r="G346" s="21" t="n"/>
      <c r="H346" s="16" t="n"/>
      <c r="I346" s="15">
        <f>IF(ISBLANK($E346)," ",IF($E346&gt;$H346,$C346,$F346))</f>
        <v/>
      </c>
      <c r="J346" s="15">
        <f>IF(ISBLANK($E346)," ",IF($E346&gt;$H346,$D346,$G346))</f>
        <v/>
      </c>
      <c r="K346" s="15" t="n"/>
      <c r="L346" s="15">
        <f>E346-H346</f>
        <v/>
      </c>
      <c r="M346" s="5">
        <f>IF(ISBLANK($E346),"",VLOOKUP($I346,PLAYERS_IDS,2,FALSE)*VLOOKUP($J346,PLAYERS_IDS,2,FALSE))</f>
        <v/>
      </c>
      <c r="N346" s="25">
        <f>IF(ISBLANK($E346)," ", COUNTIF($M$4:$M346,$M346))</f>
        <v/>
      </c>
      <c r="O346" s="25">
        <f>IF(N346 =" ", " ", IF(N346=1,15,(IF(N346=2,15,(IF(N346=3,15,15))))))</f>
        <v/>
      </c>
      <c r="P346" s="5">
        <f>IF(ISBLANK($F346),"",VLOOKUP($C346,PLAYERS_IDS,2,FALSE)*VLOOKUP($D346,PLAYERS_IDS,2,FALSE))</f>
        <v/>
      </c>
      <c r="Q346" s="5">
        <f>IF(ISBLANK($F346), "",VLOOKUP($F346,PLAYERS_IDS,2,FALSE)*VLOOKUP($G346,PLAYERS_IDS,2,FALSE))</f>
        <v/>
      </c>
      <c r="R346" s="5">
        <f>IFERROR((P346*100000)+Q346,"")</f>
        <v/>
      </c>
    </row>
    <row r="347" ht="20.25" customHeight="1" s="106">
      <c r="A347" s="14" t="n"/>
      <c r="B347" s="15" t="n">
        <v>343</v>
      </c>
      <c r="C347" s="22" t="n"/>
      <c r="D347" s="15" t="n"/>
      <c r="E347" s="23" t="n"/>
      <c r="F347" s="21" t="n"/>
      <c r="G347" s="21" t="n"/>
      <c r="H347" s="16" t="n"/>
      <c r="I347" s="15">
        <f>IF(ISBLANK($E347)," ",IF($E347&gt;$H347,$C347,$F347))</f>
        <v/>
      </c>
      <c r="J347" s="15">
        <f>IF(ISBLANK($E347)," ",IF($E347&gt;$H347,$D347,$G347))</f>
        <v/>
      </c>
      <c r="K347" s="15" t="n"/>
      <c r="L347" s="15">
        <f>E347-H347</f>
        <v/>
      </c>
      <c r="M347" s="5">
        <f>IF(ISBLANK($E347),"",VLOOKUP($I347,PLAYERS_IDS,2,FALSE)*VLOOKUP($J347,PLAYERS_IDS,2,FALSE))</f>
        <v/>
      </c>
      <c r="N347" s="25">
        <f>IF(ISBLANK($E347)," ", COUNTIF($M$4:$M347,$M347))</f>
        <v/>
      </c>
      <c r="O347" s="25">
        <f>IF(N347 =" ", " ", IF(N347=1,15,(IF(N347=2,15,(IF(N347=3,15,15))))))</f>
        <v/>
      </c>
      <c r="P347" s="5">
        <f>IF(ISBLANK($F347),"",VLOOKUP($C347,PLAYERS_IDS,2,FALSE)*VLOOKUP($D347,PLAYERS_IDS,2,FALSE))</f>
        <v/>
      </c>
      <c r="Q347" s="5">
        <f>IF(ISBLANK($F347), "",VLOOKUP($F347,PLAYERS_IDS,2,FALSE)*VLOOKUP($G347,PLAYERS_IDS,2,FALSE))</f>
        <v/>
      </c>
      <c r="R347" s="5">
        <f>IFERROR((P347*100000)+Q347,"")</f>
        <v/>
      </c>
    </row>
    <row r="348" ht="20.25" customHeight="1" s="106">
      <c r="A348" s="14" t="n"/>
      <c r="B348" s="15" t="n">
        <v>344</v>
      </c>
      <c r="C348" s="22" t="n"/>
      <c r="D348" s="15" t="n"/>
      <c r="E348" s="23" t="n"/>
      <c r="F348" s="21" t="n"/>
      <c r="G348" s="21" t="n"/>
      <c r="H348" s="16" t="n"/>
      <c r="I348" s="15">
        <f>IF(ISBLANK($E348)," ",IF($E348&gt;$H348,$C348,$F348))</f>
        <v/>
      </c>
      <c r="J348" s="15">
        <f>IF(ISBLANK($E348)," ",IF($E348&gt;$H348,$D348,$G348))</f>
        <v/>
      </c>
      <c r="K348" s="15" t="n"/>
      <c r="L348" s="15">
        <f>E348-H348</f>
        <v/>
      </c>
      <c r="M348" s="5">
        <f>IF(ISBLANK($E348),"",VLOOKUP($I348,PLAYERS_IDS,2,FALSE)*VLOOKUP($J348,PLAYERS_IDS,2,FALSE))</f>
        <v/>
      </c>
      <c r="N348" s="25">
        <f>IF(ISBLANK($E348)," ", COUNTIF($M$4:$M348,$M348))</f>
        <v/>
      </c>
      <c r="O348" s="25">
        <f>IF(N348 =" ", " ", IF(N348=1,15,(IF(N348=2,15,(IF(N348=3,15,15))))))</f>
        <v/>
      </c>
      <c r="P348" s="5">
        <f>IF(ISBLANK($F348),"",VLOOKUP($C348,PLAYERS_IDS,2,FALSE)*VLOOKUP($D348,PLAYERS_IDS,2,FALSE))</f>
        <v/>
      </c>
      <c r="Q348" s="5">
        <f>IF(ISBLANK($F348), "",VLOOKUP($F348,PLAYERS_IDS,2,FALSE)*VLOOKUP($G348,PLAYERS_IDS,2,FALSE))</f>
        <v/>
      </c>
      <c r="R348" s="5">
        <f>IFERROR((P348*100000)+Q348,"")</f>
        <v/>
      </c>
    </row>
    <row r="349" ht="20.25" customHeight="1" s="106">
      <c r="A349" s="14" t="n"/>
      <c r="B349" s="15" t="n">
        <v>345</v>
      </c>
      <c r="C349" s="22" t="n"/>
      <c r="D349" s="22" t="n"/>
      <c r="E349" s="23" t="n"/>
      <c r="F349" s="22" t="n"/>
      <c r="G349" s="22" t="n"/>
      <c r="H349" s="16" t="n"/>
      <c r="I349" s="15">
        <f>IF(ISBLANK($E349)," ",IF($E349&gt;$H349,$C349,$F349))</f>
        <v/>
      </c>
      <c r="J349" s="15">
        <f>IF(ISBLANK($E349)," ",IF($E349&gt;$H349,$D349,$G349))</f>
        <v/>
      </c>
      <c r="K349" s="15" t="n"/>
      <c r="L349" s="15">
        <f>E349-H349</f>
        <v/>
      </c>
      <c r="M349" s="5">
        <f>IF(ISBLANK($E349),"",VLOOKUP($I349,PLAYERS_IDS,2,FALSE)*VLOOKUP($J349,PLAYERS_IDS,2,FALSE))</f>
        <v/>
      </c>
      <c r="N349" s="25">
        <f>IF(ISBLANK($E349)," ", COUNTIF($M$4:$M349,$M349))</f>
        <v/>
      </c>
      <c r="O349" s="25">
        <f>IF(N349 =" ", " ", IF(N349=1,15,(IF(N349=2,15,(IF(N349=3,15,15))))))</f>
        <v/>
      </c>
      <c r="P349" s="5">
        <f>IF(ISBLANK($F349),"",VLOOKUP($C349,PLAYERS_IDS,2,FALSE)*VLOOKUP($D349,PLAYERS_IDS,2,FALSE))</f>
        <v/>
      </c>
      <c r="Q349" s="5">
        <f>IF(ISBLANK($F349), "",VLOOKUP($F349,PLAYERS_IDS,2,FALSE)*VLOOKUP($G349,PLAYERS_IDS,2,FALSE))</f>
        <v/>
      </c>
      <c r="R349" s="5">
        <f>IFERROR((P349*100000)+Q349,"")</f>
        <v/>
      </c>
    </row>
    <row r="350" ht="20.25" customHeight="1" s="106">
      <c r="A350" s="14" t="n"/>
      <c r="B350" s="15" t="n">
        <v>346</v>
      </c>
      <c r="C350" s="22" t="n"/>
      <c r="D350" s="22" t="n"/>
      <c r="E350" s="23" t="n"/>
      <c r="F350" s="22" t="n"/>
      <c r="G350" s="22" t="n"/>
      <c r="H350" s="16" t="n"/>
      <c r="I350" s="15">
        <f>IF(ISBLANK($E350)," ",IF($E350&gt;$H350,$C350,$F350))</f>
        <v/>
      </c>
      <c r="J350" s="15">
        <f>IF(ISBLANK($E350)," ",IF($E350&gt;$H350,$D350,$G350))</f>
        <v/>
      </c>
      <c r="K350" s="15" t="n"/>
      <c r="L350" s="15">
        <f>E350-H350</f>
        <v/>
      </c>
      <c r="M350" s="5">
        <f>IF(ISBLANK($E350),"",VLOOKUP($I350,PLAYERS_IDS,2,FALSE)*VLOOKUP($J350,PLAYERS_IDS,2,FALSE))</f>
        <v/>
      </c>
      <c r="N350" s="25">
        <f>IF(ISBLANK($E350)," ", COUNTIF($M$4:$M350,$M350))</f>
        <v/>
      </c>
      <c r="O350" s="25">
        <f>IF(N350 =" ", " ", IF(N350=1,15,(IF(N350=2,15,(IF(N350=3,15,15))))))</f>
        <v/>
      </c>
      <c r="P350" s="5">
        <f>IF(ISBLANK($F350),"",VLOOKUP($C350,PLAYERS_IDS,2,FALSE)*VLOOKUP($D350,PLAYERS_IDS,2,FALSE))</f>
        <v/>
      </c>
      <c r="Q350" s="5">
        <f>IF(ISBLANK($F350), "",VLOOKUP($F350,PLAYERS_IDS,2,FALSE)*VLOOKUP($G350,PLAYERS_IDS,2,FALSE))</f>
        <v/>
      </c>
      <c r="R350" s="5">
        <f>IFERROR((P350*100000)+Q350,"")</f>
        <v/>
      </c>
    </row>
    <row r="351" ht="20.25" customHeight="1" s="106">
      <c r="A351" s="14" t="n"/>
      <c r="B351" s="15" t="n">
        <v>347</v>
      </c>
      <c r="C351" s="22" t="n"/>
      <c r="D351" s="22" t="n"/>
      <c r="E351" s="23" t="n"/>
      <c r="F351" s="22" t="n"/>
      <c r="G351" s="22" t="n"/>
      <c r="H351" s="16" t="n"/>
      <c r="I351" s="15">
        <f>IF(ISBLANK($E351)," ",IF($E351&gt;$H351,$C351,$F351))</f>
        <v/>
      </c>
      <c r="J351" s="15">
        <f>IF(ISBLANK($E351)," ",IF($E351&gt;$H351,$D351,$G351))</f>
        <v/>
      </c>
      <c r="K351" s="15" t="n"/>
      <c r="L351" s="15">
        <f>E351-H351</f>
        <v/>
      </c>
      <c r="M351" s="5">
        <f>IF(ISBLANK($E351),"",VLOOKUP($I351,PLAYERS_IDS,2,FALSE)*VLOOKUP($J351,PLAYERS_IDS,2,FALSE))</f>
        <v/>
      </c>
      <c r="N351" s="25">
        <f>IF(ISBLANK($E351)," ", COUNTIF($M$4:$M351,$M351))</f>
        <v/>
      </c>
      <c r="O351" s="25">
        <f>IF(N351 =" ", " ", IF(N351=1,15,(IF(N351=2,15,(IF(N351=3,15,15))))))</f>
        <v/>
      </c>
      <c r="P351" s="5">
        <f>IF(ISBLANK($F351),"",VLOOKUP($C351,PLAYERS_IDS,2,FALSE)*VLOOKUP($D351,PLAYERS_IDS,2,FALSE))</f>
        <v/>
      </c>
      <c r="Q351" s="5">
        <f>IF(ISBLANK($F351), "",VLOOKUP($F351,PLAYERS_IDS,2,FALSE)*VLOOKUP($G351,PLAYERS_IDS,2,FALSE))</f>
        <v/>
      </c>
      <c r="R351" s="5">
        <f>IFERROR((P351*100000)+Q351,"")</f>
        <v/>
      </c>
    </row>
    <row r="352" ht="20.25" customHeight="1" s="106">
      <c r="A352" s="14" t="n"/>
      <c r="B352" s="15" t="n">
        <v>348</v>
      </c>
      <c r="C352" s="22" t="n"/>
      <c r="D352" s="22" t="n"/>
      <c r="E352" s="23" t="n"/>
      <c r="F352" s="22" t="n"/>
      <c r="G352" s="22" t="n"/>
      <c r="H352" s="16" t="n"/>
      <c r="I352" s="15">
        <f>IF(ISBLANK($E352)," ",IF($E352&gt;$H352,$C352,$F352))</f>
        <v/>
      </c>
      <c r="J352" s="15">
        <f>IF(ISBLANK($E352)," ",IF($E352&gt;$H352,$D352,$G352))</f>
        <v/>
      </c>
      <c r="K352" s="15" t="n"/>
      <c r="L352" s="15">
        <f>E352-H352</f>
        <v/>
      </c>
      <c r="M352" s="5">
        <f>IF(ISBLANK($E352),"",VLOOKUP($I352,PLAYERS_IDS,2,FALSE)*VLOOKUP($J352,PLAYERS_IDS,2,FALSE))</f>
        <v/>
      </c>
      <c r="N352" s="25">
        <f>IF(ISBLANK($E352)," ", COUNTIF($M$4:$M352,$M352))</f>
        <v/>
      </c>
      <c r="O352" s="25">
        <f>IF(N352 =" ", " ", IF(N352=1,15,(IF(N352=2,15,(IF(N352=3,15,15))))))</f>
        <v/>
      </c>
      <c r="P352" s="5">
        <f>IF(ISBLANK($F352),"",VLOOKUP($C352,PLAYERS_IDS,2,FALSE)*VLOOKUP($D352,PLAYERS_IDS,2,FALSE))</f>
        <v/>
      </c>
      <c r="Q352" s="5">
        <f>IF(ISBLANK($F352), "",VLOOKUP($F352,PLAYERS_IDS,2,FALSE)*VLOOKUP($G352,PLAYERS_IDS,2,FALSE))</f>
        <v/>
      </c>
      <c r="R352" s="5">
        <f>IFERROR((P352*100000)+Q352,"")</f>
        <v/>
      </c>
    </row>
    <row r="353" ht="20.25" customHeight="1" s="106">
      <c r="A353" s="14" t="n"/>
      <c r="B353" s="15" t="n">
        <v>349</v>
      </c>
      <c r="C353" s="22" t="n"/>
      <c r="D353" s="22" t="n"/>
      <c r="E353" s="23" t="n"/>
      <c r="F353" s="22" t="n"/>
      <c r="G353" s="22" t="n"/>
      <c r="H353" s="16" t="n"/>
      <c r="I353" s="15">
        <f>IF(ISBLANK($E353)," ",IF($E353&gt;$H353,$C353,$F353))</f>
        <v/>
      </c>
      <c r="J353" s="15">
        <f>IF(ISBLANK($E353)," ",IF($E353&gt;$H353,$D353,$G353))</f>
        <v/>
      </c>
      <c r="K353" s="15" t="n"/>
      <c r="L353" s="15">
        <f>E353-H353</f>
        <v/>
      </c>
      <c r="M353" s="5">
        <f>IF(ISBLANK($E353),"",VLOOKUP($I353,PLAYERS_IDS,2,FALSE)*VLOOKUP($J353,PLAYERS_IDS,2,FALSE))</f>
        <v/>
      </c>
      <c r="N353" s="25">
        <f>IF(ISBLANK($E353)," ", COUNTIF($M$4:$M353,$M353))</f>
        <v/>
      </c>
      <c r="O353" s="25">
        <f>IF(N353 =" ", " ", IF(N353=1,15,(IF(N353=2,15,(IF(N353=3,15,15))))))</f>
        <v/>
      </c>
      <c r="P353" s="5">
        <f>IF(ISBLANK($F353),"",VLOOKUP($C353,PLAYERS_IDS,2,FALSE)*VLOOKUP($D353,PLAYERS_IDS,2,FALSE))</f>
        <v/>
      </c>
      <c r="Q353" s="5">
        <f>IF(ISBLANK($F353), "",VLOOKUP($F353,PLAYERS_IDS,2,FALSE)*VLOOKUP($G353,PLAYERS_IDS,2,FALSE))</f>
        <v/>
      </c>
      <c r="R353" s="5">
        <f>IFERROR((P353*100000)+Q353,"")</f>
        <v/>
      </c>
    </row>
    <row r="354" ht="20.25" customHeight="1" s="106">
      <c r="A354" s="14" t="n"/>
      <c r="B354" s="15" t="n">
        <v>350</v>
      </c>
      <c r="C354" s="22" t="n"/>
      <c r="D354" s="22" t="n"/>
      <c r="E354" s="23" t="n"/>
      <c r="F354" s="22" t="n"/>
      <c r="G354" s="22" t="n"/>
      <c r="H354" s="16" t="n"/>
      <c r="I354" s="15">
        <f>IF(ISBLANK($E354)," ",IF($E354&gt;$H354,$C354,$F354))</f>
        <v/>
      </c>
      <c r="J354" s="15">
        <f>IF(ISBLANK($E354)," ",IF($E354&gt;$H354,$D354,$G354))</f>
        <v/>
      </c>
      <c r="K354" s="15" t="n"/>
      <c r="L354" s="15">
        <f>E354-H354</f>
        <v/>
      </c>
      <c r="M354" s="5">
        <f>IF(ISBLANK($E354),"",VLOOKUP($I354,PLAYERS_IDS,2,FALSE)*VLOOKUP($J354,PLAYERS_IDS,2,FALSE))</f>
        <v/>
      </c>
      <c r="N354" s="25">
        <f>IF(ISBLANK($E354)," ", COUNTIF($M$4:$M354,$M354))</f>
        <v/>
      </c>
      <c r="O354" s="25">
        <f>IF(N354 =" ", " ", IF(N354=1,15,(IF(N354=2,15,(IF(N354=3,15,15))))))</f>
        <v/>
      </c>
      <c r="P354" s="5">
        <f>IF(ISBLANK($F354),"",VLOOKUP($C354,PLAYERS_IDS,2,FALSE)*VLOOKUP($D354,PLAYERS_IDS,2,FALSE))</f>
        <v/>
      </c>
      <c r="Q354" s="5">
        <f>IF(ISBLANK($F354), "",VLOOKUP($F354,PLAYERS_IDS,2,FALSE)*VLOOKUP($G354,PLAYERS_IDS,2,FALSE))</f>
        <v/>
      </c>
      <c r="R354" s="5">
        <f>IFERROR((P354*100000)+Q354,"")</f>
        <v/>
      </c>
    </row>
    <row r="355" ht="20.25" customHeight="1" s="106">
      <c r="A355" s="14" t="n"/>
      <c r="B355" s="15" t="n">
        <v>351</v>
      </c>
      <c r="C355" s="22" t="n"/>
      <c r="D355" s="22" t="n"/>
      <c r="E355" s="23" t="n"/>
      <c r="F355" s="22" t="n"/>
      <c r="G355" s="22" t="n"/>
      <c r="H355" s="16" t="n"/>
      <c r="I355" s="15">
        <f>IF(ISBLANK($E355)," ",IF($E355&gt;$H355,$C355,$F355))</f>
        <v/>
      </c>
      <c r="J355" s="15">
        <f>IF(ISBLANK($E355)," ",IF($E355&gt;$H355,$D355,$G355))</f>
        <v/>
      </c>
      <c r="K355" s="15" t="n"/>
      <c r="L355" s="15">
        <f>E355-H355</f>
        <v/>
      </c>
      <c r="M355" s="5">
        <f>IF(ISBLANK($E355),"",VLOOKUP($I355,PLAYERS_IDS,2,FALSE)*VLOOKUP($J355,PLAYERS_IDS,2,FALSE))</f>
        <v/>
      </c>
      <c r="N355" s="25">
        <f>IF(ISBLANK($E355)," ", COUNTIF($M$4:$M355,$M355))</f>
        <v/>
      </c>
      <c r="O355" s="25">
        <f>IF(N355 =" ", " ", IF(N355=1,15,(IF(N355=2,15,(IF(N355=3,15,15))))))</f>
        <v/>
      </c>
      <c r="P355" s="5">
        <f>IF(ISBLANK($F355),"",VLOOKUP($C355,PLAYERS_IDS,2,FALSE)*VLOOKUP($D355,PLAYERS_IDS,2,FALSE))</f>
        <v/>
      </c>
      <c r="Q355" s="5">
        <f>IF(ISBLANK($F355), "",VLOOKUP($F355,PLAYERS_IDS,2,FALSE)*VLOOKUP($G355,PLAYERS_IDS,2,FALSE))</f>
        <v/>
      </c>
      <c r="R355" s="5">
        <f>IFERROR((P355*100000)+Q355,"")</f>
        <v/>
      </c>
    </row>
    <row r="356" ht="20.25" customHeight="1" s="106">
      <c r="A356" s="14" t="n"/>
      <c r="B356" s="15" t="n">
        <v>352</v>
      </c>
      <c r="C356" s="22" t="n"/>
      <c r="D356" s="22" t="n"/>
      <c r="E356" s="23" t="n"/>
      <c r="F356" s="22" t="n"/>
      <c r="G356" s="22" t="n"/>
      <c r="H356" s="16" t="n"/>
      <c r="I356" s="15">
        <f>IF(ISBLANK($E356)," ",IF($E356&gt;$H356,$C356,$F356))</f>
        <v/>
      </c>
      <c r="J356" s="15">
        <f>IF(ISBLANK($E356)," ",IF($E356&gt;$H356,$D356,$G356))</f>
        <v/>
      </c>
      <c r="K356" s="15" t="n"/>
      <c r="L356" s="15">
        <f>E356-H356</f>
        <v/>
      </c>
      <c r="M356" s="5">
        <f>IF(ISBLANK($E356),"",VLOOKUP($I356,PLAYERS_IDS,2,FALSE)*VLOOKUP($J356,PLAYERS_IDS,2,FALSE))</f>
        <v/>
      </c>
      <c r="N356" s="25">
        <f>IF(ISBLANK($E356)," ", COUNTIF($M$4:$M356,$M356))</f>
        <v/>
      </c>
      <c r="O356" s="25">
        <f>IF(N356 =" ", " ", IF(N356=1,15,(IF(N356=2,15,(IF(N356=3,15,15))))))</f>
        <v/>
      </c>
      <c r="P356" s="5">
        <f>IF(ISBLANK($F356),"",VLOOKUP($C356,PLAYERS_IDS,2,FALSE)*VLOOKUP($D356,PLAYERS_IDS,2,FALSE))</f>
        <v/>
      </c>
      <c r="Q356" s="5">
        <f>IF(ISBLANK($F356), "",VLOOKUP($F356,PLAYERS_IDS,2,FALSE)*VLOOKUP($G356,PLAYERS_IDS,2,FALSE))</f>
        <v/>
      </c>
      <c r="R356" s="5">
        <f>IFERROR((P356*100000)+Q356,"")</f>
        <v/>
      </c>
    </row>
    <row r="357" ht="20.25" customHeight="1" s="106">
      <c r="A357" s="14" t="n"/>
      <c r="B357" s="15" t="n">
        <v>353</v>
      </c>
      <c r="C357" s="22" t="n"/>
      <c r="D357" s="22" t="n"/>
      <c r="E357" s="23" t="n"/>
      <c r="F357" s="22" t="n"/>
      <c r="G357" s="22" t="n"/>
      <c r="H357" s="16" t="n"/>
      <c r="I357" s="15">
        <f>IF(ISBLANK($E357)," ",IF($E357&gt;$H357,$C357,$F357))</f>
        <v/>
      </c>
      <c r="J357" s="15">
        <f>IF(ISBLANK($E357)," ",IF($E357&gt;$H357,$D357,$G357))</f>
        <v/>
      </c>
      <c r="K357" s="15" t="n"/>
      <c r="L357" s="15">
        <f>E357-H357</f>
        <v/>
      </c>
      <c r="M357" s="5">
        <f>IF(ISBLANK($E357),"",VLOOKUP($I357,PLAYERS_IDS,2,FALSE)*VLOOKUP($J357,PLAYERS_IDS,2,FALSE))</f>
        <v/>
      </c>
      <c r="N357" s="25">
        <f>IF(ISBLANK($E357)," ", COUNTIF($M$4:$M357,$M357))</f>
        <v/>
      </c>
      <c r="O357" s="25">
        <f>IF(N357 =" ", " ", IF(N357=1,15,(IF(N357=2,15,(IF(N357=3,15,15))))))</f>
        <v/>
      </c>
      <c r="P357" s="5">
        <f>IF(ISBLANK($F357),"",VLOOKUP($C357,PLAYERS_IDS,2,FALSE)*VLOOKUP($D357,PLAYERS_IDS,2,FALSE))</f>
        <v/>
      </c>
      <c r="Q357" s="5">
        <f>IF(ISBLANK($F357), "",VLOOKUP($F357,PLAYERS_IDS,2,FALSE)*VLOOKUP($G357,PLAYERS_IDS,2,FALSE))</f>
        <v/>
      </c>
      <c r="R357" s="5">
        <f>IFERROR((P357*100000)+Q357,"")</f>
        <v/>
      </c>
    </row>
    <row r="358" ht="20.25" customHeight="1" s="106">
      <c r="A358" s="14" t="n"/>
      <c r="B358" s="15" t="n">
        <v>354</v>
      </c>
      <c r="C358" s="22" t="n"/>
      <c r="D358" s="22" t="n"/>
      <c r="E358" s="23" t="n"/>
      <c r="F358" s="22" t="n"/>
      <c r="G358" s="22" t="n"/>
      <c r="H358" s="16" t="n"/>
      <c r="I358" s="15">
        <f>IF(ISBLANK($E358)," ",IF($E358&gt;$H358,$C358,$F358))</f>
        <v/>
      </c>
      <c r="J358" s="15">
        <f>IF(ISBLANK($E358)," ",IF($E358&gt;$H358,$D358,$G358))</f>
        <v/>
      </c>
      <c r="K358" s="15" t="n"/>
      <c r="L358" s="15">
        <f>E358-H358</f>
        <v/>
      </c>
      <c r="M358" s="5">
        <f>IF(ISBLANK($E358),"",VLOOKUP($I358,PLAYERS_IDS,2,FALSE)*VLOOKUP($J358,PLAYERS_IDS,2,FALSE))</f>
        <v/>
      </c>
      <c r="N358" s="25">
        <f>IF(ISBLANK($E358)," ", COUNTIF($M$4:$M358,$M358))</f>
        <v/>
      </c>
      <c r="O358" s="25">
        <f>IF(N358 =" ", " ", IF(N358=1,15,(IF(N358=2,15,(IF(N358=3,15,15))))))</f>
        <v/>
      </c>
      <c r="P358" s="5">
        <f>IF(ISBLANK($F358),"",VLOOKUP($C358,PLAYERS_IDS,2,FALSE)*VLOOKUP($D358,PLAYERS_IDS,2,FALSE))</f>
        <v/>
      </c>
      <c r="Q358" s="5">
        <f>IF(ISBLANK($F358), "",VLOOKUP($F358,PLAYERS_IDS,2,FALSE)*VLOOKUP($G358,PLAYERS_IDS,2,FALSE))</f>
        <v/>
      </c>
      <c r="R358" s="5">
        <f>IFERROR((P358*100000)+Q358,"")</f>
        <v/>
      </c>
    </row>
    <row r="359" ht="20.25" customHeight="1" s="106">
      <c r="A359" s="14" t="n"/>
      <c r="B359" s="15" t="n">
        <v>355</v>
      </c>
      <c r="C359" s="22" t="n"/>
      <c r="D359" s="22" t="n"/>
      <c r="E359" s="23" t="n"/>
      <c r="F359" s="22" t="n"/>
      <c r="G359" s="22" t="n"/>
      <c r="H359" s="16" t="n"/>
      <c r="I359" s="15">
        <f>IF(ISBLANK($E359)," ",IF($E359&gt;$H359,$C359,$F359))</f>
        <v/>
      </c>
      <c r="J359" s="15">
        <f>IF(ISBLANK($E359)," ",IF($E359&gt;$H359,$D359,$G359))</f>
        <v/>
      </c>
      <c r="K359" s="15" t="n"/>
      <c r="L359" s="15">
        <f>E359-H359</f>
        <v/>
      </c>
      <c r="M359" s="5">
        <f>IF(ISBLANK($E359),"",VLOOKUP($I359,PLAYERS_IDS,2,FALSE)*VLOOKUP($J359,PLAYERS_IDS,2,FALSE))</f>
        <v/>
      </c>
      <c r="N359" s="25">
        <f>IF(ISBLANK($E359)," ", COUNTIF($M$4:$M359,$M359))</f>
        <v/>
      </c>
      <c r="O359" s="25">
        <f>IF(N359 =" ", " ", IF(N359=1,15,(IF(N359=2,15,(IF(N359=3,15,15))))))</f>
        <v/>
      </c>
      <c r="P359" s="5">
        <f>IF(ISBLANK($F359),"",VLOOKUP($C359,PLAYERS_IDS,2,FALSE)*VLOOKUP($D359,PLAYERS_IDS,2,FALSE))</f>
        <v/>
      </c>
      <c r="Q359" s="5">
        <f>IF(ISBLANK($F359), "",VLOOKUP($F359,PLAYERS_IDS,2,FALSE)*VLOOKUP($G359,PLAYERS_IDS,2,FALSE))</f>
        <v/>
      </c>
      <c r="R359" s="5">
        <f>IFERROR((P359*100000)+Q359,"")</f>
        <v/>
      </c>
    </row>
    <row r="360" ht="20.25" customHeight="1" s="106">
      <c r="A360" s="14" t="n"/>
      <c r="B360" s="15" t="n">
        <v>356</v>
      </c>
      <c r="C360" s="22" t="n"/>
      <c r="D360" s="22" t="n"/>
      <c r="E360" s="23" t="n"/>
      <c r="F360" s="22" t="n"/>
      <c r="G360" s="22" t="n"/>
      <c r="H360" s="16" t="n"/>
      <c r="I360" s="15">
        <f>IF(ISBLANK($E360)," ",IF($E360&gt;$H360,$C360,$F360))</f>
        <v/>
      </c>
      <c r="J360" s="15">
        <f>IF(ISBLANK($E360)," ",IF($E360&gt;$H360,$D360,$G360))</f>
        <v/>
      </c>
      <c r="K360" s="15" t="n"/>
      <c r="L360" s="15">
        <f>E360-H360</f>
        <v/>
      </c>
      <c r="M360" s="5">
        <f>IF(ISBLANK($E360),"",VLOOKUP($I360,PLAYERS_IDS,2,FALSE)*VLOOKUP($J360,PLAYERS_IDS,2,FALSE))</f>
        <v/>
      </c>
      <c r="N360" s="25">
        <f>IF(ISBLANK($E360)," ", COUNTIF($M$4:$M360,$M360))</f>
        <v/>
      </c>
      <c r="O360" s="25">
        <f>IF(N360 =" ", " ", IF(N360=1,15,(IF(N360=2,15,(IF(N360=3,15,15))))))</f>
        <v/>
      </c>
      <c r="P360" s="5">
        <f>IF(ISBLANK($F360),"",VLOOKUP($C360,PLAYERS_IDS,2,FALSE)*VLOOKUP($D360,PLAYERS_IDS,2,FALSE))</f>
        <v/>
      </c>
      <c r="Q360" s="5">
        <f>IF(ISBLANK($F360), "",VLOOKUP($F360,PLAYERS_IDS,2,FALSE)*VLOOKUP($G360,PLAYERS_IDS,2,FALSE))</f>
        <v/>
      </c>
      <c r="R360" s="5">
        <f>IFERROR((P360*100000)+Q360,"")</f>
        <v/>
      </c>
    </row>
    <row r="361" ht="20.25" customHeight="1" s="106">
      <c r="A361" s="14" t="n"/>
      <c r="B361" s="15" t="n">
        <v>357</v>
      </c>
      <c r="C361" s="22" t="n"/>
      <c r="D361" s="22" t="n"/>
      <c r="E361" s="23" t="n"/>
      <c r="F361" s="22" t="n"/>
      <c r="G361" s="22" t="n"/>
      <c r="H361" s="16" t="n"/>
      <c r="I361" s="15">
        <f>IF(ISBLANK($E361)," ",IF($E361&gt;$H361,$C361,$F361))</f>
        <v/>
      </c>
      <c r="J361" s="15">
        <f>IF(ISBLANK($E361)," ",IF($E361&gt;$H361,$D361,$G361))</f>
        <v/>
      </c>
      <c r="K361" s="15" t="n"/>
      <c r="L361" s="15">
        <f>E361-H361</f>
        <v/>
      </c>
      <c r="M361" s="5">
        <f>IF(ISBLANK($E361),"",VLOOKUP($I361,PLAYERS_IDS,2,FALSE)*VLOOKUP($J361,PLAYERS_IDS,2,FALSE))</f>
        <v/>
      </c>
      <c r="N361" s="25">
        <f>IF(ISBLANK($E361)," ", COUNTIF($M$4:$M361,$M361))</f>
        <v/>
      </c>
      <c r="O361" s="25">
        <f>IF(N361 =" ", " ", IF(N361=1,15,(IF(N361=2,15,(IF(N361=3,15,15))))))</f>
        <v/>
      </c>
      <c r="P361" s="5">
        <f>IF(ISBLANK($F361),"",VLOOKUP($C361,PLAYERS_IDS,2,FALSE)*VLOOKUP($D361,PLAYERS_IDS,2,FALSE))</f>
        <v/>
      </c>
      <c r="Q361" s="5">
        <f>IF(ISBLANK($F361), "",VLOOKUP($F361,PLAYERS_IDS,2,FALSE)*VLOOKUP($G361,PLAYERS_IDS,2,FALSE))</f>
        <v/>
      </c>
      <c r="R361" s="5">
        <f>IFERROR((P361*100000)+Q361,"")</f>
        <v/>
      </c>
    </row>
    <row r="362" ht="20.25" customHeight="1" s="106">
      <c r="A362" s="14" t="n"/>
      <c r="B362" s="15" t="n">
        <v>358</v>
      </c>
      <c r="C362" s="22" t="n"/>
      <c r="D362" s="22" t="n"/>
      <c r="E362" s="23" t="n"/>
      <c r="F362" s="22" t="n"/>
      <c r="G362" s="22" t="n"/>
      <c r="H362" s="16" t="n"/>
      <c r="I362" s="15">
        <f>IF(ISBLANK($E362)," ",IF($E362&gt;$H362,$C362,$F362))</f>
        <v/>
      </c>
      <c r="J362" s="15">
        <f>IF(ISBLANK($E362)," ",IF($E362&gt;$H362,$D362,$G362))</f>
        <v/>
      </c>
      <c r="K362" s="15" t="n"/>
      <c r="L362" s="15">
        <f>E362-H362</f>
        <v/>
      </c>
      <c r="M362" s="5">
        <f>IF(ISBLANK($E362),"",VLOOKUP($I362,PLAYERS_IDS,2,FALSE)*VLOOKUP($J362,PLAYERS_IDS,2,FALSE))</f>
        <v/>
      </c>
      <c r="N362" s="25">
        <f>IF(ISBLANK($E362)," ", COUNTIF($M$4:$M362,$M362))</f>
        <v/>
      </c>
      <c r="O362" s="25">
        <f>IF(N362 =" ", " ", IF(N362=1,15,(IF(N362=2,15,(IF(N362=3,15,15))))))</f>
        <v/>
      </c>
      <c r="P362" s="5">
        <f>IF(ISBLANK($F362),"",VLOOKUP($C362,PLAYERS_IDS,2,FALSE)*VLOOKUP($D362,PLAYERS_IDS,2,FALSE))</f>
        <v/>
      </c>
      <c r="Q362" s="5">
        <f>IF(ISBLANK($F362), "",VLOOKUP($F362,PLAYERS_IDS,2,FALSE)*VLOOKUP($G362,PLAYERS_IDS,2,FALSE))</f>
        <v/>
      </c>
      <c r="R362" s="5">
        <f>IFERROR((P362*100000)+Q362,"")</f>
        <v/>
      </c>
    </row>
    <row r="363" ht="20.25" customHeight="1" s="106">
      <c r="A363" s="14" t="n"/>
      <c r="B363" s="15" t="n">
        <v>359</v>
      </c>
      <c r="C363" s="22" t="n"/>
      <c r="D363" s="22" t="n"/>
      <c r="E363" s="23" t="n"/>
      <c r="F363" s="22" t="n"/>
      <c r="G363" s="22" t="n"/>
      <c r="H363" s="16" t="n"/>
      <c r="I363" s="15">
        <f>IF(ISBLANK($E363)," ",IF($E363&gt;$H363,$C363,$F363))</f>
        <v/>
      </c>
      <c r="J363" s="15">
        <f>IF(ISBLANK($E363)," ",IF($E363&gt;$H363,$D363,$G363))</f>
        <v/>
      </c>
      <c r="K363" s="15" t="n"/>
      <c r="L363" s="15">
        <f>E363-H363</f>
        <v/>
      </c>
      <c r="M363" s="5">
        <f>IF(ISBLANK($E363),"",VLOOKUP($I363,PLAYERS_IDS,2,FALSE)*VLOOKUP($J363,PLAYERS_IDS,2,FALSE))</f>
        <v/>
      </c>
      <c r="N363" s="25">
        <f>IF(ISBLANK($E363)," ", COUNTIF($M$4:$M363,$M363))</f>
        <v/>
      </c>
      <c r="O363" s="25">
        <f>IF(N363 =" ", " ", IF(N363=1,15,(IF(N363=2,15,(IF(N363=3,15,15))))))</f>
        <v/>
      </c>
      <c r="P363" s="5">
        <f>IF(ISBLANK($F363),"",VLOOKUP($C363,PLAYERS_IDS,2,FALSE)*VLOOKUP($D363,PLAYERS_IDS,2,FALSE))</f>
        <v/>
      </c>
      <c r="Q363" s="5">
        <f>IF(ISBLANK($F363), "",VLOOKUP($F363,PLAYERS_IDS,2,FALSE)*VLOOKUP($G363,PLAYERS_IDS,2,FALSE))</f>
        <v/>
      </c>
      <c r="R363" s="5">
        <f>IFERROR((P363*100000)+Q363,"")</f>
        <v/>
      </c>
    </row>
    <row r="364" ht="20.25" customHeight="1" s="106">
      <c r="A364" s="14" t="n"/>
      <c r="B364" s="15" t="n">
        <v>360</v>
      </c>
      <c r="C364" s="22" t="n"/>
      <c r="D364" s="22" t="n"/>
      <c r="E364" s="23" t="n"/>
      <c r="F364" s="22" t="n"/>
      <c r="G364" s="22" t="n"/>
      <c r="H364" s="16" t="n"/>
      <c r="I364" s="15">
        <f>IF(ISBLANK($E364)," ",IF($E364&gt;$H364,$C364,$F364))</f>
        <v/>
      </c>
      <c r="J364" s="15">
        <f>IF(ISBLANK($E364)," ",IF($E364&gt;$H364,$D364,$G364))</f>
        <v/>
      </c>
      <c r="K364" s="15" t="n"/>
      <c r="L364" s="15">
        <f>E364-H364</f>
        <v/>
      </c>
      <c r="M364" s="5">
        <f>IF(ISBLANK($E364),"",VLOOKUP($I364,PLAYERS_IDS,2,FALSE)*VLOOKUP($J364,PLAYERS_IDS,2,FALSE))</f>
        <v/>
      </c>
      <c r="N364" s="25">
        <f>IF(ISBLANK($E364)," ", COUNTIF($M$4:$M364,$M364))</f>
        <v/>
      </c>
      <c r="O364" s="25">
        <f>IF(N364 =" ", " ", IF(N364=1,15,(IF(N364=2,15,(IF(N364=3,15,15))))))</f>
        <v/>
      </c>
      <c r="P364" s="5">
        <f>IF(ISBLANK($F364),"",VLOOKUP($C364,PLAYERS_IDS,2,FALSE)*VLOOKUP($D364,PLAYERS_IDS,2,FALSE))</f>
        <v/>
      </c>
      <c r="Q364" s="5">
        <f>IF(ISBLANK($F364), "",VLOOKUP($F364,PLAYERS_IDS,2,FALSE)*VLOOKUP($G364,PLAYERS_IDS,2,FALSE))</f>
        <v/>
      </c>
      <c r="R364" s="5">
        <f>IFERROR((P364*100000)+Q364,"")</f>
        <v/>
      </c>
    </row>
    <row r="365" ht="20.25" customHeight="1" s="106">
      <c r="A365" s="14" t="n"/>
      <c r="B365" s="15" t="n">
        <v>361</v>
      </c>
      <c r="C365" s="22" t="n"/>
      <c r="D365" s="22" t="n"/>
      <c r="E365" s="23" t="n"/>
      <c r="F365" s="22" t="n"/>
      <c r="G365" s="22" t="n"/>
      <c r="H365" s="16" t="n"/>
      <c r="I365" s="15">
        <f>IF(ISBLANK($E365)," ",IF($E365&gt;$H365,$C365,$F365))</f>
        <v/>
      </c>
      <c r="J365" s="15">
        <f>IF(ISBLANK($E365)," ",IF($E365&gt;$H365,$D365,$G365))</f>
        <v/>
      </c>
      <c r="K365" s="15" t="n"/>
      <c r="L365" s="15">
        <f>E365-H365</f>
        <v/>
      </c>
      <c r="M365" s="5">
        <f>IF(ISBLANK($E365),"",VLOOKUP($I365,PLAYERS_IDS,2,FALSE)*VLOOKUP($J365,PLAYERS_IDS,2,FALSE))</f>
        <v/>
      </c>
      <c r="N365" s="25">
        <f>IF(ISBLANK($E365)," ", COUNTIF($M$4:$M365,$M365))</f>
        <v/>
      </c>
      <c r="O365" s="25">
        <f>IF(N365 =" ", " ", IF(N365=1,15,(IF(N365=2,15,(IF(N365=3,15,15))))))</f>
        <v/>
      </c>
      <c r="P365" s="5">
        <f>IF(ISBLANK($F365),"",VLOOKUP($C365,PLAYERS_IDS,2,FALSE)*VLOOKUP($D365,PLAYERS_IDS,2,FALSE))</f>
        <v/>
      </c>
      <c r="Q365" s="5">
        <f>IF(ISBLANK($F365), "",VLOOKUP($F365,PLAYERS_IDS,2,FALSE)*VLOOKUP($G365,PLAYERS_IDS,2,FALSE))</f>
        <v/>
      </c>
      <c r="R365" s="5">
        <f>IFERROR((P365*100000)+Q365,"")</f>
        <v/>
      </c>
    </row>
    <row r="366" ht="20.25" customHeight="1" s="106">
      <c r="A366" s="14" t="n"/>
      <c r="B366" s="15" t="n">
        <v>362</v>
      </c>
      <c r="C366" s="22" t="n"/>
      <c r="D366" s="22" t="n"/>
      <c r="E366" s="23" t="n"/>
      <c r="F366" s="22" t="n"/>
      <c r="G366" s="22" t="n"/>
      <c r="H366" s="16" t="n"/>
      <c r="I366" s="15">
        <f>IF(ISBLANK($E366)," ",IF($E366&gt;$H366,$C366,$F366))</f>
        <v/>
      </c>
      <c r="J366" s="15">
        <f>IF(ISBLANK($E366)," ",IF($E366&gt;$H366,$D366,$G366))</f>
        <v/>
      </c>
      <c r="K366" s="15" t="n"/>
      <c r="L366" s="15">
        <f>E366-H366</f>
        <v/>
      </c>
      <c r="M366" s="5">
        <f>IF(ISBLANK($E366),"",VLOOKUP($I366,PLAYERS_IDS,2,FALSE)*VLOOKUP($J366,PLAYERS_IDS,2,FALSE))</f>
        <v/>
      </c>
      <c r="N366" s="25">
        <f>IF(ISBLANK($E366)," ", COUNTIF($M$4:$M366,$M366))</f>
        <v/>
      </c>
      <c r="O366" s="25">
        <f>IF(N366 =" ", " ", IF(N366=1,15,(IF(N366=2,15,(IF(N366=3,15,15))))))</f>
        <v/>
      </c>
      <c r="P366" s="5">
        <f>IF(ISBLANK($F366),"",VLOOKUP($C366,PLAYERS_IDS,2,FALSE)*VLOOKUP($D366,PLAYERS_IDS,2,FALSE))</f>
        <v/>
      </c>
      <c r="Q366" s="5">
        <f>IF(ISBLANK($F366), "",VLOOKUP($F366,PLAYERS_IDS,2,FALSE)*VLOOKUP($G366,PLAYERS_IDS,2,FALSE))</f>
        <v/>
      </c>
      <c r="R366" s="5">
        <f>IFERROR((P366*100000)+Q366,"")</f>
        <v/>
      </c>
    </row>
    <row r="367" ht="20.25" customHeight="1" s="106">
      <c r="A367" s="14" t="n"/>
      <c r="B367" s="15" t="n">
        <v>363</v>
      </c>
      <c r="C367" s="22" t="n"/>
      <c r="D367" s="22" t="n"/>
      <c r="E367" s="23" t="n"/>
      <c r="F367" s="22" t="n"/>
      <c r="G367" s="22" t="n"/>
      <c r="H367" s="16" t="n"/>
      <c r="I367" s="15">
        <f>IF(ISBLANK($E367)," ",IF($E367&gt;$H367,$C367,$F367))</f>
        <v/>
      </c>
      <c r="J367" s="15">
        <f>IF(ISBLANK($E367)," ",IF($E367&gt;$H367,$D367,$G367))</f>
        <v/>
      </c>
      <c r="K367" s="15" t="n"/>
      <c r="L367" s="15">
        <f>E367-H367</f>
        <v/>
      </c>
      <c r="M367" s="5">
        <f>IF(ISBLANK($E367),"",VLOOKUP($I367,PLAYERS_IDS,2,FALSE)*VLOOKUP($J367,PLAYERS_IDS,2,FALSE))</f>
        <v/>
      </c>
      <c r="N367" s="25">
        <f>IF(ISBLANK($E367)," ", COUNTIF($M$4:$M367,$M367))</f>
        <v/>
      </c>
      <c r="O367" s="25">
        <f>IF(N367 =" ", " ", IF(N367=1,15,(IF(N367=2,15,(IF(N367=3,15,15))))))</f>
        <v/>
      </c>
      <c r="P367" s="5">
        <f>IF(ISBLANK($F367),"",VLOOKUP($C367,PLAYERS_IDS,2,FALSE)*VLOOKUP($D367,PLAYERS_IDS,2,FALSE))</f>
        <v/>
      </c>
      <c r="Q367" s="5">
        <f>IF(ISBLANK($F367), "",VLOOKUP($F367,PLAYERS_IDS,2,FALSE)*VLOOKUP($G367,PLAYERS_IDS,2,FALSE))</f>
        <v/>
      </c>
      <c r="R367" s="5">
        <f>IFERROR((P367*100000)+Q367,"")</f>
        <v/>
      </c>
    </row>
    <row r="368" ht="20.25" customHeight="1" s="106">
      <c r="A368" s="14" t="n"/>
      <c r="B368" s="15" t="n">
        <v>364</v>
      </c>
      <c r="C368" s="22" t="n"/>
      <c r="D368" s="22" t="n"/>
      <c r="E368" s="23" t="n"/>
      <c r="F368" s="22" t="n"/>
      <c r="G368" s="22" t="n"/>
      <c r="H368" s="16" t="n"/>
      <c r="I368" s="15">
        <f>IF(ISBLANK($E368)," ",IF($E368&gt;$H368,$C368,$F368))</f>
        <v/>
      </c>
      <c r="J368" s="15">
        <f>IF(ISBLANK($E368)," ",IF($E368&gt;$H368,$D368,$G368))</f>
        <v/>
      </c>
      <c r="K368" s="15" t="n"/>
      <c r="L368" s="15">
        <f>E368-H368</f>
        <v/>
      </c>
      <c r="M368" s="5">
        <f>IF(ISBLANK($E368),"",VLOOKUP($I368,PLAYERS_IDS,2,FALSE)*VLOOKUP($J368,PLAYERS_IDS,2,FALSE))</f>
        <v/>
      </c>
      <c r="N368" s="25">
        <f>IF(ISBLANK($E368)," ", COUNTIF($M$4:$M368,$M368))</f>
        <v/>
      </c>
      <c r="O368" s="25">
        <f>IF(N368 =" ", " ", IF(N368=1,15,(IF(N368=2,15,(IF(N368=3,15,15))))))</f>
        <v/>
      </c>
      <c r="P368" s="5">
        <f>IF(ISBLANK($F368),"",VLOOKUP($C368,PLAYERS_IDS,2,FALSE)*VLOOKUP($D368,PLAYERS_IDS,2,FALSE))</f>
        <v/>
      </c>
      <c r="Q368" s="5">
        <f>IF(ISBLANK($F368), "",VLOOKUP($F368,PLAYERS_IDS,2,FALSE)*VLOOKUP($G368,PLAYERS_IDS,2,FALSE))</f>
        <v/>
      </c>
      <c r="R368" s="5">
        <f>IFERROR((P368*100000)+Q368,"")</f>
        <v/>
      </c>
    </row>
    <row r="369" ht="20.25" customHeight="1" s="106">
      <c r="A369" s="14" t="n"/>
      <c r="B369" s="15" t="n">
        <v>365</v>
      </c>
      <c r="C369" s="22" t="n"/>
      <c r="D369" s="22" t="n"/>
      <c r="E369" s="23" t="n"/>
      <c r="F369" s="22" t="n"/>
      <c r="G369" s="22" t="n"/>
      <c r="H369" s="16" t="n"/>
      <c r="I369" s="15">
        <f>IF(ISBLANK($E369)," ",IF($E369&gt;$H369,$C369,$F369))</f>
        <v/>
      </c>
      <c r="J369" s="15">
        <f>IF(ISBLANK($E369)," ",IF($E369&gt;$H369,$D369,$G369))</f>
        <v/>
      </c>
      <c r="K369" s="15" t="n"/>
      <c r="L369" s="15">
        <f>E369-H369</f>
        <v/>
      </c>
      <c r="M369" s="5">
        <f>IF(ISBLANK($E369),"",VLOOKUP($I369,PLAYERS_IDS,2,FALSE)*VLOOKUP($J369,PLAYERS_IDS,2,FALSE))</f>
        <v/>
      </c>
      <c r="N369" s="25">
        <f>IF(ISBLANK($E369)," ", COUNTIF($M$4:$M369,$M369))</f>
        <v/>
      </c>
      <c r="O369" s="25">
        <f>IF(N369 =" ", " ", IF(N369=1,15,(IF(N369=2,15,(IF(N369=3,15,15))))))</f>
        <v/>
      </c>
      <c r="P369" s="5">
        <f>IF(ISBLANK($F369),"",VLOOKUP($C369,PLAYERS_IDS,2,FALSE)*VLOOKUP($D369,PLAYERS_IDS,2,FALSE))</f>
        <v/>
      </c>
      <c r="Q369" s="5">
        <f>IF(ISBLANK($F369), "",VLOOKUP($F369,PLAYERS_IDS,2,FALSE)*VLOOKUP($G369,PLAYERS_IDS,2,FALSE))</f>
        <v/>
      </c>
      <c r="R369" s="5">
        <f>IFERROR((P369*100000)+Q369,"")</f>
        <v/>
      </c>
    </row>
    <row r="370" ht="20.25" customHeight="1" s="106">
      <c r="A370" s="14" t="n"/>
      <c r="B370" s="15" t="n">
        <v>366</v>
      </c>
      <c r="C370" s="22" t="n"/>
      <c r="D370" s="22" t="n"/>
      <c r="E370" s="23" t="n"/>
      <c r="F370" s="22" t="n"/>
      <c r="G370" s="22" t="n"/>
      <c r="H370" s="16" t="n"/>
      <c r="I370" s="15">
        <f>IF(ISBLANK($E370)," ",IF($E370&gt;$H370,$C370,$F370))</f>
        <v/>
      </c>
      <c r="J370" s="15">
        <f>IF(ISBLANK($E370)," ",IF($E370&gt;$H370,$D370,$G370))</f>
        <v/>
      </c>
      <c r="K370" s="15" t="n"/>
      <c r="L370" s="15">
        <f>E370-H370</f>
        <v/>
      </c>
      <c r="M370" s="5">
        <f>IF(ISBLANK($E370),"",VLOOKUP($I370,PLAYERS_IDS,2,FALSE)*VLOOKUP($J370,PLAYERS_IDS,2,FALSE))</f>
        <v/>
      </c>
      <c r="N370" s="25">
        <f>IF(ISBLANK($E370)," ", COUNTIF($M$4:$M370,$M370))</f>
        <v/>
      </c>
      <c r="O370" s="25">
        <f>IF(N370 =" ", " ", IF(N370=1,15,(IF(N370=2,15,(IF(N370=3,15,15))))))</f>
        <v/>
      </c>
      <c r="P370" s="5">
        <f>IF(ISBLANK($F370),"",VLOOKUP($C370,PLAYERS_IDS,2,FALSE)*VLOOKUP($D370,PLAYERS_IDS,2,FALSE))</f>
        <v/>
      </c>
      <c r="Q370" s="5">
        <f>IF(ISBLANK($F370), "",VLOOKUP($F370,PLAYERS_IDS,2,FALSE)*VLOOKUP($G370,PLAYERS_IDS,2,FALSE))</f>
        <v/>
      </c>
      <c r="R370" s="5">
        <f>IFERROR((P370*100000)+Q370,"")</f>
        <v/>
      </c>
    </row>
    <row r="371" ht="20.25" customHeight="1" s="106">
      <c r="A371" s="14" t="n"/>
      <c r="B371" s="15" t="n">
        <v>367</v>
      </c>
      <c r="C371" s="22" t="n"/>
      <c r="D371" s="22" t="n"/>
      <c r="E371" s="23" t="n"/>
      <c r="F371" s="22" t="n"/>
      <c r="G371" s="22" t="n"/>
      <c r="H371" s="16" t="n"/>
      <c r="I371" s="15">
        <f>IF(ISBLANK($E371)," ",IF($E371&gt;$H371,$C371,$F371))</f>
        <v/>
      </c>
      <c r="J371" s="15">
        <f>IF(ISBLANK($E371)," ",IF($E371&gt;$H371,$D371,$G371))</f>
        <v/>
      </c>
      <c r="K371" s="15" t="n"/>
      <c r="L371" s="15">
        <f>E371-H371</f>
        <v/>
      </c>
      <c r="M371" s="5">
        <f>IF(ISBLANK($E371),"",VLOOKUP($I371,PLAYERS_IDS,2,FALSE)*VLOOKUP($J371,PLAYERS_IDS,2,FALSE))</f>
        <v/>
      </c>
      <c r="N371" s="25">
        <f>IF(ISBLANK($E371)," ", COUNTIF($M$4:$M371,$M371))</f>
        <v/>
      </c>
      <c r="O371" s="25">
        <f>IF(N371 =" ", " ", IF(N371=1,15,(IF(N371=2,15,(IF(N371=3,15,15))))))</f>
        <v/>
      </c>
      <c r="P371" s="5">
        <f>IF(ISBLANK($F371),"",VLOOKUP($C371,PLAYERS_IDS,2,FALSE)*VLOOKUP($D371,PLAYERS_IDS,2,FALSE))</f>
        <v/>
      </c>
      <c r="Q371" s="5">
        <f>IF(ISBLANK($F371), "",VLOOKUP($F371,PLAYERS_IDS,2,FALSE)*VLOOKUP($G371,PLAYERS_IDS,2,FALSE))</f>
        <v/>
      </c>
      <c r="R371" s="5">
        <f>IFERROR((P371*100000)+Q371,"")</f>
        <v/>
      </c>
    </row>
    <row r="372" ht="20.25" customHeight="1" s="106">
      <c r="A372" s="14" t="n"/>
      <c r="B372" s="15" t="n">
        <v>368</v>
      </c>
      <c r="C372" s="22" t="n"/>
      <c r="D372" s="22" t="n"/>
      <c r="E372" s="23" t="n"/>
      <c r="F372" s="22" t="n"/>
      <c r="G372" s="22" t="n"/>
      <c r="H372" s="16" t="n"/>
      <c r="I372" s="15">
        <f>IF(ISBLANK($E372)," ",IF($E372&gt;$H372,$C372,$F372))</f>
        <v/>
      </c>
      <c r="J372" s="15">
        <f>IF(ISBLANK($E372)," ",IF($E372&gt;$H372,$D372,$G372))</f>
        <v/>
      </c>
      <c r="K372" s="15" t="n"/>
      <c r="L372" s="15">
        <f>E372-H372</f>
        <v/>
      </c>
      <c r="M372" s="5">
        <f>IF(ISBLANK($E372),"",VLOOKUP($I372,PLAYERS_IDS,2,FALSE)*VLOOKUP($J372,PLAYERS_IDS,2,FALSE))</f>
        <v/>
      </c>
      <c r="N372" s="25">
        <f>IF(ISBLANK($E372)," ", COUNTIF($M$4:$M372,$M372))</f>
        <v/>
      </c>
      <c r="O372" s="25">
        <f>IF(N372 =" ", " ", IF(N372=1,15,(IF(N372=2,15,(IF(N372=3,15,15))))))</f>
        <v/>
      </c>
      <c r="P372" s="5">
        <f>IF(ISBLANK($F372),"",VLOOKUP($C372,PLAYERS_IDS,2,FALSE)*VLOOKUP($D372,PLAYERS_IDS,2,FALSE))</f>
        <v/>
      </c>
      <c r="Q372" s="5">
        <f>IF(ISBLANK($F372), "",VLOOKUP($F372,PLAYERS_IDS,2,FALSE)*VLOOKUP($G372,PLAYERS_IDS,2,FALSE))</f>
        <v/>
      </c>
      <c r="R372" s="5">
        <f>IFERROR((P372*100000)+Q372,"")</f>
        <v/>
      </c>
    </row>
    <row r="373" ht="20.25" customHeight="1" s="106">
      <c r="A373" s="14" t="n"/>
      <c r="B373" s="15" t="n">
        <v>369</v>
      </c>
      <c r="C373" s="22" t="n"/>
      <c r="D373" s="22" t="n"/>
      <c r="E373" s="23" t="n"/>
      <c r="F373" s="22" t="n"/>
      <c r="G373" s="22" t="n"/>
      <c r="H373" s="16" t="n"/>
      <c r="I373" s="15">
        <f>IF(ISBLANK($E373)," ",IF($E373&gt;$H373,$C373,$F373))</f>
        <v/>
      </c>
      <c r="J373" s="15">
        <f>IF(ISBLANK($E373)," ",IF($E373&gt;$H373,$D373,$G373))</f>
        <v/>
      </c>
      <c r="K373" s="15" t="n"/>
      <c r="L373" s="15">
        <f>E373-H373</f>
        <v/>
      </c>
      <c r="M373" s="5">
        <f>IF(ISBLANK($E373),"",VLOOKUP($I373,PLAYERS_IDS,2,FALSE)*VLOOKUP($J373,PLAYERS_IDS,2,FALSE))</f>
        <v/>
      </c>
      <c r="N373" s="25">
        <f>IF(ISBLANK($E373)," ", COUNTIF($M$4:$M373,$M373))</f>
        <v/>
      </c>
      <c r="O373" s="25">
        <f>IF(N373 =" ", " ", IF(N373=1,15,(IF(N373=2,15,(IF(N373=3,15,15))))))</f>
        <v/>
      </c>
      <c r="P373" s="5">
        <f>IF(ISBLANK($F373),"",VLOOKUP($C373,PLAYERS_IDS,2,FALSE)*VLOOKUP($D373,PLAYERS_IDS,2,FALSE))</f>
        <v/>
      </c>
      <c r="Q373" s="5">
        <f>IF(ISBLANK($F373), "",VLOOKUP($F373,PLAYERS_IDS,2,FALSE)*VLOOKUP($G373,PLAYERS_IDS,2,FALSE))</f>
        <v/>
      </c>
      <c r="R373" s="5">
        <f>IFERROR((P373*100000)+Q373,"")</f>
        <v/>
      </c>
    </row>
    <row r="374" ht="20.25" customHeight="1" s="106">
      <c r="A374" s="14" t="n"/>
      <c r="B374" s="15" t="n">
        <v>370</v>
      </c>
      <c r="C374" s="22" t="n"/>
      <c r="D374" s="22" t="n"/>
      <c r="E374" s="23" t="n"/>
      <c r="F374" s="22" t="n"/>
      <c r="G374" s="22" t="n"/>
      <c r="H374" s="16" t="n"/>
      <c r="I374" s="15">
        <f>IF(ISBLANK($E374)," ",IF($E374&gt;$H374,$C374,$F374))</f>
        <v/>
      </c>
      <c r="J374" s="15">
        <f>IF(ISBLANK($E374)," ",IF($E374&gt;$H374,$D374,$G374))</f>
        <v/>
      </c>
      <c r="K374" s="15" t="n"/>
      <c r="L374" s="15">
        <f>E374-H374</f>
        <v/>
      </c>
      <c r="M374" s="5">
        <f>IF(ISBLANK($E374),"",VLOOKUP($I374,PLAYERS_IDS,2,FALSE)*VLOOKUP($J374,PLAYERS_IDS,2,FALSE))</f>
        <v/>
      </c>
      <c r="N374" s="25">
        <f>IF(ISBLANK($E374)," ", COUNTIF($M$4:$M374,$M374))</f>
        <v/>
      </c>
      <c r="O374" s="25">
        <f>IF(N374 =" ", " ", IF(N374=1,15,(IF(N374=2,15,(IF(N374=3,15,15))))))</f>
        <v/>
      </c>
      <c r="P374" s="5">
        <f>IF(ISBLANK($F374),"",VLOOKUP($C374,PLAYERS_IDS,2,FALSE)*VLOOKUP($D374,PLAYERS_IDS,2,FALSE))</f>
        <v/>
      </c>
      <c r="Q374" s="5">
        <f>IF(ISBLANK($F374), "",VLOOKUP($F374,PLAYERS_IDS,2,FALSE)*VLOOKUP($G374,PLAYERS_IDS,2,FALSE))</f>
        <v/>
      </c>
      <c r="R374" s="5">
        <f>IFERROR((P374*100000)+Q374,"")</f>
        <v/>
      </c>
    </row>
    <row r="375" ht="20.25" customHeight="1" s="106">
      <c r="A375" s="14" t="n"/>
      <c r="B375" s="15" t="n">
        <v>371</v>
      </c>
      <c r="C375" s="22" t="n"/>
      <c r="D375" s="22" t="n"/>
      <c r="E375" s="23" t="n"/>
      <c r="F375" s="22" t="n"/>
      <c r="G375" s="22" t="n"/>
      <c r="H375" s="16" t="n"/>
      <c r="I375" s="15">
        <f>IF(ISBLANK($E375)," ",IF($E375&gt;$H375,$C375,$F375))</f>
        <v/>
      </c>
      <c r="J375" s="15">
        <f>IF(ISBLANK($E375)," ",IF($E375&gt;$H375,$D375,$G375))</f>
        <v/>
      </c>
      <c r="K375" s="15" t="n"/>
      <c r="L375" s="15">
        <f>E375-H375</f>
        <v/>
      </c>
      <c r="M375" s="5">
        <f>IF(ISBLANK($E375),"",VLOOKUP($I375,PLAYERS_IDS,2,FALSE)*VLOOKUP($J375,PLAYERS_IDS,2,FALSE))</f>
        <v/>
      </c>
      <c r="N375" s="25">
        <f>IF(ISBLANK($E375)," ", COUNTIF($M$4:$M375,$M375))</f>
        <v/>
      </c>
      <c r="O375" s="25">
        <f>IF(N375 =" ", " ", IF(N375=1,15,(IF(N375=2,15,(IF(N375=3,15,15))))))</f>
        <v/>
      </c>
      <c r="P375" s="5">
        <f>IF(ISBLANK($F375),"",VLOOKUP($C375,PLAYERS_IDS,2,FALSE)*VLOOKUP($D375,PLAYERS_IDS,2,FALSE))</f>
        <v/>
      </c>
      <c r="Q375" s="5">
        <f>IF(ISBLANK($F375), "",VLOOKUP($F375,PLAYERS_IDS,2,FALSE)*VLOOKUP($G375,PLAYERS_IDS,2,FALSE))</f>
        <v/>
      </c>
      <c r="R375" s="5">
        <f>IFERROR((P375*100000)+Q375,"")</f>
        <v/>
      </c>
    </row>
    <row r="376" ht="20.25" customHeight="1" s="106">
      <c r="A376" s="14" t="n"/>
      <c r="B376" s="15" t="n">
        <v>372</v>
      </c>
      <c r="C376" s="22" t="n"/>
      <c r="D376" s="22" t="n"/>
      <c r="E376" s="23" t="n"/>
      <c r="F376" s="22" t="n"/>
      <c r="G376" s="22" t="n"/>
      <c r="H376" s="16" t="n"/>
      <c r="I376" s="15">
        <f>IF(ISBLANK($E376)," ",IF($E376&gt;$H376,$C376,$F376))</f>
        <v/>
      </c>
      <c r="J376" s="15">
        <f>IF(ISBLANK($E376)," ",IF($E376&gt;$H376,$D376,$G376))</f>
        <v/>
      </c>
      <c r="K376" s="15" t="n"/>
      <c r="L376" s="15">
        <f>E376-H376</f>
        <v/>
      </c>
      <c r="M376" s="5">
        <f>IF(ISBLANK($E376),"",VLOOKUP($I376,PLAYERS_IDS,2,FALSE)*VLOOKUP($J376,PLAYERS_IDS,2,FALSE))</f>
        <v/>
      </c>
      <c r="N376" s="25">
        <f>IF(ISBLANK($E376)," ", COUNTIF($M$4:$M376,$M376))</f>
        <v/>
      </c>
      <c r="O376" s="25">
        <f>IF(N376 =" ", " ", IF(N376=1,15,(IF(N376=2,15,(IF(N376=3,15,15))))))</f>
        <v/>
      </c>
      <c r="P376" s="5">
        <f>IF(ISBLANK($F376),"",VLOOKUP($C376,PLAYERS_IDS,2,FALSE)*VLOOKUP($D376,PLAYERS_IDS,2,FALSE))</f>
        <v/>
      </c>
      <c r="Q376" s="5">
        <f>IF(ISBLANK($F376), "",VLOOKUP($F376,PLAYERS_IDS,2,FALSE)*VLOOKUP($G376,PLAYERS_IDS,2,FALSE))</f>
        <v/>
      </c>
      <c r="R376" s="5">
        <f>IFERROR((P376*100000)+Q376,"")</f>
        <v/>
      </c>
    </row>
    <row r="377" ht="20.25" customHeight="1" s="106">
      <c r="A377" s="14" t="n"/>
      <c r="B377" s="15" t="n">
        <v>373</v>
      </c>
      <c r="C377" s="22" t="n"/>
      <c r="D377" s="22" t="n"/>
      <c r="E377" s="23" t="n"/>
      <c r="F377" s="22" t="n"/>
      <c r="G377" s="22" t="n"/>
      <c r="H377" s="16" t="n"/>
      <c r="I377" s="15">
        <f>IF(ISBLANK($E377)," ",IF($E377&gt;$H377,$C377,$F377))</f>
        <v/>
      </c>
      <c r="J377" s="15">
        <f>IF(ISBLANK($E377)," ",IF($E377&gt;$H377,$D377,$G377))</f>
        <v/>
      </c>
      <c r="K377" s="15" t="n"/>
      <c r="L377" s="15">
        <f>E377-H377</f>
        <v/>
      </c>
      <c r="M377" s="5">
        <f>IF(ISBLANK($E377),"",VLOOKUP($I377,PLAYERS_IDS,2,FALSE)*VLOOKUP($J377,PLAYERS_IDS,2,FALSE))</f>
        <v/>
      </c>
      <c r="N377" s="25">
        <f>IF(ISBLANK($E377)," ", COUNTIF($M$4:$M377,$M377))</f>
        <v/>
      </c>
      <c r="O377" s="25">
        <f>IF(N377 =" ", " ", IF(N377=1,15,(IF(N377=2,15,(IF(N377=3,15,15))))))</f>
        <v/>
      </c>
      <c r="P377" s="5">
        <f>IF(ISBLANK($F377),"",VLOOKUP($C377,PLAYERS_IDS,2,FALSE)*VLOOKUP($D377,PLAYERS_IDS,2,FALSE))</f>
        <v/>
      </c>
      <c r="Q377" s="5">
        <f>IF(ISBLANK($F377), "",VLOOKUP($F377,PLAYERS_IDS,2,FALSE)*VLOOKUP($G377,PLAYERS_IDS,2,FALSE))</f>
        <v/>
      </c>
      <c r="R377" s="5">
        <f>IFERROR((P377*100000)+Q377,"")</f>
        <v/>
      </c>
    </row>
    <row r="378" ht="20.25" customHeight="1" s="106">
      <c r="A378" s="14" t="n"/>
      <c r="B378" s="15" t="n">
        <v>374</v>
      </c>
      <c r="C378" s="22" t="n"/>
      <c r="D378" s="22" t="n"/>
      <c r="E378" s="23" t="n"/>
      <c r="F378" s="22" t="n"/>
      <c r="G378" s="22" t="n"/>
      <c r="H378" s="16" t="n"/>
      <c r="I378" s="15">
        <f>IF(ISBLANK($E378)," ",IF($E378&gt;$H378,$C378,$F378))</f>
        <v/>
      </c>
      <c r="J378" s="15">
        <f>IF(ISBLANK($E378)," ",IF($E378&gt;$H378,$D378,$G378))</f>
        <v/>
      </c>
      <c r="K378" s="15" t="n"/>
      <c r="L378" s="15">
        <f>E378-H378</f>
        <v/>
      </c>
      <c r="M378" s="5">
        <f>IF(ISBLANK($E378),"",VLOOKUP($I378,PLAYERS_IDS,2,FALSE)*VLOOKUP($J378,PLAYERS_IDS,2,FALSE))</f>
        <v/>
      </c>
      <c r="N378" s="25">
        <f>IF(ISBLANK($E378)," ", COUNTIF($M$4:$M378,$M378))</f>
        <v/>
      </c>
      <c r="O378" s="25">
        <f>IF(N378 =" ", " ", IF(N378=1,15,(IF(N378=2,15,(IF(N378=3,15,15))))))</f>
        <v/>
      </c>
      <c r="P378" s="5">
        <f>IF(ISBLANK($F378),"",VLOOKUP($C378,PLAYERS_IDS,2,FALSE)*VLOOKUP($D378,PLAYERS_IDS,2,FALSE))</f>
        <v/>
      </c>
      <c r="Q378" s="5">
        <f>IF(ISBLANK($F378), "",VLOOKUP($F378,PLAYERS_IDS,2,FALSE)*VLOOKUP($G378,PLAYERS_IDS,2,FALSE))</f>
        <v/>
      </c>
      <c r="R378" s="5">
        <f>IFERROR((P378*100000)+Q378,"")</f>
        <v/>
      </c>
    </row>
    <row r="379" ht="20.25" customHeight="1" s="106">
      <c r="A379" s="14" t="n"/>
      <c r="B379" s="15" t="n">
        <v>375</v>
      </c>
      <c r="C379" s="22" t="n"/>
      <c r="D379" s="22" t="n"/>
      <c r="E379" s="23" t="n"/>
      <c r="F379" s="22" t="n"/>
      <c r="G379" s="22" t="n"/>
      <c r="H379" s="16" t="n"/>
      <c r="I379" s="15">
        <f>IF(ISBLANK($E379)," ",IF($E379&gt;$H379,$C379,$F379))</f>
        <v/>
      </c>
      <c r="J379" s="15">
        <f>IF(ISBLANK($E379)," ",IF($E379&gt;$H379,$D379,$G379))</f>
        <v/>
      </c>
      <c r="K379" s="15" t="n"/>
      <c r="L379" s="15">
        <f>E379-H379</f>
        <v/>
      </c>
      <c r="M379" s="5">
        <f>IF(ISBLANK($E379),"",VLOOKUP($I379,PLAYERS_IDS,2,FALSE)*VLOOKUP($J379,PLAYERS_IDS,2,FALSE))</f>
        <v/>
      </c>
      <c r="N379" s="25">
        <f>IF(ISBLANK($E379)," ", COUNTIF($M$4:$M379,$M379))</f>
        <v/>
      </c>
      <c r="O379" s="25">
        <f>IF(N379 =" ", " ", IF(N379=1,15,(IF(N379=2,15,(IF(N379=3,15,15))))))</f>
        <v/>
      </c>
      <c r="P379" s="5">
        <f>IF(ISBLANK($F379),"",VLOOKUP($C379,PLAYERS_IDS,2,FALSE)*VLOOKUP($D379,PLAYERS_IDS,2,FALSE))</f>
        <v/>
      </c>
      <c r="Q379" s="5">
        <f>IF(ISBLANK($F379), "",VLOOKUP($F379,PLAYERS_IDS,2,FALSE)*VLOOKUP($G379,PLAYERS_IDS,2,FALSE))</f>
        <v/>
      </c>
      <c r="R379" s="5">
        <f>IFERROR((P379*100000)+Q379,"")</f>
        <v/>
      </c>
    </row>
    <row r="380" ht="20.25" customHeight="1" s="106">
      <c r="A380" s="14" t="n"/>
      <c r="B380" s="15" t="n">
        <v>376</v>
      </c>
      <c r="C380" s="22" t="n"/>
      <c r="D380" s="22" t="n"/>
      <c r="E380" s="23" t="n"/>
      <c r="F380" s="22" t="n"/>
      <c r="G380" s="22" t="n"/>
      <c r="H380" s="16" t="n"/>
      <c r="I380" s="15">
        <f>IF(ISBLANK($E380)," ",IF($E380&gt;$H380,$C380,$F380))</f>
        <v/>
      </c>
      <c r="J380" s="15">
        <f>IF(ISBLANK($E380)," ",IF($E380&gt;$H380,$D380,$G380))</f>
        <v/>
      </c>
      <c r="K380" s="15" t="n"/>
      <c r="L380" s="15">
        <f>E380-H380</f>
        <v/>
      </c>
      <c r="M380" s="5">
        <f>IF(ISBLANK($E380),"",VLOOKUP($I380,PLAYERS_IDS,2,FALSE)*VLOOKUP($J380,PLAYERS_IDS,2,FALSE))</f>
        <v/>
      </c>
      <c r="N380" s="25">
        <f>IF(ISBLANK($E380)," ", COUNTIF($M$4:$M380,$M380))</f>
        <v/>
      </c>
      <c r="O380" s="25">
        <f>IF(N380 =" ", " ", IF(N380=1,15,(IF(N380=2,15,(IF(N380=3,15,15))))))</f>
        <v/>
      </c>
      <c r="P380" s="5">
        <f>IF(ISBLANK($F380),"",VLOOKUP($C380,PLAYERS_IDS,2,FALSE)*VLOOKUP($D380,PLAYERS_IDS,2,FALSE))</f>
        <v/>
      </c>
      <c r="Q380" s="5">
        <f>IF(ISBLANK($F380), "",VLOOKUP($F380,PLAYERS_IDS,2,FALSE)*VLOOKUP($G380,PLAYERS_IDS,2,FALSE))</f>
        <v/>
      </c>
      <c r="R380" s="5">
        <f>IFERROR((P380*100000)+Q380,"")</f>
        <v/>
      </c>
    </row>
    <row r="381" ht="20.25" customHeight="1" s="106">
      <c r="A381" s="14" t="n"/>
      <c r="B381" s="15" t="n">
        <v>377</v>
      </c>
      <c r="C381" s="22" t="n"/>
      <c r="D381" s="22" t="n"/>
      <c r="E381" s="23" t="n"/>
      <c r="F381" s="22" t="n"/>
      <c r="G381" s="22" t="n"/>
      <c r="H381" s="16" t="n"/>
      <c r="I381" s="15">
        <f>IF(ISBLANK($E381)," ",IF($E381&gt;$H381,$C381,$F381))</f>
        <v/>
      </c>
      <c r="J381" s="15">
        <f>IF(ISBLANK($E381)," ",IF($E381&gt;$H381,$D381,$G381))</f>
        <v/>
      </c>
      <c r="K381" s="15" t="n"/>
      <c r="L381" s="15">
        <f>E381-H381</f>
        <v/>
      </c>
      <c r="M381" s="5">
        <f>IF(ISBLANK($E381),"",VLOOKUP($I381,PLAYERS_IDS,2,FALSE)*VLOOKUP($J381,PLAYERS_IDS,2,FALSE))</f>
        <v/>
      </c>
      <c r="N381" s="25">
        <f>IF(ISBLANK($E381)," ", COUNTIF($M$4:$M381,$M381))</f>
        <v/>
      </c>
      <c r="O381" s="25">
        <f>IF(N381 =" ", " ", IF(N381=1,15,(IF(N381=2,15,(IF(N381=3,15,15))))))</f>
        <v/>
      </c>
      <c r="P381" s="5">
        <f>IF(ISBLANK($F381),"",VLOOKUP($C381,PLAYERS_IDS,2,FALSE)*VLOOKUP($D381,PLAYERS_IDS,2,FALSE))</f>
        <v/>
      </c>
      <c r="Q381" s="5">
        <f>IF(ISBLANK($F381), "",VLOOKUP($F381,PLAYERS_IDS,2,FALSE)*VLOOKUP($G381,PLAYERS_IDS,2,FALSE))</f>
        <v/>
      </c>
      <c r="R381" s="5">
        <f>IFERROR((P381*100000)+Q381,"")</f>
        <v/>
      </c>
    </row>
    <row r="382" ht="20.25" customHeight="1" s="106">
      <c r="A382" s="14" t="n"/>
      <c r="B382" s="15" t="n">
        <v>378</v>
      </c>
      <c r="C382" s="22" t="n"/>
      <c r="D382" s="22" t="n"/>
      <c r="E382" s="23" t="n"/>
      <c r="F382" s="22" t="n"/>
      <c r="G382" s="22" t="n"/>
      <c r="H382" s="16" t="n"/>
      <c r="I382" s="15">
        <f>IF(ISBLANK($E382)," ",IF($E382&gt;$H382,$C382,$F382))</f>
        <v/>
      </c>
      <c r="J382" s="15">
        <f>IF(ISBLANK($E382)," ",IF($E382&gt;$H382,$D382,$G382))</f>
        <v/>
      </c>
      <c r="K382" s="15" t="n"/>
      <c r="L382" s="15">
        <f>E382-H382</f>
        <v/>
      </c>
      <c r="M382" s="5">
        <f>IF(ISBLANK($E382),"",VLOOKUP($I382,PLAYERS_IDS,2,FALSE)*VLOOKUP($J382,PLAYERS_IDS,2,FALSE))</f>
        <v/>
      </c>
      <c r="N382" s="25">
        <f>IF(ISBLANK($E382)," ", COUNTIF($M$4:$M382,$M382))</f>
        <v/>
      </c>
      <c r="O382" s="25">
        <f>IF(N382 =" ", " ", IF(N382=1,15,(IF(N382=2,15,(IF(N382=3,15,15))))))</f>
        <v/>
      </c>
      <c r="P382" s="5">
        <f>IF(ISBLANK($F382),"",VLOOKUP($C382,PLAYERS_IDS,2,FALSE)*VLOOKUP($D382,PLAYERS_IDS,2,FALSE))</f>
        <v/>
      </c>
      <c r="Q382" s="5">
        <f>IF(ISBLANK($F382), "",VLOOKUP($F382,PLAYERS_IDS,2,FALSE)*VLOOKUP($G382,PLAYERS_IDS,2,FALSE))</f>
        <v/>
      </c>
      <c r="R382" s="5">
        <f>IFERROR((P382*100000)+Q382,"")</f>
        <v/>
      </c>
    </row>
    <row r="383" ht="20.25" customHeight="1" s="106">
      <c r="A383" s="14" t="n"/>
      <c r="B383" s="15" t="n">
        <v>379</v>
      </c>
      <c r="C383" s="22" t="n"/>
      <c r="D383" s="22" t="n"/>
      <c r="E383" s="23" t="n"/>
      <c r="F383" s="22" t="n"/>
      <c r="G383" s="22" t="n"/>
      <c r="H383" s="16" t="n"/>
      <c r="I383" s="15">
        <f>IF(ISBLANK($E383)," ",IF($E383&gt;$H383,$C383,$F383))</f>
        <v/>
      </c>
      <c r="J383" s="15">
        <f>IF(ISBLANK($E383)," ",IF($E383&gt;$H383,$D383,$G383))</f>
        <v/>
      </c>
      <c r="K383" s="15" t="n"/>
      <c r="L383" s="15">
        <f>E383-H383</f>
        <v/>
      </c>
      <c r="M383" s="5">
        <f>IF(ISBLANK($E383),"",VLOOKUP($I383,PLAYERS_IDS,2,FALSE)*VLOOKUP($J383,PLAYERS_IDS,2,FALSE))</f>
        <v/>
      </c>
      <c r="N383" s="25">
        <f>IF(ISBLANK($E383)," ", COUNTIF($M$4:$M383,$M383))</f>
        <v/>
      </c>
      <c r="O383" s="25">
        <f>IF(N383 =" ", " ", IF(N383=1,15,(IF(N383=2,15,(IF(N383=3,15,15))))))</f>
        <v/>
      </c>
      <c r="P383" s="5">
        <f>IF(ISBLANK($F383),"",VLOOKUP($C383,PLAYERS_IDS,2,FALSE)*VLOOKUP($D383,PLAYERS_IDS,2,FALSE))</f>
        <v/>
      </c>
      <c r="Q383" s="5">
        <f>IF(ISBLANK($F383), "",VLOOKUP($F383,PLAYERS_IDS,2,FALSE)*VLOOKUP($G383,PLAYERS_IDS,2,FALSE))</f>
        <v/>
      </c>
      <c r="R383" s="5">
        <f>IFERROR((P383*100000)+Q383,"")</f>
        <v/>
      </c>
    </row>
    <row r="384" ht="20.25" customHeight="1" s="106">
      <c r="A384" s="14" t="n"/>
      <c r="B384" s="15" t="n">
        <v>380</v>
      </c>
      <c r="C384" s="22" t="n"/>
      <c r="D384" s="22" t="n"/>
      <c r="E384" s="23" t="n"/>
      <c r="F384" s="22" t="n"/>
      <c r="G384" s="22" t="n"/>
      <c r="H384" s="16" t="n"/>
      <c r="I384" s="15">
        <f>IF(ISBLANK($E384)," ",IF($E384&gt;$H384,$C384,$F384))</f>
        <v/>
      </c>
      <c r="J384" s="15">
        <f>IF(ISBLANK($E384)," ",IF($E384&gt;$H384,$D384,$G384))</f>
        <v/>
      </c>
      <c r="K384" s="15" t="n"/>
      <c r="L384" s="15">
        <f>E384-H384</f>
        <v/>
      </c>
      <c r="M384" s="5">
        <f>IF(ISBLANK($E384),"",VLOOKUP($I384,PLAYERS_IDS,2,FALSE)*VLOOKUP($J384,PLAYERS_IDS,2,FALSE))</f>
        <v/>
      </c>
      <c r="N384" s="25">
        <f>IF(ISBLANK($E384)," ", COUNTIF($M$4:$M384,$M384))</f>
        <v/>
      </c>
      <c r="O384" s="25">
        <f>IF(N384 =" ", " ", IF(N384=1,15,(IF(N384=2,15,(IF(N384=3,15,15))))))</f>
        <v/>
      </c>
      <c r="P384" s="5">
        <f>IF(ISBLANK($F384),"",VLOOKUP($C384,PLAYERS_IDS,2,FALSE)*VLOOKUP($D384,PLAYERS_IDS,2,FALSE))</f>
        <v/>
      </c>
      <c r="Q384" s="5">
        <f>IF(ISBLANK($F384), "",VLOOKUP($F384,PLAYERS_IDS,2,FALSE)*VLOOKUP($G384,PLAYERS_IDS,2,FALSE))</f>
        <v/>
      </c>
      <c r="R384" s="5">
        <f>IFERROR((P384*100000)+Q384,"")</f>
        <v/>
      </c>
    </row>
    <row r="385" ht="20.25" customHeight="1" s="106">
      <c r="A385" s="14" t="n"/>
      <c r="B385" s="15" t="n">
        <v>381</v>
      </c>
      <c r="C385" s="22" t="n"/>
      <c r="D385" s="22" t="n"/>
      <c r="E385" s="23" t="n"/>
      <c r="F385" s="22" t="n"/>
      <c r="G385" s="22" t="n"/>
      <c r="H385" s="16" t="n"/>
      <c r="I385" s="15">
        <f>IF(ISBLANK($E385)," ",IF($E385&gt;$H385,$C385,$F385))</f>
        <v/>
      </c>
      <c r="J385" s="15">
        <f>IF(ISBLANK($E385)," ",IF($E385&gt;$H385,$D385,$G385))</f>
        <v/>
      </c>
      <c r="K385" s="15" t="n"/>
      <c r="L385" s="15">
        <f>E385-H385</f>
        <v/>
      </c>
      <c r="M385" s="5">
        <f>IF(ISBLANK($E385),"",VLOOKUP($I385,PLAYERS_IDS,2,FALSE)*VLOOKUP($J385,PLAYERS_IDS,2,FALSE))</f>
        <v/>
      </c>
      <c r="N385" s="25">
        <f>IF(ISBLANK($E385)," ", COUNTIF($M$4:$M385,$M385))</f>
        <v/>
      </c>
      <c r="O385" s="25">
        <f>IF(N385 =" ", " ", IF(N385=1,15,(IF(N385=2,15,(IF(N385=3,15,15))))))</f>
        <v/>
      </c>
      <c r="P385" s="5">
        <f>IF(ISBLANK($F385),"",VLOOKUP($C385,PLAYERS_IDS,2,FALSE)*VLOOKUP($D385,PLAYERS_IDS,2,FALSE))</f>
        <v/>
      </c>
      <c r="Q385" s="5">
        <f>IF(ISBLANK($F385), "",VLOOKUP($F385,PLAYERS_IDS,2,FALSE)*VLOOKUP($G385,PLAYERS_IDS,2,FALSE))</f>
        <v/>
      </c>
      <c r="R385" s="5">
        <f>IFERROR((P385*100000)+Q385,"")</f>
        <v/>
      </c>
    </row>
    <row r="386" ht="20.25" customHeight="1" s="106">
      <c r="A386" s="14" t="n"/>
      <c r="B386" s="15" t="n">
        <v>382</v>
      </c>
      <c r="C386" s="22" t="n"/>
      <c r="D386" s="22" t="n"/>
      <c r="E386" s="23" t="n"/>
      <c r="F386" s="22" t="n"/>
      <c r="G386" s="22" t="n"/>
      <c r="H386" s="16" t="n"/>
      <c r="I386" s="15">
        <f>IF(ISBLANK($E386)," ",IF($E386&gt;$H386,$C386,$F386))</f>
        <v/>
      </c>
      <c r="J386" s="15">
        <f>IF(ISBLANK($E386)," ",IF($E386&gt;$H386,$D386,$G386))</f>
        <v/>
      </c>
      <c r="K386" s="15" t="n"/>
      <c r="L386" s="15">
        <f>E386-H386</f>
        <v/>
      </c>
      <c r="M386" s="5">
        <f>IF(ISBLANK($E386),"",VLOOKUP($I386,PLAYERS_IDS,2,FALSE)*VLOOKUP($J386,PLAYERS_IDS,2,FALSE))</f>
        <v/>
      </c>
      <c r="N386" s="25">
        <f>IF(ISBLANK($E386)," ", COUNTIF($M$4:$M386,$M386))</f>
        <v/>
      </c>
      <c r="O386" s="25">
        <f>IF(N386 =" ", " ", IF(N386=1,15,(IF(N386=2,15,(IF(N386=3,15,15))))))</f>
        <v/>
      </c>
      <c r="P386" s="5">
        <f>IF(ISBLANK($F386),"",VLOOKUP($C386,PLAYERS_IDS,2,FALSE)*VLOOKUP($D386,PLAYERS_IDS,2,FALSE))</f>
        <v/>
      </c>
      <c r="Q386" s="5">
        <f>IF(ISBLANK($F386), "",VLOOKUP($F386,PLAYERS_IDS,2,FALSE)*VLOOKUP($G386,PLAYERS_IDS,2,FALSE))</f>
        <v/>
      </c>
      <c r="R386" s="5">
        <f>IFERROR((P386*100000)+Q386,"")</f>
        <v/>
      </c>
    </row>
    <row r="387" ht="20.25" customHeight="1" s="106">
      <c r="A387" s="14" t="n"/>
      <c r="B387" s="15" t="n">
        <v>383</v>
      </c>
      <c r="C387" s="22" t="n"/>
      <c r="D387" s="22" t="n"/>
      <c r="E387" s="23" t="n"/>
      <c r="F387" s="22" t="n"/>
      <c r="G387" s="22" t="n"/>
      <c r="H387" s="16" t="n"/>
      <c r="I387" s="15">
        <f>IF(ISBLANK($E387)," ",IF($E387&gt;$H387,$C387,$F387))</f>
        <v/>
      </c>
      <c r="J387" s="15">
        <f>IF(ISBLANK($E387)," ",IF($E387&gt;$H387,$D387,$G387))</f>
        <v/>
      </c>
      <c r="K387" s="15" t="n"/>
      <c r="L387" s="15">
        <f>E387-H387</f>
        <v/>
      </c>
      <c r="M387" s="5">
        <f>IF(ISBLANK($E387),"",VLOOKUP($I387,PLAYERS_IDS,2,FALSE)*VLOOKUP($J387,PLAYERS_IDS,2,FALSE))</f>
        <v/>
      </c>
      <c r="N387" s="25">
        <f>IF(ISBLANK($E387)," ", COUNTIF($M$4:$M387,$M387))</f>
        <v/>
      </c>
      <c r="O387" s="25">
        <f>IF(N387 =" ", " ", IF(N387=1,15,(IF(N387=2,15,(IF(N387=3,15,15))))))</f>
        <v/>
      </c>
      <c r="P387" s="5">
        <f>IF(ISBLANK($F387),"",VLOOKUP($C387,PLAYERS_IDS,2,FALSE)*VLOOKUP($D387,PLAYERS_IDS,2,FALSE))</f>
        <v/>
      </c>
      <c r="Q387" s="5">
        <f>IF(ISBLANK($F387), "",VLOOKUP($F387,PLAYERS_IDS,2,FALSE)*VLOOKUP($G387,PLAYERS_IDS,2,FALSE))</f>
        <v/>
      </c>
      <c r="R387" s="5">
        <f>IFERROR((P387*100000)+Q387,"")</f>
        <v/>
      </c>
    </row>
    <row r="388" ht="20.25" customHeight="1" s="106">
      <c r="A388" s="14" t="n"/>
      <c r="B388" s="15" t="n">
        <v>384</v>
      </c>
      <c r="C388" s="22" t="n"/>
      <c r="D388" s="22" t="n"/>
      <c r="E388" s="23" t="n"/>
      <c r="F388" s="22" t="n"/>
      <c r="G388" s="22" t="n"/>
      <c r="H388" s="16" t="n"/>
      <c r="I388" s="15">
        <f>IF(ISBLANK($E388)," ",IF($E388&gt;$H388,$C388,$F388))</f>
        <v/>
      </c>
      <c r="J388" s="15">
        <f>IF(ISBLANK($E388)," ",IF($E388&gt;$H388,$D388,$G388))</f>
        <v/>
      </c>
      <c r="K388" s="15" t="n"/>
      <c r="L388" s="15">
        <f>E388-H388</f>
        <v/>
      </c>
      <c r="M388" s="5">
        <f>IF(ISBLANK($E388),"",VLOOKUP($I388,PLAYERS_IDS,2,FALSE)*VLOOKUP($J388,PLAYERS_IDS,2,FALSE))</f>
        <v/>
      </c>
      <c r="N388" s="25">
        <f>IF(ISBLANK($E388)," ", COUNTIF($M$4:$M388,$M388))</f>
        <v/>
      </c>
      <c r="O388" s="25">
        <f>IF(N388 =" ", " ", IF(N388=1,15,(IF(N388=2,15,(IF(N388=3,15,15))))))</f>
        <v/>
      </c>
      <c r="P388" s="5">
        <f>IF(ISBLANK($F388),"",VLOOKUP($C388,PLAYERS_IDS,2,FALSE)*VLOOKUP($D388,PLAYERS_IDS,2,FALSE))</f>
        <v/>
      </c>
      <c r="Q388" s="5">
        <f>IF(ISBLANK($F388), "",VLOOKUP($F388,PLAYERS_IDS,2,FALSE)*VLOOKUP($G388,PLAYERS_IDS,2,FALSE))</f>
        <v/>
      </c>
      <c r="R388" s="5">
        <f>IFERROR((P388*100000)+Q388,"")</f>
        <v/>
      </c>
    </row>
    <row r="389" ht="20.25" customHeight="1" s="106">
      <c r="A389" s="14" t="n"/>
      <c r="B389" s="15" t="n">
        <v>385</v>
      </c>
      <c r="C389" s="22" t="n"/>
      <c r="D389" s="22" t="n"/>
      <c r="E389" s="23" t="n"/>
      <c r="F389" s="22" t="n"/>
      <c r="G389" s="22" t="n"/>
      <c r="H389" s="16" t="n"/>
      <c r="I389" s="15">
        <f>IF(ISBLANK($E389)," ",IF($E389&gt;$H389,$C389,$F389))</f>
        <v/>
      </c>
      <c r="J389" s="15">
        <f>IF(ISBLANK($E389)," ",IF($E389&gt;$H389,$D389,$G389))</f>
        <v/>
      </c>
      <c r="K389" s="15" t="n"/>
      <c r="L389" s="15">
        <f>E389-H389</f>
        <v/>
      </c>
      <c r="M389" s="5">
        <f>IF(ISBLANK($E389),"",VLOOKUP($I389,PLAYERS_IDS,2,FALSE)*VLOOKUP($J389,PLAYERS_IDS,2,FALSE))</f>
        <v/>
      </c>
      <c r="N389" s="25">
        <f>IF(ISBLANK($E389)," ", COUNTIF($M$4:$M389,$M389))</f>
        <v/>
      </c>
      <c r="O389" s="25">
        <f>IF(N389 =" ", " ", IF(N389=1,15,(IF(N389=2,15,(IF(N389=3,15,15))))))</f>
        <v/>
      </c>
      <c r="P389" s="5">
        <f>IF(ISBLANK($F389),"",VLOOKUP($C389,PLAYERS_IDS,2,FALSE)*VLOOKUP($D389,PLAYERS_IDS,2,FALSE))</f>
        <v/>
      </c>
      <c r="Q389" s="5">
        <f>IF(ISBLANK($F389), "",VLOOKUP($F389,PLAYERS_IDS,2,FALSE)*VLOOKUP($G389,PLAYERS_IDS,2,FALSE))</f>
        <v/>
      </c>
      <c r="R389" s="5">
        <f>IFERROR((P389*100000)+Q389,"")</f>
        <v/>
      </c>
    </row>
    <row r="390" ht="20.25" customHeight="1" s="106">
      <c r="A390" s="14" t="n"/>
      <c r="B390" s="15" t="n">
        <v>386</v>
      </c>
      <c r="C390" s="22" t="n"/>
      <c r="D390" s="22" t="n"/>
      <c r="E390" s="23" t="n"/>
      <c r="F390" s="22" t="n"/>
      <c r="G390" s="22" t="n"/>
      <c r="H390" s="16" t="n"/>
      <c r="I390" s="15">
        <f>IF(ISBLANK($E390)," ",IF($E390&gt;$H390,$C390,$F390))</f>
        <v/>
      </c>
      <c r="J390" s="15">
        <f>IF(ISBLANK($E390)," ",IF($E390&gt;$H390,$D390,$G390))</f>
        <v/>
      </c>
      <c r="K390" s="15" t="n"/>
      <c r="L390" s="15">
        <f>E390-H390</f>
        <v/>
      </c>
      <c r="M390" s="5">
        <f>IF(ISBLANK($E390),"",VLOOKUP($I390,PLAYERS_IDS,2,FALSE)*VLOOKUP($J390,PLAYERS_IDS,2,FALSE))</f>
        <v/>
      </c>
      <c r="N390" s="25">
        <f>IF(ISBLANK($E390)," ", COUNTIF($M$4:$M390,$M390))</f>
        <v/>
      </c>
      <c r="O390" s="25">
        <f>IF(N390 =" ", " ", IF(N390=1,15,(IF(N390=2,15,(IF(N390=3,15,15))))))</f>
        <v/>
      </c>
      <c r="P390" s="5">
        <f>IF(ISBLANK($F390),"",VLOOKUP($C390,PLAYERS_IDS,2,FALSE)*VLOOKUP($D390,PLAYERS_IDS,2,FALSE))</f>
        <v/>
      </c>
      <c r="Q390" s="5">
        <f>IF(ISBLANK($F390), "",VLOOKUP($F390,PLAYERS_IDS,2,FALSE)*VLOOKUP($G390,PLAYERS_IDS,2,FALSE))</f>
        <v/>
      </c>
      <c r="R390" s="5">
        <f>IFERROR((P390*100000)+Q390,"")</f>
        <v/>
      </c>
    </row>
    <row r="391" ht="20.25" customHeight="1" s="106">
      <c r="A391" s="14" t="n"/>
      <c r="B391" s="15" t="n">
        <v>387</v>
      </c>
      <c r="C391" s="22" t="n"/>
      <c r="D391" s="22" t="n"/>
      <c r="E391" s="23" t="n"/>
      <c r="F391" s="22" t="n"/>
      <c r="G391" s="22" t="n"/>
      <c r="H391" s="16" t="n"/>
      <c r="I391" s="15">
        <f>IF(ISBLANK($E391)," ",IF($E391&gt;$H391,$C391,$F391))</f>
        <v/>
      </c>
      <c r="J391" s="15">
        <f>IF(ISBLANK($E391)," ",IF($E391&gt;$H391,$D391,$G391))</f>
        <v/>
      </c>
      <c r="K391" s="15" t="n"/>
      <c r="L391" s="15">
        <f>E391-H391</f>
        <v/>
      </c>
      <c r="M391" s="5">
        <f>IF(ISBLANK($E391),"",VLOOKUP($I391,PLAYERS_IDS,2,FALSE)*VLOOKUP($J391,PLAYERS_IDS,2,FALSE))</f>
        <v/>
      </c>
      <c r="N391" s="25">
        <f>IF(ISBLANK($E391)," ", COUNTIF($M$4:$M391,$M391))</f>
        <v/>
      </c>
      <c r="O391" s="25">
        <f>IF(N391 =" ", " ", IF(N391=1,15,(IF(N391=2,15,(IF(N391=3,15,15))))))</f>
        <v/>
      </c>
      <c r="P391" s="5">
        <f>IF(ISBLANK($F391),"",VLOOKUP($C391,PLAYERS_IDS,2,FALSE)*VLOOKUP($D391,PLAYERS_IDS,2,FALSE))</f>
        <v/>
      </c>
      <c r="Q391" s="5">
        <f>IF(ISBLANK($F391), "",VLOOKUP($F391,PLAYERS_IDS,2,FALSE)*VLOOKUP($G391,PLAYERS_IDS,2,FALSE))</f>
        <v/>
      </c>
      <c r="R391" s="5">
        <f>IFERROR((P391*100000)+Q391,"")</f>
        <v/>
      </c>
    </row>
    <row r="392" ht="20.25" customHeight="1" s="106">
      <c r="A392" s="14" t="n"/>
      <c r="B392" s="15" t="n">
        <v>388</v>
      </c>
      <c r="C392" s="22" t="n"/>
      <c r="D392" s="22" t="n"/>
      <c r="E392" s="23" t="n"/>
      <c r="F392" s="22" t="n"/>
      <c r="G392" s="22" t="n"/>
      <c r="H392" s="16" t="n"/>
      <c r="I392" s="15">
        <f>IF(ISBLANK($E392)," ",IF($E392&gt;$H392,$C392,$F392))</f>
        <v/>
      </c>
      <c r="J392" s="15">
        <f>IF(ISBLANK($E392)," ",IF($E392&gt;$H392,$D392,$G392))</f>
        <v/>
      </c>
      <c r="K392" s="15" t="n"/>
      <c r="L392" s="15">
        <f>E392-H392</f>
        <v/>
      </c>
      <c r="M392" s="5">
        <f>IF(ISBLANK($E392),"",VLOOKUP($I392,PLAYERS_IDS,2,FALSE)*VLOOKUP($J392,PLAYERS_IDS,2,FALSE))</f>
        <v/>
      </c>
      <c r="N392" s="25">
        <f>IF(ISBLANK($E392)," ", COUNTIF($M$4:$M392,$M392))</f>
        <v/>
      </c>
      <c r="O392" s="25">
        <f>IF(N392 =" ", " ", IF(N392=1,15,(IF(N392=2,15,(IF(N392=3,15,15))))))</f>
        <v/>
      </c>
      <c r="P392" s="5">
        <f>IF(ISBLANK($F392),"",VLOOKUP($C392,PLAYERS_IDS,2,FALSE)*VLOOKUP($D392,PLAYERS_IDS,2,FALSE))</f>
        <v/>
      </c>
      <c r="Q392" s="5">
        <f>IF(ISBLANK($F392), "",VLOOKUP($F392,PLAYERS_IDS,2,FALSE)*VLOOKUP($G392,PLAYERS_IDS,2,FALSE))</f>
        <v/>
      </c>
      <c r="R392" s="5">
        <f>IFERROR((P392*100000)+Q392,"")</f>
        <v/>
      </c>
    </row>
    <row r="393" ht="20.25" customHeight="1" s="106">
      <c r="A393" s="14" t="n"/>
      <c r="B393" s="15" t="n">
        <v>389</v>
      </c>
      <c r="C393" s="22" t="n"/>
      <c r="D393" s="22" t="n"/>
      <c r="E393" s="23" t="n"/>
      <c r="F393" s="22" t="n"/>
      <c r="G393" s="22" t="n"/>
      <c r="H393" s="16" t="n"/>
      <c r="I393" s="15">
        <f>IF(ISBLANK($E393)," ",IF($E393&gt;$H393,$C393,$F393))</f>
        <v/>
      </c>
      <c r="J393" s="15">
        <f>IF(ISBLANK($E393)," ",IF($E393&gt;$H393,$D393,$G393))</f>
        <v/>
      </c>
      <c r="K393" s="15" t="n"/>
      <c r="L393" s="15">
        <f>E393-H393</f>
        <v/>
      </c>
      <c r="M393" s="5">
        <f>IF(ISBLANK($E393),"",VLOOKUP($I393,PLAYERS_IDS,2,FALSE)*VLOOKUP($J393,PLAYERS_IDS,2,FALSE))</f>
        <v/>
      </c>
      <c r="N393" s="25">
        <f>IF(ISBLANK($E393)," ", COUNTIF($M$4:$M393,$M393))</f>
        <v/>
      </c>
      <c r="O393" s="25">
        <f>IF(N393 =" ", " ", IF(N393=1,15,(IF(N393=2,15,(IF(N393=3,15,15))))))</f>
        <v/>
      </c>
      <c r="P393" s="5">
        <f>IF(ISBLANK($F393),"",VLOOKUP($C393,PLAYERS_IDS,2,FALSE)*VLOOKUP($D393,PLAYERS_IDS,2,FALSE))</f>
        <v/>
      </c>
      <c r="Q393" s="5">
        <f>IF(ISBLANK($F393), "",VLOOKUP($F393,PLAYERS_IDS,2,FALSE)*VLOOKUP($G393,PLAYERS_IDS,2,FALSE))</f>
        <v/>
      </c>
      <c r="R393" s="5">
        <f>IFERROR((P393*100000)+Q393,"")</f>
        <v/>
      </c>
    </row>
    <row r="394" ht="20.25" customHeight="1" s="106">
      <c r="A394" s="14" t="n"/>
      <c r="B394" s="15" t="n">
        <v>390</v>
      </c>
      <c r="C394" s="22" t="n"/>
      <c r="D394" s="22" t="n"/>
      <c r="E394" s="23" t="n"/>
      <c r="F394" s="22" t="n"/>
      <c r="G394" s="22" t="n"/>
      <c r="H394" s="16" t="n"/>
      <c r="I394" s="15">
        <f>IF(ISBLANK($E394)," ",IF($E394&gt;$H394,$C394,$F394))</f>
        <v/>
      </c>
      <c r="J394" s="15">
        <f>IF(ISBLANK($E394)," ",IF($E394&gt;$H394,$D394,$G394))</f>
        <v/>
      </c>
      <c r="K394" s="15" t="n"/>
      <c r="L394" s="15">
        <f>E394-H394</f>
        <v/>
      </c>
      <c r="M394" s="5">
        <f>IF(ISBLANK($E394),"",VLOOKUP($I394,PLAYERS_IDS,2,FALSE)*VLOOKUP($J394,PLAYERS_IDS,2,FALSE))</f>
        <v/>
      </c>
      <c r="N394" s="25">
        <f>IF(ISBLANK($E394)," ", COUNTIF($M$4:$M394,$M394))</f>
        <v/>
      </c>
      <c r="O394" s="25">
        <f>IF(N394 =" ", " ", IF(N394=1,15,(IF(N394=2,15,(IF(N394=3,15,15))))))</f>
        <v/>
      </c>
      <c r="P394" s="5">
        <f>IF(ISBLANK($F394),"",VLOOKUP($C394,PLAYERS_IDS,2,FALSE)*VLOOKUP($D394,PLAYERS_IDS,2,FALSE))</f>
        <v/>
      </c>
      <c r="Q394" s="5">
        <f>IF(ISBLANK($F394), "",VLOOKUP($F394,PLAYERS_IDS,2,FALSE)*VLOOKUP($G394,PLAYERS_IDS,2,FALSE))</f>
        <v/>
      </c>
      <c r="R394" s="5">
        <f>IFERROR((P394*100000)+Q394,"")</f>
        <v/>
      </c>
    </row>
    <row r="395" ht="20.25" customHeight="1" s="106">
      <c r="A395" s="14" t="n"/>
      <c r="B395" s="15" t="n">
        <v>391</v>
      </c>
      <c r="C395" s="22" t="n"/>
      <c r="D395" s="22" t="n"/>
      <c r="E395" s="23" t="n"/>
      <c r="F395" s="22" t="n"/>
      <c r="G395" s="22" t="n"/>
      <c r="H395" s="16" t="n"/>
      <c r="I395" s="15">
        <f>IF(ISBLANK($E395)," ",IF($E395&gt;$H395,$C395,$F395))</f>
        <v/>
      </c>
      <c r="J395" s="15">
        <f>IF(ISBLANK($E395)," ",IF($E395&gt;$H395,$D395,$G395))</f>
        <v/>
      </c>
      <c r="K395" s="15" t="n"/>
      <c r="L395" s="15">
        <f>E395-H395</f>
        <v/>
      </c>
      <c r="M395" s="5">
        <f>IF(ISBLANK($E395),"",VLOOKUP($I395,PLAYERS_IDS,2,FALSE)*VLOOKUP($J395,PLAYERS_IDS,2,FALSE))</f>
        <v/>
      </c>
      <c r="N395" s="25">
        <f>IF(ISBLANK($E395)," ", COUNTIF($M$4:$M395,$M395))</f>
        <v/>
      </c>
      <c r="O395" s="25">
        <f>IF(N395 =" ", " ", IF(N395=1,15,(IF(N395=2,15,(IF(N395=3,15,15))))))</f>
        <v/>
      </c>
      <c r="P395" s="5">
        <f>IF(ISBLANK($F395),"",VLOOKUP($C395,PLAYERS_IDS,2,FALSE)*VLOOKUP($D395,PLAYERS_IDS,2,FALSE))</f>
        <v/>
      </c>
      <c r="Q395" s="5">
        <f>IF(ISBLANK($F395), "",VLOOKUP($F395,PLAYERS_IDS,2,FALSE)*VLOOKUP($G395,PLAYERS_IDS,2,FALSE))</f>
        <v/>
      </c>
      <c r="R395" s="5">
        <f>IFERROR((P395*100000)+Q395,"")</f>
        <v/>
      </c>
    </row>
    <row r="396" ht="20.25" customHeight="1" s="106">
      <c r="A396" s="14" t="n"/>
      <c r="B396" s="15" t="n">
        <v>392</v>
      </c>
      <c r="C396" s="22" t="n"/>
      <c r="D396" s="22" t="n"/>
      <c r="E396" s="23" t="n"/>
      <c r="F396" s="22" t="n"/>
      <c r="G396" s="22" t="n"/>
      <c r="H396" s="16" t="n"/>
      <c r="I396" s="15">
        <f>IF(ISBLANK($E396)," ",IF($E396&gt;$H396,$C396,$F396))</f>
        <v/>
      </c>
      <c r="J396" s="15">
        <f>IF(ISBLANK($E396)," ",IF($E396&gt;$H396,$D396,$G396))</f>
        <v/>
      </c>
      <c r="K396" s="15" t="n"/>
      <c r="L396" s="15">
        <f>E396-H396</f>
        <v/>
      </c>
      <c r="M396" s="5">
        <f>IF(ISBLANK($E396),"",VLOOKUP($I396,PLAYERS_IDS,2,FALSE)*VLOOKUP($J396,PLAYERS_IDS,2,FALSE))</f>
        <v/>
      </c>
      <c r="N396" s="25">
        <f>IF(ISBLANK($E396)," ", COUNTIF($M$4:$M396,$M396))</f>
        <v/>
      </c>
      <c r="O396" s="25">
        <f>IF(N396 =" ", " ", IF(N396=1,15,(IF(N396=2,15,(IF(N396=3,15,15))))))</f>
        <v/>
      </c>
      <c r="P396" s="5">
        <f>IF(ISBLANK($F396),"",VLOOKUP($C396,PLAYERS_IDS,2,FALSE)*VLOOKUP($D396,PLAYERS_IDS,2,FALSE))</f>
        <v/>
      </c>
      <c r="Q396" s="5">
        <f>IF(ISBLANK($F396), "",VLOOKUP($F396,PLAYERS_IDS,2,FALSE)*VLOOKUP($G396,PLAYERS_IDS,2,FALSE))</f>
        <v/>
      </c>
      <c r="R396" s="5">
        <f>IFERROR((P396*100000)+Q396,"")</f>
        <v/>
      </c>
    </row>
    <row r="397" ht="20.25" customHeight="1" s="106">
      <c r="A397" s="14" t="n"/>
      <c r="B397" s="15" t="n">
        <v>393</v>
      </c>
      <c r="C397" s="22" t="n"/>
      <c r="D397" s="22" t="n"/>
      <c r="E397" s="23" t="n"/>
      <c r="F397" s="22" t="n"/>
      <c r="G397" s="22" t="n"/>
      <c r="H397" s="16" t="n"/>
      <c r="I397" s="15">
        <f>IF(ISBLANK($E397)," ",IF($E397&gt;$H397,$C397,$F397))</f>
        <v/>
      </c>
      <c r="J397" s="15">
        <f>IF(ISBLANK($E397)," ",IF($E397&gt;$H397,$D397,$G397))</f>
        <v/>
      </c>
      <c r="K397" s="15" t="n"/>
      <c r="L397" s="15">
        <f>E397-H397</f>
        <v/>
      </c>
      <c r="M397" s="5">
        <f>IF(ISBLANK($E397),"",VLOOKUP($I397,PLAYERS_IDS,2,FALSE)*VLOOKUP($J397,PLAYERS_IDS,2,FALSE))</f>
        <v/>
      </c>
      <c r="N397" s="25">
        <f>IF(ISBLANK($E397)," ", COUNTIF($M$4:$M397,$M397))</f>
        <v/>
      </c>
      <c r="O397" s="25">
        <f>IF(N397 =" ", " ", IF(N397=1,15,(IF(N397=2,15,(IF(N397=3,15,15))))))</f>
        <v/>
      </c>
      <c r="P397" s="5">
        <f>IF(ISBLANK($F397),"",VLOOKUP($C397,PLAYERS_IDS,2,FALSE)*VLOOKUP($D397,PLAYERS_IDS,2,FALSE))</f>
        <v/>
      </c>
      <c r="Q397" s="5">
        <f>IF(ISBLANK($F397), "",VLOOKUP($F397,PLAYERS_IDS,2,FALSE)*VLOOKUP($G397,PLAYERS_IDS,2,FALSE))</f>
        <v/>
      </c>
      <c r="R397" s="5">
        <f>IFERROR((P397*100000)+Q397,"")</f>
        <v/>
      </c>
    </row>
    <row r="398" ht="20.25" customHeight="1" s="106">
      <c r="A398" s="14" t="n"/>
      <c r="B398" s="15" t="n">
        <v>394</v>
      </c>
      <c r="C398" s="22" t="n"/>
      <c r="D398" s="22" t="n"/>
      <c r="E398" s="23" t="n"/>
      <c r="F398" s="22" t="n"/>
      <c r="G398" s="22" t="n"/>
      <c r="H398" s="16" t="n"/>
      <c r="I398" s="15">
        <f>IF(ISBLANK($E398)," ",IF($E398&gt;$H398,$C398,$F398))</f>
        <v/>
      </c>
      <c r="J398" s="15">
        <f>IF(ISBLANK($E398)," ",IF($E398&gt;$H398,$D398,$G398))</f>
        <v/>
      </c>
      <c r="K398" s="15" t="n"/>
      <c r="L398" s="15">
        <f>E398-H398</f>
        <v/>
      </c>
      <c r="M398" s="5">
        <f>IF(ISBLANK($E398),"",VLOOKUP($I398,PLAYERS_IDS,2,FALSE)*VLOOKUP($J398,PLAYERS_IDS,2,FALSE))</f>
        <v/>
      </c>
      <c r="N398" s="25">
        <f>IF(ISBLANK($E398)," ", COUNTIF($M$4:$M398,$M398))</f>
        <v/>
      </c>
      <c r="O398" s="25">
        <f>IF(N398 =" ", " ", IF(N398=1,15,(IF(N398=2,15,(IF(N398=3,15,15))))))</f>
        <v/>
      </c>
      <c r="P398" s="5">
        <f>IF(ISBLANK($F398),"",VLOOKUP($C398,PLAYERS_IDS,2,FALSE)*VLOOKUP($D398,PLAYERS_IDS,2,FALSE))</f>
        <v/>
      </c>
      <c r="Q398" s="5">
        <f>IF(ISBLANK($F398), "",VLOOKUP($F398,PLAYERS_IDS,2,FALSE)*VLOOKUP($G398,PLAYERS_IDS,2,FALSE))</f>
        <v/>
      </c>
      <c r="R398" s="5">
        <f>IFERROR((P398*100000)+Q398,"")</f>
        <v/>
      </c>
    </row>
    <row r="399" ht="20.25" customHeight="1" s="106">
      <c r="A399" s="14" t="n"/>
      <c r="B399" s="15" t="n">
        <v>395</v>
      </c>
      <c r="C399" s="22" t="n"/>
      <c r="D399" s="22" t="n"/>
      <c r="E399" s="23" t="n"/>
      <c r="F399" s="22" t="n"/>
      <c r="G399" s="22" t="n"/>
      <c r="H399" s="16" t="n"/>
      <c r="I399" s="15">
        <f>IF(ISBLANK($E399)," ",IF($E399&gt;$H399,$C399,$F399))</f>
        <v/>
      </c>
      <c r="J399" s="15">
        <f>IF(ISBLANK($E399)," ",IF($E399&gt;$H399,$D399,$G399))</f>
        <v/>
      </c>
      <c r="K399" s="15" t="n"/>
      <c r="L399" s="15">
        <f>E399-H399</f>
        <v/>
      </c>
      <c r="M399" s="5">
        <f>IF(ISBLANK($E399),"",VLOOKUP($I399,PLAYERS_IDS,2,FALSE)*VLOOKUP($J399,PLAYERS_IDS,2,FALSE))</f>
        <v/>
      </c>
      <c r="N399" s="25">
        <f>IF(ISBLANK($E399)," ", COUNTIF($M$4:$M399,$M399))</f>
        <v/>
      </c>
      <c r="O399" s="25">
        <f>IF(N399 =" ", " ", IF(N399=1,15,(IF(N399=2,15,(IF(N399=3,15,15))))))</f>
        <v/>
      </c>
      <c r="P399" s="5">
        <f>IF(ISBLANK($F399),"",VLOOKUP($C399,PLAYERS_IDS,2,FALSE)*VLOOKUP($D399,PLAYERS_IDS,2,FALSE))</f>
        <v/>
      </c>
      <c r="Q399" s="5">
        <f>IF(ISBLANK($F399), "",VLOOKUP($F399,PLAYERS_IDS,2,FALSE)*VLOOKUP($G399,PLAYERS_IDS,2,FALSE))</f>
        <v/>
      </c>
      <c r="R399" s="5">
        <f>IFERROR((P399*100000)+Q399,"")</f>
        <v/>
      </c>
    </row>
    <row r="400" ht="20.25" customHeight="1" s="106">
      <c r="A400" s="14" t="n"/>
      <c r="B400" s="15" t="n">
        <v>396</v>
      </c>
      <c r="C400" s="22" t="n"/>
      <c r="D400" s="22" t="n"/>
      <c r="E400" s="23" t="n"/>
      <c r="F400" s="22" t="n"/>
      <c r="G400" s="22" t="n"/>
      <c r="H400" s="16" t="n"/>
      <c r="I400" s="15">
        <f>IF(ISBLANK($E400)," ",IF($E400&gt;$H400,$C400,$F400))</f>
        <v/>
      </c>
      <c r="J400" s="15">
        <f>IF(ISBLANK($E400)," ",IF($E400&gt;$H400,$D400,$G400))</f>
        <v/>
      </c>
      <c r="K400" s="15" t="n"/>
      <c r="L400" s="15">
        <f>E400-H400</f>
        <v/>
      </c>
      <c r="M400" s="5">
        <f>IF(ISBLANK($E400),"",VLOOKUP($I400,PLAYERS_IDS,2,FALSE)*VLOOKUP($J400,PLAYERS_IDS,2,FALSE))</f>
        <v/>
      </c>
      <c r="N400" s="25">
        <f>IF(ISBLANK($E400)," ", COUNTIF($M$4:$M400,$M400))</f>
        <v/>
      </c>
      <c r="O400" s="25">
        <f>IF(N400 =" ", " ", IF(N400=1,15,(IF(N400=2,15,(IF(N400=3,15,15))))))</f>
        <v/>
      </c>
      <c r="P400" s="5">
        <f>IF(ISBLANK($F400),"",VLOOKUP($C400,PLAYERS_IDS,2,FALSE)*VLOOKUP($D400,PLAYERS_IDS,2,FALSE))</f>
        <v/>
      </c>
      <c r="Q400" s="5">
        <f>IF(ISBLANK($F400), "",VLOOKUP($F400,PLAYERS_IDS,2,FALSE)*VLOOKUP($G400,PLAYERS_IDS,2,FALSE))</f>
        <v/>
      </c>
      <c r="R400" s="5">
        <f>IFERROR((P400*100000)+Q400,"")</f>
        <v/>
      </c>
    </row>
    <row r="401" ht="20.25" customHeight="1" s="106">
      <c r="A401" s="14" t="n"/>
      <c r="B401" s="15" t="n">
        <v>397</v>
      </c>
      <c r="C401" s="22" t="n"/>
      <c r="D401" s="22" t="n"/>
      <c r="E401" s="23" t="n"/>
      <c r="F401" s="22" t="n"/>
      <c r="G401" s="22" t="n"/>
      <c r="H401" s="16" t="n"/>
      <c r="I401" s="15">
        <f>IF(ISBLANK($E401)," ",IF($E401&gt;$H401,$C401,$F401))</f>
        <v/>
      </c>
      <c r="J401" s="15">
        <f>IF(ISBLANK($E401)," ",IF($E401&gt;$H401,$D401,$G401))</f>
        <v/>
      </c>
      <c r="K401" s="15" t="n"/>
      <c r="L401" s="15">
        <f>E401-H401</f>
        <v/>
      </c>
      <c r="M401" s="5">
        <f>IF(ISBLANK($E401),"",VLOOKUP($I401,PLAYERS_IDS,2,FALSE)*VLOOKUP($J401,PLAYERS_IDS,2,FALSE))</f>
        <v/>
      </c>
      <c r="N401" s="25">
        <f>IF(ISBLANK($E401)," ", COUNTIF($M$4:$M401,$M401))</f>
        <v/>
      </c>
      <c r="O401" s="25">
        <f>IF(N401 =" ", " ", IF(N401=1,15,(IF(N401=2,15,(IF(N401=3,15,15))))))</f>
        <v/>
      </c>
      <c r="P401" s="5">
        <f>IF(ISBLANK($F401),"",VLOOKUP($C401,PLAYERS_IDS,2,FALSE)*VLOOKUP($D401,PLAYERS_IDS,2,FALSE))</f>
        <v/>
      </c>
      <c r="Q401" s="5">
        <f>IF(ISBLANK($F401), "",VLOOKUP($F401,PLAYERS_IDS,2,FALSE)*VLOOKUP($G401,PLAYERS_IDS,2,FALSE))</f>
        <v/>
      </c>
      <c r="R401" s="5">
        <f>IFERROR((P401*100000)+Q401,"")</f>
        <v/>
      </c>
    </row>
    <row r="402" ht="20.25" customHeight="1" s="106">
      <c r="A402" s="14" t="n"/>
      <c r="B402" s="15" t="n">
        <v>398</v>
      </c>
      <c r="C402" s="22" t="n"/>
      <c r="D402" s="22" t="n"/>
      <c r="E402" s="23" t="n"/>
      <c r="F402" s="22" t="n"/>
      <c r="G402" s="22" t="n"/>
      <c r="H402" s="16" t="n"/>
      <c r="I402" s="15">
        <f>IF(ISBLANK($E402)," ",IF($E402&gt;$H402,$C402,$F402))</f>
        <v/>
      </c>
      <c r="J402" s="15">
        <f>IF(ISBLANK($E402)," ",IF($E402&gt;$H402,$D402,$G402))</f>
        <v/>
      </c>
      <c r="K402" s="15" t="n"/>
      <c r="L402" s="15">
        <f>E402-H402</f>
        <v/>
      </c>
      <c r="M402" s="5">
        <f>IF(ISBLANK($E402),"",VLOOKUP($I402,PLAYERS_IDS,2,FALSE)*VLOOKUP($J402,PLAYERS_IDS,2,FALSE))</f>
        <v/>
      </c>
      <c r="N402" s="25">
        <f>IF(ISBLANK($E402)," ", COUNTIF($M$4:$M402,$M402))</f>
        <v/>
      </c>
      <c r="O402" s="25">
        <f>IF(N402 =" ", " ", IF(N402=1,15,(IF(N402=2,15,(IF(N402=3,15,15))))))</f>
        <v/>
      </c>
      <c r="P402" s="5">
        <f>IF(ISBLANK($F402),"",VLOOKUP($C402,PLAYERS_IDS,2,FALSE)*VLOOKUP($D402,PLAYERS_IDS,2,FALSE))</f>
        <v/>
      </c>
      <c r="Q402" s="5">
        <f>IF(ISBLANK($F402), "",VLOOKUP($F402,PLAYERS_IDS,2,FALSE)*VLOOKUP($G402,PLAYERS_IDS,2,FALSE))</f>
        <v/>
      </c>
      <c r="R402" s="5">
        <f>IFERROR((P402*100000)+Q402,"")</f>
        <v/>
      </c>
    </row>
    <row r="403" ht="20.25" customHeight="1" s="106">
      <c r="A403" s="14" t="n"/>
      <c r="B403" s="15" t="n">
        <v>399</v>
      </c>
      <c r="C403" s="22" t="n"/>
      <c r="D403" s="22" t="n"/>
      <c r="E403" s="23" t="n"/>
      <c r="F403" s="22" t="n"/>
      <c r="G403" s="22" t="n"/>
      <c r="H403" s="16" t="n"/>
      <c r="I403" s="15">
        <f>IF(ISBLANK($E403)," ",IF($E403&gt;$H403,$C403,$F403))</f>
        <v/>
      </c>
      <c r="J403" s="15">
        <f>IF(ISBLANK($E403)," ",IF($E403&gt;$H403,$D403,$G403))</f>
        <v/>
      </c>
      <c r="K403" s="15" t="n"/>
      <c r="L403" s="15">
        <f>E403-H403</f>
        <v/>
      </c>
      <c r="M403" s="5">
        <f>IF(ISBLANK($E403),"",VLOOKUP($I403,PLAYERS_IDS,2,FALSE)*VLOOKUP($J403,PLAYERS_IDS,2,FALSE))</f>
        <v/>
      </c>
      <c r="N403" s="25">
        <f>IF(ISBLANK($E403)," ", COUNTIF($M$4:$M403,$M403))</f>
        <v/>
      </c>
      <c r="O403" s="25">
        <f>IF(N403 =" ", " ", IF(N403=1,15,(IF(N403=2,15,(IF(N403=3,15,15))))))</f>
        <v/>
      </c>
      <c r="P403" s="5">
        <f>IF(ISBLANK($F403),"",VLOOKUP($C403,PLAYERS_IDS,2,FALSE)*VLOOKUP($D403,PLAYERS_IDS,2,FALSE))</f>
        <v/>
      </c>
      <c r="Q403" s="5">
        <f>IF(ISBLANK($F403), "",VLOOKUP($F403,PLAYERS_IDS,2,FALSE)*VLOOKUP($G403,PLAYERS_IDS,2,FALSE))</f>
        <v/>
      </c>
      <c r="R403" s="5">
        <f>IFERROR((P403*100000)+Q403,"")</f>
        <v/>
      </c>
    </row>
    <row r="404" ht="20.25" customHeight="1" s="106">
      <c r="A404" s="14" t="n"/>
      <c r="B404" s="15" t="n">
        <v>400</v>
      </c>
      <c r="C404" s="22" t="n"/>
      <c r="D404" s="22" t="n"/>
      <c r="E404" s="23" t="n"/>
      <c r="F404" s="22" t="n"/>
      <c r="G404" s="22" t="n"/>
      <c r="H404" s="16" t="n"/>
      <c r="I404" s="15">
        <f>IF(ISBLANK($E404)," ",IF($E404&gt;$H404,$C404,$F404))</f>
        <v/>
      </c>
      <c r="J404" s="15">
        <f>IF(ISBLANK($E404)," ",IF($E404&gt;$H404,$D404,$G404))</f>
        <v/>
      </c>
      <c r="K404" s="15" t="n"/>
      <c r="L404" s="15">
        <f>E404-H404</f>
        <v/>
      </c>
      <c r="M404" s="5">
        <f>IF(ISBLANK($E404),"",VLOOKUP($I404,PLAYERS_IDS,2,FALSE)*VLOOKUP($J404,PLAYERS_IDS,2,FALSE))</f>
        <v/>
      </c>
      <c r="N404" s="25">
        <f>IF(ISBLANK($E404)," ", COUNTIF($M$4:$M404,$M404))</f>
        <v/>
      </c>
      <c r="O404" s="25">
        <f>IF(N404 =" ", " ", IF(N404=1,15,(IF(N404=2,15,(IF(N404=3,15,15))))))</f>
        <v/>
      </c>
      <c r="P404" s="5">
        <f>IF(ISBLANK($F404),"",VLOOKUP($C404,PLAYERS_IDS,2,FALSE)*VLOOKUP($D404,PLAYERS_IDS,2,FALSE))</f>
        <v/>
      </c>
      <c r="Q404" s="5">
        <f>IF(ISBLANK($F404), "",VLOOKUP($F404,PLAYERS_IDS,2,FALSE)*VLOOKUP($G404,PLAYERS_IDS,2,FALSE))</f>
        <v/>
      </c>
      <c r="R404" s="5">
        <f>IFERROR((P404*100000)+Q404,"")</f>
        <v/>
      </c>
    </row>
    <row r="405" ht="20.25" customHeight="1" s="106">
      <c r="A405" s="14" t="n"/>
      <c r="B405" s="15" t="n">
        <v>401</v>
      </c>
      <c r="C405" s="22" t="n"/>
      <c r="D405" s="22" t="n"/>
      <c r="E405" s="23" t="n"/>
      <c r="F405" s="22" t="n"/>
      <c r="G405" s="22" t="n"/>
      <c r="H405" s="16" t="n"/>
      <c r="I405" s="15">
        <f>IF(ISBLANK($E405)," ",IF($E405&gt;$H405,$C405,$F405))</f>
        <v/>
      </c>
      <c r="J405" s="15">
        <f>IF(ISBLANK($E405)," ",IF($E405&gt;$H405,$D405,$G405))</f>
        <v/>
      </c>
      <c r="K405" s="15" t="n"/>
      <c r="L405" s="15">
        <f>E405-H405</f>
        <v/>
      </c>
      <c r="M405" s="5">
        <f>IF(ISBLANK($E405),"",VLOOKUP($I405,PLAYERS_IDS,2,FALSE)*VLOOKUP($J405,PLAYERS_IDS,2,FALSE))</f>
        <v/>
      </c>
      <c r="N405" s="25">
        <f>IF(ISBLANK($E405)," ", COUNTIF($M$4:$M405,$M405))</f>
        <v/>
      </c>
      <c r="O405" s="25">
        <f>IF(N405 =" ", " ", IF(N405=1,15,(IF(N405=2,15,(IF(N405=3,15,15))))))</f>
        <v/>
      </c>
      <c r="P405" s="5">
        <f>IF(ISBLANK($F405),"",VLOOKUP($C405,PLAYERS_IDS,2,FALSE)*VLOOKUP($D405,PLAYERS_IDS,2,FALSE))</f>
        <v/>
      </c>
      <c r="Q405" s="5">
        <f>IF(ISBLANK($F405), "",VLOOKUP($F405,PLAYERS_IDS,2,FALSE)*VLOOKUP($G405,PLAYERS_IDS,2,FALSE))</f>
        <v/>
      </c>
      <c r="R405" s="5">
        <f>IFERROR((P405*100000)+Q405,"")</f>
        <v/>
      </c>
    </row>
    <row r="406" ht="20.25" customHeight="1" s="106">
      <c r="A406" s="14" t="n"/>
      <c r="B406" s="15" t="n">
        <v>402</v>
      </c>
      <c r="C406" s="22" t="n"/>
      <c r="D406" s="22" t="n"/>
      <c r="E406" s="23" t="n"/>
      <c r="F406" s="22" t="n"/>
      <c r="G406" s="22" t="n"/>
      <c r="H406" s="16" t="n"/>
      <c r="I406" s="15">
        <f>IF(ISBLANK($E406)," ",IF($E406&gt;$H406,$C406,$F406))</f>
        <v/>
      </c>
      <c r="J406" s="15">
        <f>IF(ISBLANK($E406)," ",IF($E406&gt;$H406,$D406,$G406))</f>
        <v/>
      </c>
      <c r="K406" s="15" t="n"/>
      <c r="L406" s="15">
        <f>E406-H406</f>
        <v/>
      </c>
      <c r="M406" s="5">
        <f>IF(ISBLANK($E406),"",VLOOKUP($I406,PLAYERS_IDS,2,FALSE)*VLOOKUP($J406,PLAYERS_IDS,2,FALSE))</f>
        <v/>
      </c>
      <c r="N406" s="25">
        <f>IF(ISBLANK($E406)," ", COUNTIF($M$4:$M406,$M406))</f>
        <v/>
      </c>
      <c r="O406" s="25">
        <f>IF(N406 =" ", " ", IF(N406=1,15,(IF(N406=2,15,(IF(N406=3,15,15))))))</f>
        <v/>
      </c>
      <c r="P406" s="5">
        <f>IF(ISBLANK($F406),"",VLOOKUP($C406,PLAYERS_IDS,2,FALSE)*VLOOKUP($D406,PLAYERS_IDS,2,FALSE))</f>
        <v/>
      </c>
      <c r="Q406" s="5">
        <f>IF(ISBLANK($F406), "",VLOOKUP($F406,PLAYERS_IDS,2,FALSE)*VLOOKUP($G406,PLAYERS_IDS,2,FALSE))</f>
        <v/>
      </c>
      <c r="R406" s="5">
        <f>IFERROR((P406*100000)+Q406,"")</f>
        <v/>
      </c>
    </row>
    <row r="407" ht="20.25" customHeight="1" s="106">
      <c r="A407" s="14" t="n"/>
      <c r="B407" s="15" t="n">
        <v>403</v>
      </c>
      <c r="C407" s="22" t="n"/>
      <c r="D407" s="22" t="n"/>
      <c r="E407" s="23" t="n"/>
      <c r="F407" s="22" t="n"/>
      <c r="G407" s="22" t="n"/>
      <c r="H407" s="16" t="n"/>
      <c r="I407" s="15">
        <f>IF(ISBLANK($E407)," ",IF($E407&gt;$H407,$C407,$F407))</f>
        <v/>
      </c>
      <c r="J407" s="15">
        <f>IF(ISBLANK($E407)," ",IF($E407&gt;$H407,$D407,$G407))</f>
        <v/>
      </c>
      <c r="K407" s="15" t="n"/>
      <c r="L407" s="15">
        <f>E407-H407</f>
        <v/>
      </c>
      <c r="M407" s="5">
        <f>IF(ISBLANK($E407),"",VLOOKUP($I407,PLAYERS_IDS,2,FALSE)*VLOOKUP($J407,PLAYERS_IDS,2,FALSE))</f>
        <v/>
      </c>
      <c r="N407" s="25">
        <f>IF(ISBLANK($E407)," ", COUNTIF($M$4:$M407,$M407))</f>
        <v/>
      </c>
      <c r="O407" s="25">
        <f>IF(N407 =" ", " ", IF(N407=1,15,(IF(N407=2,15,(IF(N407=3,15,15))))))</f>
        <v/>
      </c>
      <c r="P407" s="5">
        <f>IF(ISBLANK($F407),"",VLOOKUP($C407,PLAYERS_IDS,2,FALSE)*VLOOKUP($D407,PLAYERS_IDS,2,FALSE))</f>
        <v/>
      </c>
      <c r="Q407" s="5">
        <f>IF(ISBLANK($F407), "",VLOOKUP($F407,PLAYERS_IDS,2,FALSE)*VLOOKUP($G407,PLAYERS_IDS,2,FALSE))</f>
        <v/>
      </c>
      <c r="R407" s="5">
        <f>IFERROR((P407*100000)+Q407,"")</f>
        <v/>
      </c>
    </row>
    <row r="408" ht="20.25" customHeight="1" s="106">
      <c r="A408" s="14" t="n"/>
      <c r="B408" s="15" t="n">
        <v>404</v>
      </c>
      <c r="C408" s="22" t="n"/>
      <c r="D408" s="22" t="n"/>
      <c r="E408" s="23" t="n"/>
      <c r="F408" s="22" t="n"/>
      <c r="G408" s="22" t="n"/>
      <c r="H408" s="16" t="n"/>
      <c r="I408" s="15">
        <f>IF(ISBLANK($E408)," ",IF($E408&gt;$H408,$C408,$F408))</f>
        <v/>
      </c>
      <c r="J408" s="15">
        <f>IF(ISBLANK($E408)," ",IF($E408&gt;$H408,$D408,$G408))</f>
        <v/>
      </c>
      <c r="K408" s="15" t="n"/>
      <c r="L408" s="15">
        <f>E408-H408</f>
        <v/>
      </c>
      <c r="M408" s="5">
        <f>IF(ISBLANK($E408),"",VLOOKUP($I408,PLAYERS_IDS,2,FALSE)*VLOOKUP($J408,PLAYERS_IDS,2,FALSE))</f>
        <v/>
      </c>
      <c r="N408" s="25">
        <f>IF(ISBLANK($E408)," ", COUNTIF($M$4:$M408,$M408))</f>
        <v/>
      </c>
      <c r="O408" s="25">
        <f>IF(N408 =" ", " ", IF(N408=1,15,(IF(N408=2,15,(IF(N408=3,15,15))))))</f>
        <v/>
      </c>
      <c r="P408" s="5">
        <f>IF(ISBLANK($F408),"",VLOOKUP($C408,PLAYERS_IDS,2,FALSE)*VLOOKUP($D408,PLAYERS_IDS,2,FALSE))</f>
        <v/>
      </c>
      <c r="Q408" s="5">
        <f>IF(ISBLANK($F408), "",VLOOKUP($F408,PLAYERS_IDS,2,FALSE)*VLOOKUP($G408,PLAYERS_IDS,2,FALSE))</f>
        <v/>
      </c>
      <c r="R408" s="5">
        <f>IFERROR((P408*100000)+Q408,"")</f>
        <v/>
      </c>
    </row>
    <row r="409" ht="20.25" customHeight="1" s="106">
      <c r="A409" s="14" t="n"/>
      <c r="B409" s="15" t="n">
        <v>405</v>
      </c>
      <c r="C409" s="22" t="n"/>
      <c r="D409" s="22" t="n"/>
      <c r="E409" s="23" t="n"/>
      <c r="F409" s="22" t="n"/>
      <c r="G409" s="22" t="n"/>
      <c r="H409" s="16" t="n"/>
      <c r="I409" s="15">
        <f>IF(ISBLANK($E409)," ",IF($E409&gt;$H409,$C409,$F409))</f>
        <v/>
      </c>
      <c r="J409" s="15">
        <f>IF(ISBLANK($E409)," ",IF($E409&gt;$H409,$D409,$G409))</f>
        <v/>
      </c>
      <c r="K409" s="15" t="n"/>
      <c r="L409" s="15">
        <f>E409-H409</f>
        <v/>
      </c>
      <c r="M409" s="5">
        <f>IF(ISBLANK($E409),"",VLOOKUP($I409,PLAYERS_IDS,2,FALSE)*VLOOKUP($J409,PLAYERS_IDS,2,FALSE))</f>
        <v/>
      </c>
      <c r="N409" s="25">
        <f>IF(ISBLANK($E409)," ", COUNTIF($M$4:$M409,$M409))</f>
        <v/>
      </c>
      <c r="O409" s="25">
        <f>IF(N409 =" ", " ", IF(N409=1,15,(IF(N409=2,15,(IF(N409=3,15,15))))))</f>
        <v/>
      </c>
      <c r="P409" s="5">
        <f>IF(ISBLANK($F409),"",VLOOKUP($C409,PLAYERS_IDS,2,FALSE)*VLOOKUP($D409,PLAYERS_IDS,2,FALSE))</f>
        <v/>
      </c>
      <c r="Q409" s="5">
        <f>IF(ISBLANK($F409), "",VLOOKUP($F409,PLAYERS_IDS,2,FALSE)*VLOOKUP($G409,PLAYERS_IDS,2,FALSE))</f>
        <v/>
      </c>
      <c r="R409" s="5">
        <f>IFERROR((P409*100000)+Q409,"")</f>
        <v/>
      </c>
    </row>
    <row r="410" ht="20.25" customHeight="1" s="106">
      <c r="A410" s="14" t="n"/>
      <c r="B410" s="15" t="n">
        <v>406</v>
      </c>
      <c r="C410" s="22" t="n"/>
      <c r="D410" s="22" t="n"/>
      <c r="E410" s="23" t="n"/>
      <c r="F410" s="22" t="n"/>
      <c r="G410" s="22" t="n"/>
      <c r="H410" s="16" t="n"/>
      <c r="I410" s="15">
        <f>IF(ISBLANK($E410)," ",IF($E410&gt;$H410,$C410,$F410))</f>
        <v/>
      </c>
      <c r="J410" s="15">
        <f>IF(ISBLANK($E410)," ",IF($E410&gt;$H410,$D410,$G410))</f>
        <v/>
      </c>
      <c r="K410" s="15" t="n"/>
      <c r="L410" s="15">
        <f>E410-H410</f>
        <v/>
      </c>
      <c r="M410" s="5">
        <f>IF(ISBLANK($E410),"",VLOOKUP($I410,PLAYERS_IDS,2,FALSE)*VLOOKUP($J410,PLAYERS_IDS,2,FALSE))</f>
        <v/>
      </c>
      <c r="N410" s="25">
        <f>IF(ISBLANK($E410)," ", COUNTIF($M$4:$M410,$M410))</f>
        <v/>
      </c>
      <c r="O410" s="25">
        <f>IF(N410 =" ", " ", IF(N410=1,15,(IF(N410=2,15,(IF(N410=3,15,15))))))</f>
        <v/>
      </c>
      <c r="P410" s="5">
        <f>IF(ISBLANK($F410),"",VLOOKUP($C410,PLAYERS_IDS,2,FALSE)*VLOOKUP($D410,PLAYERS_IDS,2,FALSE))</f>
        <v/>
      </c>
      <c r="Q410" s="5">
        <f>IF(ISBLANK($F410), "",VLOOKUP($F410,PLAYERS_IDS,2,FALSE)*VLOOKUP($G410,PLAYERS_IDS,2,FALSE))</f>
        <v/>
      </c>
      <c r="R410" s="5">
        <f>IFERROR((P410*100000)+Q410,"")</f>
        <v/>
      </c>
    </row>
    <row r="411" ht="20.25" customHeight="1" s="106">
      <c r="A411" s="14" t="n"/>
      <c r="B411" s="15" t="n">
        <v>407</v>
      </c>
      <c r="C411" s="22" t="n"/>
      <c r="D411" s="22" t="n"/>
      <c r="E411" s="23" t="n"/>
      <c r="F411" s="22" t="n"/>
      <c r="G411" s="22" t="n"/>
      <c r="H411" s="16" t="n"/>
      <c r="I411" s="15">
        <f>IF(ISBLANK($E411)," ",IF($E411&gt;$H411,$C411,$F411))</f>
        <v/>
      </c>
      <c r="J411" s="15">
        <f>IF(ISBLANK($E411)," ",IF($E411&gt;$H411,$D411,$G411))</f>
        <v/>
      </c>
      <c r="K411" s="15" t="n"/>
      <c r="L411" s="15">
        <f>E411-H411</f>
        <v/>
      </c>
      <c r="M411" s="5">
        <f>IF(ISBLANK($E411),"",VLOOKUP($I411,PLAYERS_IDS,2,FALSE)*VLOOKUP($J411,PLAYERS_IDS,2,FALSE))</f>
        <v/>
      </c>
      <c r="N411" s="25">
        <f>IF(ISBLANK($E411)," ", COUNTIF($M$4:$M411,$M411))</f>
        <v/>
      </c>
      <c r="O411" s="25">
        <f>IF(N411 =" ", " ", IF(N411=1,15,(IF(N411=2,15,(IF(N411=3,15,15))))))</f>
        <v/>
      </c>
      <c r="P411" s="5">
        <f>IF(ISBLANK($F411),"",VLOOKUP($C411,PLAYERS_IDS,2,FALSE)*VLOOKUP($D411,PLAYERS_IDS,2,FALSE))</f>
        <v/>
      </c>
      <c r="Q411" s="5">
        <f>IF(ISBLANK($F411), "",VLOOKUP($F411,PLAYERS_IDS,2,FALSE)*VLOOKUP($G411,PLAYERS_IDS,2,FALSE))</f>
        <v/>
      </c>
      <c r="R411" s="5">
        <f>IFERROR((P411*100000)+Q411,"")</f>
        <v/>
      </c>
    </row>
    <row r="412" ht="20.25" customHeight="1" s="106">
      <c r="A412" s="14" t="n"/>
      <c r="B412" s="15" t="n">
        <v>408</v>
      </c>
      <c r="C412" s="22" t="n"/>
      <c r="D412" s="22" t="n"/>
      <c r="E412" s="23" t="n"/>
      <c r="F412" s="22" t="n"/>
      <c r="G412" s="22" t="n"/>
      <c r="H412" s="16" t="n"/>
      <c r="I412" s="15">
        <f>IF(ISBLANK($E412)," ",IF($E412&gt;$H412,$C412,$F412))</f>
        <v/>
      </c>
      <c r="J412" s="15">
        <f>IF(ISBLANK($E412)," ",IF($E412&gt;$H412,$D412,$G412))</f>
        <v/>
      </c>
      <c r="K412" s="15" t="n"/>
      <c r="L412" s="15">
        <f>E412-H412</f>
        <v/>
      </c>
      <c r="M412" s="5">
        <f>IF(ISBLANK($E412),"",VLOOKUP($I412,PLAYERS_IDS,2,FALSE)*VLOOKUP($J412,PLAYERS_IDS,2,FALSE))</f>
        <v/>
      </c>
      <c r="N412" s="25">
        <f>IF(ISBLANK($E412)," ", COUNTIF($M$4:$M412,$M412))</f>
        <v/>
      </c>
      <c r="O412" s="25">
        <f>IF(N412 =" ", " ", IF(N412=1,15,(IF(N412=2,15,(IF(N412=3,15,15))))))</f>
        <v/>
      </c>
      <c r="P412" s="5">
        <f>IF(ISBLANK($F412),"",VLOOKUP($C412,PLAYERS_IDS,2,FALSE)*VLOOKUP($D412,PLAYERS_IDS,2,FALSE))</f>
        <v/>
      </c>
      <c r="Q412" s="5">
        <f>IF(ISBLANK($F412), "",VLOOKUP($F412,PLAYERS_IDS,2,FALSE)*VLOOKUP($G412,PLAYERS_IDS,2,FALSE))</f>
        <v/>
      </c>
      <c r="R412" s="5">
        <f>IFERROR((P412*100000)+Q412,"")</f>
        <v/>
      </c>
    </row>
    <row r="413" ht="20.25" customHeight="1" s="106">
      <c r="A413" s="14" t="n"/>
      <c r="B413" s="15" t="n">
        <v>409</v>
      </c>
      <c r="C413" s="22" t="n"/>
      <c r="D413" s="22" t="n"/>
      <c r="E413" s="23" t="n"/>
      <c r="F413" s="22" t="n"/>
      <c r="G413" s="22" t="n"/>
      <c r="H413" s="16" t="n"/>
      <c r="I413" s="15">
        <f>IF(ISBLANK($E413)," ",IF($E413&gt;$H413,$C413,$F413))</f>
        <v/>
      </c>
      <c r="J413" s="15">
        <f>IF(ISBLANK($E413)," ",IF($E413&gt;$H413,$D413,$G413))</f>
        <v/>
      </c>
      <c r="K413" s="15" t="n"/>
      <c r="L413" s="15">
        <f>E413-H413</f>
        <v/>
      </c>
      <c r="M413" s="5">
        <f>IF(ISBLANK($E413),"",VLOOKUP($I413,PLAYERS_IDS,2,FALSE)*VLOOKUP($J413,PLAYERS_IDS,2,FALSE))</f>
        <v/>
      </c>
      <c r="N413" s="25">
        <f>IF(ISBLANK($E413)," ", COUNTIF($M$4:$M413,$M413))</f>
        <v/>
      </c>
      <c r="O413" s="25">
        <f>IF(N413 =" ", " ", IF(N413=1,15,(IF(N413=2,15,(IF(N413=3,15,15))))))</f>
        <v/>
      </c>
      <c r="P413" s="5">
        <f>IF(ISBLANK($F413),"",VLOOKUP($C413,PLAYERS_IDS,2,FALSE)*VLOOKUP($D413,PLAYERS_IDS,2,FALSE))</f>
        <v/>
      </c>
      <c r="Q413" s="5">
        <f>IF(ISBLANK($F413), "",VLOOKUP($F413,PLAYERS_IDS,2,FALSE)*VLOOKUP($G413,PLAYERS_IDS,2,FALSE))</f>
        <v/>
      </c>
      <c r="R413" s="5">
        <f>IFERROR((P413*100000)+Q413,"")</f>
        <v/>
      </c>
    </row>
    <row r="414" ht="20.25" customHeight="1" s="106">
      <c r="A414" s="14" t="n"/>
      <c r="B414" s="15" t="n">
        <v>410</v>
      </c>
      <c r="C414" s="22" t="n"/>
      <c r="D414" s="22" t="n"/>
      <c r="E414" s="23" t="n"/>
      <c r="F414" s="22" t="n"/>
      <c r="G414" s="22" t="n"/>
      <c r="H414" s="16" t="n"/>
      <c r="I414" s="15">
        <f>IF(ISBLANK($E414)," ",IF($E414&gt;$H414,$C414,$F414))</f>
        <v/>
      </c>
      <c r="J414" s="15">
        <f>IF(ISBLANK($E414)," ",IF($E414&gt;$H414,$D414,$G414))</f>
        <v/>
      </c>
      <c r="K414" s="15" t="n"/>
      <c r="L414" s="15">
        <f>E414-H414</f>
        <v/>
      </c>
      <c r="M414" s="5">
        <f>IF(ISBLANK($E414),"",VLOOKUP($I414,PLAYERS_IDS,2,FALSE)*VLOOKUP($J414,PLAYERS_IDS,2,FALSE))</f>
        <v/>
      </c>
      <c r="N414" s="25">
        <f>IF(ISBLANK($E414)," ", COUNTIF($M$4:$M414,$M414))</f>
        <v/>
      </c>
      <c r="O414" s="25">
        <f>IF(N414 =" ", " ", IF(N414=1,15,(IF(N414=2,15,(IF(N414=3,15,15))))))</f>
        <v/>
      </c>
      <c r="P414" s="5">
        <f>IF(ISBLANK($F414),"",VLOOKUP($C414,PLAYERS_IDS,2,FALSE)*VLOOKUP($D414,PLAYERS_IDS,2,FALSE))</f>
        <v/>
      </c>
      <c r="Q414" s="5">
        <f>IF(ISBLANK($F414), "",VLOOKUP($F414,PLAYERS_IDS,2,FALSE)*VLOOKUP($G414,PLAYERS_IDS,2,FALSE))</f>
        <v/>
      </c>
      <c r="R414" s="5">
        <f>IFERROR((P414*100000)+Q414,"")</f>
        <v/>
      </c>
    </row>
    <row r="415" ht="20.25" customHeight="1" s="106">
      <c r="A415" s="14" t="n"/>
      <c r="B415" s="15" t="n">
        <v>411</v>
      </c>
      <c r="C415" s="22" t="n"/>
      <c r="D415" s="22" t="n"/>
      <c r="E415" s="23" t="n"/>
      <c r="F415" s="22" t="n"/>
      <c r="G415" s="22" t="n"/>
      <c r="H415" s="16" t="n"/>
      <c r="I415" s="15">
        <f>IF(ISBLANK($E415)," ",IF($E415&gt;$H415,$C415,$F415))</f>
        <v/>
      </c>
      <c r="J415" s="15">
        <f>IF(ISBLANK($E415)," ",IF($E415&gt;$H415,$D415,$G415))</f>
        <v/>
      </c>
      <c r="K415" s="15" t="n"/>
      <c r="L415" s="15">
        <f>E415-H415</f>
        <v/>
      </c>
      <c r="M415" s="5">
        <f>IF(ISBLANK($E415),"",VLOOKUP($I415,PLAYERS_IDS,2,FALSE)*VLOOKUP($J415,PLAYERS_IDS,2,FALSE))</f>
        <v/>
      </c>
      <c r="N415" s="25">
        <f>IF(ISBLANK($E415)," ", COUNTIF($M$4:$M415,$M415))</f>
        <v/>
      </c>
      <c r="O415" s="25">
        <f>IF(N415 =" ", " ", IF(N415=1,15,(IF(N415=2,15,(IF(N415=3,15,15))))))</f>
        <v/>
      </c>
      <c r="P415" s="5">
        <f>IF(ISBLANK($F415),"",VLOOKUP($C415,PLAYERS_IDS,2,FALSE)*VLOOKUP($D415,PLAYERS_IDS,2,FALSE))</f>
        <v/>
      </c>
      <c r="Q415" s="5">
        <f>IF(ISBLANK($F415), "",VLOOKUP($F415,PLAYERS_IDS,2,FALSE)*VLOOKUP($G415,PLAYERS_IDS,2,FALSE))</f>
        <v/>
      </c>
      <c r="R415" s="5">
        <f>IFERROR((P415*100000)+Q415,"")</f>
        <v/>
      </c>
    </row>
    <row r="416" ht="20.25" customHeight="1" s="106">
      <c r="A416" s="14" t="n"/>
      <c r="B416" s="15" t="n">
        <v>412</v>
      </c>
      <c r="C416" s="22" t="n"/>
      <c r="D416" s="22" t="n"/>
      <c r="E416" s="23" t="n"/>
      <c r="F416" s="22" t="n"/>
      <c r="G416" s="22" t="n"/>
      <c r="H416" s="16" t="n"/>
      <c r="I416" s="15">
        <f>IF(ISBLANK($E416)," ",IF($E416&gt;$H416,$C416,$F416))</f>
        <v/>
      </c>
      <c r="J416" s="15">
        <f>IF(ISBLANK($E416)," ",IF($E416&gt;$H416,$D416,$G416))</f>
        <v/>
      </c>
      <c r="K416" s="15" t="n"/>
      <c r="L416" s="15">
        <f>E416-H416</f>
        <v/>
      </c>
      <c r="M416" s="5">
        <f>IF(ISBLANK($E416),"",VLOOKUP($I416,PLAYERS_IDS,2,FALSE)*VLOOKUP($J416,PLAYERS_IDS,2,FALSE))</f>
        <v/>
      </c>
      <c r="N416" s="25">
        <f>IF(ISBLANK($E416)," ", COUNTIF($M$4:$M416,$M416))</f>
        <v/>
      </c>
      <c r="O416" s="25">
        <f>IF(N416 =" ", " ", IF(N416=1,15,(IF(N416=2,15,(IF(N416=3,15,15))))))</f>
        <v/>
      </c>
      <c r="P416" s="5">
        <f>IF(ISBLANK($F416),"",VLOOKUP($C416,PLAYERS_IDS,2,FALSE)*VLOOKUP($D416,PLAYERS_IDS,2,FALSE))</f>
        <v/>
      </c>
      <c r="Q416" s="5">
        <f>IF(ISBLANK($F416), "",VLOOKUP($F416,PLAYERS_IDS,2,FALSE)*VLOOKUP($G416,PLAYERS_IDS,2,FALSE))</f>
        <v/>
      </c>
      <c r="R416" s="5">
        <f>IFERROR((P416*100000)+Q416,"")</f>
        <v/>
      </c>
    </row>
    <row r="417" ht="20.25" customHeight="1" s="106">
      <c r="A417" s="14" t="n"/>
      <c r="B417" s="15" t="n">
        <v>413</v>
      </c>
      <c r="C417" s="22" t="n"/>
      <c r="D417" s="22" t="n"/>
      <c r="E417" s="23" t="n"/>
      <c r="F417" s="22" t="n"/>
      <c r="G417" s="22" t="n"/>
      <c r="H417" s="16" t="n"/>
      <c r="I417" s="15">
        <f>IF(ISBLANK($E417)," ",IF($E417&gt;$H417,$C417,$F417))</f>
        <v/>
      </c>
      <c r="J417" s="15">
        <f>IF(ISBLANK($E417)," ",IF($E417&gt;$H417,$D417,$G417))</f>
        <v/>
      </c>
      <c r="K417" s="15" t="n"/>
      <c r="L417" s="15">
        <f>E417-H417</f>
        <v/>
      </c>
      <c r="M417" s="5">
        <f>IF(ISBLANK($E417),"",VLOOKUP($I417,PLAYERS_IDS,2,FALSE)*VLOOKUP($J417,PLAYERS_IDS,2,FALSE))</f>
        <v/>
      </c>
      <c r="N417" s="25">
        <f>IF(ISBLANK($E417)," ", COUNTIF($M$4:$M417,$M417))</f>
        <v/>
      </c>
      <c r="O417" s="25">
        <f>IF(N417 =" ", " ", IF(N417=1,15,(IF(N417=2,15,(IF(N417=3,15,15))))))</f>
        <v/>
      </c>
      <c r="P417" s="5">
        <f>IF(ISBLANK($F417),"",VLOOKUP($C417,PLAYERS_IDS,2,FALSE)*VLOOKUP($D417,PLAYERS_IDS,2,FALSE))</f>
        <v/>
      </c>
      <c r="Q417" s="5">
        <f>IF(ISBLANK($F417), "",VLOOKUP($F417,PLAYERS_IDS,2,FALSE)*VLOOKUP($G417,PLAYERS_IDS,2,FALSE))</f>
        <v/>
      </c>
      <c r="R417" s="5">
        <f>IFERROR((P417*100000)+Q417,"")</f>
        <v/>
      </c>
    </row>
    <row r="418" ht="20.25" customHeight="1" s="106">
      <c r="A418" s="14" t="n"/>
      <c r="B418" s="15" t="n">
        <v>414</v>
      </c>
      <c r="C418" s="22" t="n"/>
      <c r="D418" s="22" t="n"/>
      <c r="E418" s="23" t="n"/>
      <c r="F418" s="22" t="n"/>
      <c r="G418" s="22" t="n"/>
      <c r="H418" s="16" t="n"/>
      <c r="I418" s="15">
        <f>IF(ISBLANK($E418)," ",IF($E418&gt;$H418,$C418,$F418))</f>
        <v/>
      </c>
      <c r="J418" s="15">
        <f>IF(ISBLANK($E418)," ",IF($E418&gt;$H418,$D418,$G418))</f>
        <v/>
      </c>
      <c r="K418" s="15" t="n"/>
      <c r="L418" s="15">
        <f>E418-H418</f>
        <v/>
      </c>
      <c r="M418" s="5">
        <f>IF(ISBLANK($E418),"",VLOOKUP($I418,PLAYERS_IDS,2,FALSE)*VLOOKUP($J418,PLAYERS_IDS,2,FALSE))</f>
        <v/>
      </c>
      <c r="N418" s="25">
        <f>IF(ISBLANK($E418)," ", COUNTIF($M$4:$M418,$M418))</f>
        <v/>
      </c>
      <c r="O418" s="25">
        <f>IF(N418 =" ", " ", IF(N418=1,15,(IF(N418=2,15,(IF(N418=3,15,15))))))</f>
        <v/>
      </c>
      <c r="P418" s="5">
        <f>IF(ISBLANK($F418),"",VLOOKUP($C418,PLAYERS_IDS,2,FALSE)*VLOOKUP($D418,PLAYERS_IDS,2,FALSE))</f>
        <v/>
      </c>
      <c r="Q418" s="5">
        <f>IF(ISBLANK($F418), "",VLOOKUP($F418,PLAYERS_IDS,2,FALSE)*VLOOKUP($G418,PLAYERS_IDS,2,FALSE))</f>
        <v/>
      </c>
      <c r="R418" s="5">
        <f>IFERROR((P418*100000)+Q418,"")</f>
        <v/>
      </c>
    </row>
    <row r="419" ht="20.25" customHeight="1" s="106">
      <c r="A419" s="14" t="n"/>
      <c r="B419" s="15" t="n">
        <v>415</v>
      </c>
      <c r="C419" s="22" t="n"/>
      <c r="D419" s="22" t="n"/>
      <c r="E419" s="23" t="n"/>
      <c r="F419" s="22" t="n"/>
      <c r="G419" s="22" t="n"/>
      <c r="H419" s="16" t="n"/>
      <c r="I419" s="15">
        <f>IF(ISBLANK($E419)," ",IF($E419&gt;$H419,$C419,$F419))</f>
        <v/>
      </c>
      <c r="J419" s="15">
        <f>IF(ISBLANK($E419)," ",IF($E419&gt;$H419,$D419,$G419))</f>
        <v/>
      </c>
      <c r="K419" s="15" t="n"/>
      <c r="L419" s="15">
        <f>E419-H419</f>
        <v/>
      </c>
      <c r="M419" s="5">
        <f>IF(ISBLANK($E419),"",VLOOKUP($I419,PLAYERS_IDS,2,FALSE)*VLOOKUP($J419,PLAYERS_IDS,2,FALSE))</f>
        <v/>
      </c>
      <c r="N419" s="25">
        <f>IF(ISBLANK($E419)," ", COUNTIF($M$4:$M419,$M419))</f>
        <v/>
      </c>
      <c r="O419" s="25">
        <f>IF(N419 =" ", " ", IF(N419=1,15,(IF(N419=2,15,(IF(N419=3,15,15))))))</f>
        <v/>
      </c>
      <c r="P419" s="5">
        <f>IF(ISBLANK($F419),"",VLOOKUP($C419,PLAYERS_IDS,2,FALSE)*VLOOKUP($D419,PLAYERS_IDS,2,FALSE))</f>
        <v/>
      </c>
      <c r="Q419" s="5">
        <f>IF(ISBLANK($F419), "",VLOOKUP($F419,PLAYERS_IDS,2,FALSE)*VLOOKUP($G419,PLAYERS_IDS,2,FALSE))</f>
        <v/>
      </c>
      <c r="R419" s="5">
        <f>IFERROR((P419*100000)+Q419,"")</f>
        <v/>
      </c>
    </row>
    <row r="420" ht="20.25" customHeight="1" s="106">
      <c r="A420" s="14" t="n"/>
      <c r="B420" s="15" t="n">
        <v>416</v>
      </c>
      <c r="C420" s="22" t="n"/>
      <c r="D420" s="22" t="n"/>
      <c r="E420" s="23" t="n"/>
      <c r="F420" s="22" t="n"/>
      <c r="G420" s="22" t="n"/>
      <c r="H420" s="16" t="n"/>
      <c r="I420" s="15">
        <f>IF(ISBLANK($E420)," ",IF($E420&gt;$H420,$C420,$F420))</f>
        <v/>
      </c>
      <c r="J420" s="15">
        <f>IF(ISBLANK($E420)," ",IF($E420&gt;$H420,$D420,$G420))</f>
        <v/>
      </c>
      <c r="K420" s="15" t="n"/>
      <c r="L420" s="15">
        <f>E420-H420</f>
        <v/>
      </c>
      <c r="M420" s="5">
        <f>IF(ISBLANK($E420),"",VLOOKUP($I420,PLAYERS_IDS,2,FALSE)*VLOOKUP($J420,PLAYERS_IDS,2,FALSE))</f>
        <v/>
      </c>
      <c r="N420" s="25">
        <f>IF(ISBLANK($E420)," ", COUNTIF($M$4:$M420,$M420))</f>
        <v/>
      </c>
      <c r="O420" s="25">
        <f>IF(N420 =" ", " ", IF(N420=1,15,(IF(N420=2,15,(IF(N420=3,15,15))))))</f>
        <v/>
      </c>
      <c r="P420" s="5">
        <f>IF(ISBLANK($F420),"",VLOOKUP($C420,PLAYERS_IDS,2,FALSE)*VLOOKUP($D420,PLAYERS_IDS,2,FALSE))</f>
        <v/>
      </c>
      <c r="Q420" s="5">
        <f>IF(ISBLANK($F420), "",VLOOKUP($F420,PLAYERS_IDS,2,FALSE)*VLOOKUP($G420,PLAYERS_IDS,2,FALSE))</f>
        <v/>
      </c>
      <c r="R420" s="5">
        <f>IFERROR((P420*100000)+Q420,"")</f>
        <v/>
      </c>
    </row>
    <row r="421" ht="20.25" customHeight="1" s="106">
      <c r="A421" s="14" t="n"/>
      <c r="B421" s="15" t="n">
        <v>417</v>
      </c>
      <c r="C421" s="22" t="n"/>
      <c r="D421" s="22" t="n"/>
      <c r="E421" s="23" t="n"/>
      <c r="F421" s="22" t="n"/>
      <c r="G421" s="22" t="n"/>
      <c r="H421" s="16" t="n"/>
      <c r="I421" s="15">
        <f>IF(ISBLANK($E421)," ",IF($E421&gt;$H421,$C421,$F421))</f>
        <v/>
      </c>
      <c r="J421" s="15">
        <f>IF(ISBLANK($E421)," ",IF($E421&gt;$H421,$D421,$G421))</f>
        <v/>
      </c>
      <c r="K421" s="15" t="n"/>
      <c r="L421" s="15">
        <f>E421-H421</f>
        <v/>
      </c>
      <c r="M421" s="5">
        <f>IF(ISBLANK($E421),"",VLOOKUP($I421,PLAYERS_IDS,2,FALSE)*VLOOKUP($J421,PLAYERS_IDS,2,FALSE))</f>
        <v/>
      </c>
      <c r="N421" s="25">
        <f>IF(ISBLANK($E421)," ", COUNTIF($M$4:$M421,$M421))</f>
        <v/>
      </c>
      <c r="O421" s="25">
        <f>IF(N421 =" ", " ", IF(N421=1,15,(IF(N421=2,15,(IF(N421=3,15,15))))))</f>
        <v/>
      </c>
      <c r="P421" s="5">
        <f>IF(ISBLANK($F421),"",VLOOKUP($C421,PLAYERS_IDS,2,FALSE)*VLOOKUP($D421,PLAYERS_IDS,2,FALSE))</f>
        <v/>
      </c>
      <c r="Q421" s="5">
        <f>IF(ISBLANK($F421), "",VLOOKUP($F421,PLAYERS_IDS,2,FALSE)*VLOOKUP($G421,PLAYERS_IDS,2,FALSE))</f>
        <v/>
      </c>
      <c r="R421" s="5">
        <f>IFERROR((P421*100000)+Q421,"")</f>
        <v/>
      </c>
    </row>
    <row r="422" ht="20.25" customHeight="1" s="106">
      <c r="A422" s="14" t="n"/>
      <c r="B422" s="15" t="n">
        <v>418</v>
      </c>
      <c r="C422" s="22" t="n"/>
      <c r="D422" s="22" t="n"/>
      <c r="E422" s="23" t="n"/>
      <c r="F422" s="22" t="n"/>
      <c r="G422" s="22" t="n"/>
      <c r="H422" s="16" t="n"/>
      <c r="I422" s="15">
        <f>IF(ISBLANK($E422)," ",IF($E422&gt;$H422,$C422,$F422))</f>
        <v/>
      </c>
      <c r="J422" s="15">
        <f>IF(ISBLANK($E422)," ",IF($E422&gt;$H422,$D422,$G422))</f>
        <v/>
      </c>
      <c r="K422" s="15" t="n"/>
      <c r="L422" s="15">
        <f>E422-H422</f>
        <v/>
      </c>
      <c r="M422" s="5">
        <f>IF(ISBLANK($E422),"",VLOOKUP($I422,PLAYERS_IDS,2,FALSE)*VLOOKUP($J422,PLAYERS_IDS,2,FALSE))</f>
        <v/>
      </c>
      <c r="N422" s="25">
        <f>IF(ISBLANK($E422)," ", COUNTIF($M$4:$M422,$M422))</f>
        <v/>
      </c>
      <c r="O422" s="25">
        <f>IF(N422 =" ", " ", IF(N422=1,15,(IF(N422=2,15,(IF(N422=3,15,15))))))</f>
        <v/>
      </c>
      <c r="P422" s="5">
        <f>IF(ISBLANK($F422),"",VLOOKUP($C422,PLAYERS_IDS,2,FALSE)*VLOOKUP($D422,PLAYERS_IDS,2,FALSE))</f>
        <v/>
      </c>
      <c r="Q422" s="5">
        <f>IF(ISBLANK($F422), "",VLOOKUP($F422,PLAYERS_IDS,2,FALSE)*VLOOKUP($G422,PLAYERS_IDS,2,FALSE))</f>
        <v/>
      </c>
      <c r="R422" s="5">
        <f>IFERROR((P422*100000)+Q422,"")</f>
        <v/>
      </c>
    </row>
    <row r="423" ht="20.25" customHeight="1" s="106">
      <c r="A423" s="14" t="n"/>
      <c r="B423" s="15" t="n">
        <v>419</v>
      </c>
      <c r="C423" s="22" t="n"/>
      <c r="D423" s="22" t="n"/>
      <c r="E423" s="23" t="n"/>
      <c r="F423" s="22" t="n"/>
      <c r="G423" s="22" t="n"/>
      <c r="H423" s="16" t="n"/>
      <c r="I423" s="15">
        <f>IF(ISBLANK($E423)," ",IF($E423&gt;$H423,$C423,$F423))</f>
        <v/>
      </c>
      <c r="J423" s="15">
        <f>IF(ISBLANK($E423)," ",IF($E423&gt;$H423,$D423,$G423))</f>
        <v/>
      </c>
      <c r="K423" s="15" t="n"/>
      <c r="L423" s="15">
        <f>E423-H423</f>
        <v/>
      </c>
      <c r="M423" s="5">
        <f>IF(ISBLANK($E423),"",VLOOKUP($I423,PLAYERS_IDS,2,FALSE)*VLOOKUP($J423,PLAYERS_IDS,2,FALSE))</f>
        <v/>
      </c>
      <c r="N423" s="25">
        <f>IF(ISBLANK($E423)," ", COUNTIF($M$4:$M423,$M423))</f>
        <v/>
      </c>
      <c r="O423" s="25">
        <f>IF(N423 =" ", " ", IF(N423=1,15,(IF(N423=2,15,(IF(N423=3,15,15))))))</f>
        <v/>
      </c>
      <c r="P423" s="5">
        <f>IF(ISBLANK($F423),"",VLOOKUP($C423,PLAYERS_IDS,2,FALSE)*VLOOKUP($D423,PLAYERS_IDS,2,FALSE))</f>
        <v/>
      </c>
      <c r="Q423" s="5">
        <f>IF(ISBLANK($F423), "",VLOOKUP($F423,PLAYERS_IDS,2,FALSE)*VLOOKUP($G423,PLAYERS_IDS,2,FALSE))</f>
        <v/>
      </c>
      <c r="R423" s="5">
        <f>IFERROR((P423*100000)+Q423,"")</f>
        <v/>
      </c>
    </row>
    <row r="424" ht="20.25" customHeight="1" s="106">
      <c r="A424" s="14" t="n"/>
      <c r="B424" s="15" t="n">
        <v>420</v>
      </c>
      <c r="C424" s="22" t="n"/>
      <c r="D424" s="22" t="n"/>
      <c r="E424" s="23" t="n"/>
      <c r="F424" s="22" t="n"/>
      <c r="G424" s="22" t="n"/>
      <c r="H424" s="16" t="n"/>
      <c r="I424" s="15">
        <f>IF(ISBLANK($E424)," ",IF($E424&gt;$H424,$C424,$F424))</f>
        <v/>
      </c>
      <c r="J424" s="15">
        <f>IF(ISBLANK($E424)," ",IF($E424&gt;$H424,$D424,$G424))</f>
        <v/>
      </c>
      <c r="K424" s="15" t="n"/>
      <c r="L424" s="15">
        <f>E424-H424</f>
        <v/>
      </c>
      <c r="M424" s="5">
        <f>IF(ISBLANK($E424),"",VLOOKUP($I424,PLAYERS_IDS,2,FALSE)*VLOOKUP($J424,PLAYERS_IDS,2,FALSE))</f>
        <v/>
      </c>
      <c r="N424" s="25">
        <f>IF(ISBLANK($E424)," ", COUNTIF($M$4:$M424,$M424))</f>
        <v/>
      </c>
      <c r="O424" s="25">
        <f>IF(N424 =" ", " ", IF(N424=1,15,(IF(N424=2,15,(IF(N424=3,15,15))))))</f>
        <v/>
      </c>
      <c r="P424" s="5">
        <f>IF(ISBLANK($F424),"",VLOOKUP($C424,PLAYERS_IDS,2,FALSE)*VLOOKUP($D424,PLAYERS_IDS,2,FALSE))</f>
        <v/>
      </c>
      <c r="Q424" s="5">
        <f>IF(ISBLANK($F424), "",VLOOKUP($F424,PLAYERS_IDS,2,FALSE)*VLOOKUP($G424,PLAYERS_IDS,2,FALSE))</f>
        <v/>
      </c>
      <c r="R424" s="5">
        <f>IFERROR((P424*100000)+Q424,"")</f>
        <v/>
      </c>
    </row>
    <row r="425" ht="20.25" customHeight="1" s="106">
      <c r="A425" s="14" t="n"/>
      <c r="B425" s="15" t="n">
        <v>421</v>
      </c>
      <c r="C425" s="22" t="n"/>
      <c r="D425" s="22" t="n"/>
      <c r="E425" s="23" t="n"/>
      <c r="F425" s="22" t="n"/>
      <c r="G425" s="22" t="n"/>
      <c r="H425" s="16" t="n"/>
      <c r="I425" s="15">
        <f>IF(ISBLANK($E425)," ",IF($E425&gt;$H425,$C425,$F425))</f>
        <v/>
      </c>
      <c r="J425" s="15">
        <f>IF(ISBLANK($E425)," ",IF($E425&gt;$H425,$D425,$G425))</f>
        <v/>
      </c>
      <c r="K425" s="15" t="n"/>
      <c r="L425" s="15">
        <f>E425-H425</f>
        <v/>
      </c>
      <c r="M425" s="5">
        <f>IF(ISBLANK($E425),"",VLOOKUP($I425,PLAYERS_IDS,2,FALSE)*VLOOKUP($J425,PLAYERS_IDS,2,FALSE))</f>
        <v/>
      </c>
      <c r="N425" s="25">
        <f>IF(ISBLANK($E425)," ", COUNTIF($M$4:$M425,$M425))</f>
        <v/>
      </c>
      <c r="O425" s="25">
        <f>IF(N425 =" ", " ", IF(N425=1,15,(IF(N425=2,15,(IF(N425=3,15,15))))))</f>
        <v/>
      </c>
      <c r="P425" s="5">
        <f>IF(ISBLANK($F425),"",VLOOKUP($C425,PLAYERS_IDS,2,FALSE)*VLOOKUP($D425,PLAYERS_IDS,2,FALSE))</f>
        <v/>
      </c>
      <c r="Q425" s="5">
        <f>IF(ISBLANK($F425), "",VLOOKUP($F425,PLAYERS_IDS,2,FALSE)*VLOOKUP($G425,PLAYERS_IDS,2,FALSE))</f>
        <v/>
      </c>
      <c r="R425" s="5">
        <f>IFERROR((P425*100000)+Q425,"")</f>
        <v/>
      </c>
    </row>
    <row r="426" ht="20.25" customHeight="1" s="106">
      <c r="A426" s="14" t="n"/>
      <c r="B426" s="15" t="n">
        <v>422</v>
      </c>
      <c r="C426" s="22" t="n"/>
      <c r="D426" s="22" t="n"/>
      <c r="E426" s="23" t="n"/>
      <c r="F426" s="22" t="n"/>
      <c r="G426" s="22" t="n"/>
      <c r="H426" s="16" t="n"/>
      <c r="I426" s="15">
        <f>IF(ISBLANK($E426)," ",IF($E426&gt;$H426,$C426,$F426))</f>
        <v/>
      </c>
      <c r="J426" s="15">
        <f>IF(ISBLANK($E426)," ",IF($E426&gt;$H426,$D426,$G426))</f>
        <v/>
      </c>
      <c r="K426" s="15" t="n"/>
      <c r="L426" s="15">
        <f>E426-H426</f>
        <v/>
      </c>
      <c r="M426" s="5">
        <f>IF(ISBLANK($E426),"",VLOOKUP($I426,PLAYERS_IDS,2,FALSE)*VLOOKUP($J426,PLAYERS_IDS,2,FALSE))</f>
        <v/>
      </c>
      <c r="N426" s="25">
        <f>IF(ISBLANK($E426)," ", COUNTIF($M$4:$M426,$M426))</f>
        <v/>
      </c>
      <c r="O426" s="25">
        <f>IF(N426 =" ", " ", IF(N426=1,15,(IF(N426=2,15,(IF(N426=3,15,15))))))</f>
        <v/>
      </c>
      <c r="P426" s="5">
        <f>IF(ISBLANK($F426),"",VLOOKUP($C426,PLAYERS_IDS,2,FALSE)*VLOOKUP($D426,PLAYERS_IDS,2,FALSE))</f>
        <v/>
      </c>
      <c r="Q426" s="5">
        <f>IF(ISBLANK($F426), "",VLOOKUP($F426,PLAYERS_IDS,2,FALSE)*VLOOKUP($G426,PLAYERS_IDS,2,FALSE))</f>
        <v/>
      </c>
      <c r="R426" s="5">
        <f>IFERROR((P426*100000)+Q426,"")</f>
        <v/>
      </c>
    </row>
    <row r="427" ht="20.25" customHeight="1" s="106">
      <c r="A427" s="14" t="n"/>
      <c r="B427" s="15" t="n">
        <v>423</v>
      </c>
      <c r="C427" s="22" t="n"/>
      <c r="D427" s="22" t="n"/>
      <c r="E427" s="23" t="n"/>
      <c r="F427" s="22" t="n"/>
      <c r="G427" s="22" t="n"/>
      <c r="H427" s="16" t="n"/>
      <c r="I427" s="15">
        <f>IF(ISBLANK($E427)," ",IF($E427&gt;$H427,$C427,$F427))</f>
        <v/>
      </c>
      <c r="J427" s="15">
        <f>IF(ISBLANK($E427)," ",IF($E427&gt;$H427,$D427,$G427))</f>
        <v/>
      </c>
      <c r="K427" s="15" t="n"/>
      <c r="L427" s="15">
        <f>E427-H427</f>
        <v/>
      </c>
      <c r="M427" s="5">
        <f>IF(ISBLANK($E427),"",VLOOKUP($I427,PLAYERS_IDS,2,FALSE)*VLOOKUP($J427,PLAYERS_IDS,2,FALSE))</f>
        <v/>
      </c>
      <c r="N427" s="25">
        <f>IF(ISBLANK($E427)," ", COUNTIF($M$4:$M427,$M427))</f>
        <v/>
      </c>
      <c r="O427" s="25">
        <f>IF(N427 =" ", " ", IF(N427=1,15,(IF(N427=2,15,(IF(N427=3,15,15))))))</f>
        <v/>
      </c>
      <c r="P427" s="5">
        <f>IF(ISBLANK($F427),"",VLOOKUP($C427,PLAYERS_IDS,2,FALSE)*VLOOKUP($D427,PLAYERS_IDS,2,FALSE))</f>
        <v/>
      </c>
      <c r="Q427" s="5">
        <f>IF(ISBLANK($F427), "",VLOOKUP($F427,PLAYERS_IDS,2,FALSE)*VLOOKUP($G427,PLAYERS_IDS,2,FALSE))</f>
        <v/>
      </c>
      <c r="R427" s="5">
        <f>IFERROR((P427*100000)+Q427,"")</f>
        <v/>
      </c>
    </row>
    <row r="428" ht="20.25" customHeight="1" s="106">
      <c r="A428" s="14" t="n"/>
      <c r="B428" s="15" t="n">
        <v>424</v>
      </c>
      <c r="C428" s="22" t="n"/>
      <c r="D428" s="22" t="n"/>
      <c r="E428" s="23" t="n"/>
      <c r="F428" s="22" t="n"/>
      <c r="G428" s="22" t="n"/>
      <c r="H428" s="16" t="n"/>
      <c r="I428" s="15">
        <f>IF(ISBLANK($E428)," ",IF($E428&gt;$H428,$C428,$F428))</f>
        <v/>
      </c>
      <c r="J428" s="15">
        <f>IF(ISBLANK($E428)," ",IF($E428&gt;$H428,$D428,$G428))</f>
        <v/>
      </c>
      <c r="K428" s="15" t="n"/>
      <c r="L428" s="15">
        <f>E428-H428</f>
        <v/>
      </c>
      <c r="M428" s="5">
        <f>IF(ISBLANK($E428),"",VLOOKUP($I428,PLAYERS_IDS,2,FALSE)*VLOOKUP($J428,PLAYERS_IDS,2,FALSE))</f>
        <v/>
      </c>
      <c r="N428" s="25">
        <f>IF(ISBLANK($E428)," ", COUNTIF($M$4:$M428,$M428))</f>
        <v/>
      </c>
      <c r="O428" s="25">
        <f>IF(N428 =" ", " ", IF(N428=1,15,(IF(N428=2,15,(IF(N428=3,15,15))))))</f>
        <v/>
      </c>
      <c r="P428" s="5">
        <f>IF(ISBLANK($F428),"",VLOOKUP($C428,PLAYERS_IDS,2,FALSE)*VLOOKUP($D428,PLAYERS_IDS,2,FALSE))</f>
        <v/>
      </c>
      <c r="Q428" s="5">
        <f>IF(ISBLANK($F428), "",VLOOKUP($F428,PLAYERS_IDS,2,FALSE)*VLOOKUP($G428,PLAYERS_IDS,2,FALSE))</f>
        <v/>
      </c>
      <c r="R428" s="5">
        <f>IFERROR((P428*100000)+Q428,"")</f>
        <v/>
      </c>
    </row>
    <row r="429" ht="20.25" customHeight="1" s="106">
      <c r="A429" s="14" t="n"/>
      <c r="B429" s="15" t="n">
        <v>425</v>
      </c>
      <c r="C429" s="22" t="n"/>
      <c r="D429" s="22" t="n"/>
      <c r="E429" s="23" t="n"/>
      <c r="F429" s="22" t="n"/>
      <c r="G429" s="22" t="n"/>
      <c r="H429" s="16" t="n"/>
      <c r="I429" s="15">
        <f>IF(ISBLANK($E429)," ",IF($E429&gt;$H429,$C429,$F429))</f>
        <v/>
      </c>
      <c r="J429" s="15">
        <f>IF(ISBLANK($E429)," ",IF($E429&gt;$H429,$D429,$G429))</f>
        <v/>
      </c>
      <c r="K429" s="15" t="n"/>
      <c r="L429" s="15">
        <f>E429-H429</f>
        <v/>
      </c>
      <c r="M429" s="5">
        <f>IF(ISBLANK($E429),"",VLOOKUP($I429,PLAYERS_IDS,2,FALSE)*VLOOKUP($J429,PLAYERS_IDS,2,FALSE))</f>
        <v/>
      </c>
      <c r="N429" s="25">
        <f>IF(ISBLANK($E429)," ", COUNTIF($M$4:$M429,$M429))</f>
        <v/>
      </c>
      <c r="O429" s="25">
        <f>IF(N429 =" ", " ", IF(N429=1,15,(IF(N429=2,15,(IF(N429=3,15,15))))))</f>
        <v/>
      </c>
      <c r="P429" s="5">
        <f>IF(ISBLANK($F429),"",VLOOKUP($C429,PLAYERS_IDS,2,FALSE)*VLOOKUP($D429,PLAYERS_IDS,2,FALSE))</f>
        <v/>
      </c>
      <c r="Q429" s="5">
        <f>IF(ISBLANK($F429), "",VLOOKUP($F429,PLAYERS_IDS,2,FALSE)*VLOOKUP($G429,PLAYERS_IDS,2,FALSE))</f>
        <v/>
      </c>
      <c r="R429" s="5">
        <f>IFERROR((P429*100000)+Q429,"")</f>
        <v/>
      </c>
    </row>
    <row r="430" ht="20.25" customHeight="1" s="106">
      <c r="A430" s="14" t="n"/>
      <c r="B430" s="15" t="n">
        <v>426</v>
      </c>
      <c r="C430" s="22" t="n"/>
      <c r="D430" s="22" t="n"/>
      <c r="E430" s="23" t="n"/>
      <c r="F430" s="22" t="n"/>
      <c r="G430" s="22" t="n"/>
      <c r="H430" s="16" t="n"/>
      <c r="I430" s="15">
        <f>IF(ISBLANK($E430)," ",IF($E430&gt;$H430,$C430,$F430))</f>
        <v/>
      </c>
      <c r="J430" s="15">
        <f>IF(ISBLANK($E430)," ",IF($E430&gt;$H430,$D430,$G430))</f>
        <v/>
      </c>
      <c r="K430" s="15" t="n"/>
      <c r="L430" s="15">
        <f>E430-H430</f>
        <v/>
      </c>
      <c r="M430" s="5">
        <f>IF(ISBLANK($E430),"",VLOOKUP($I430,PLAYERS_IDS,2,FALSE)*VLOOKUP($J430,PLAYERS_IDS,2,FALSE))</f>
        <v/>
      </c>
      <c r="N430" s="25">
        <f>IF(ISBLANK($E430)," ", COUNTIF($M$4:$M430,$M430))</f>
        <v/>
      </c>
      <c r="O430" s="25">
        <f>IF(N430 =" ", " ", IF(N430=1,15,(IF(N430=2,15,(IF(N430=3,15,15))))))</f>
        <v/>
      </c>
      <c r="P430" s="5">
        <f>IF(ISBLANK($F430),"",VLOOKUP($C430,PLAYERS_IDS,2,FALSE)*VLOOKUP($D430,PLAYERS_IDS,2,FALSE))</f>
        <v/>
      </c>
      <c r="Q430" s="5">
        <f>IF(ISBLANK($F430), "",VLOOKUP($F430,PLAYERS_IDS,2,FALSE)*VLOOKUP($G430,PLAYERS_IDS,2,FALSE))</f>
        <v/>
      </c>
      <c r="R430" s="5">
        <f>IFERROR((P430*100000)+Q430,"")</f>
        <v/>
      </c>
    </row>
    <row r="431" ht="20.25" customHeight="1" s="106">
      <c r="A431" s="14" t="n"/>
      <c r="B431" s="15" t="n">
        <v>427</v>
      </c>
      <c r="C431" s="22" t="n"/>
      <c r="D431" s="22" t="n"/>
      <c r="E431" s="23" t="n"/>
      <c r="F431" s="22" t="n"/>
      <c r="G431" s="22" t="n"/>
      <c r="H431" s="16" t="n"/>
      <c r="I431" s="15">
        <f>IF(ISBLANK($E431)," ",IF($E431&gt;$H431,$C431,$F431))</f>
        <v/>
      </c>
      <c r="J431" s="15">
        <f>IF(ISBLANK($E431)," ",IF($E431&gt;$H431,$D431,$G431))</f>
        <v/>
      </c>
      <c r="K431" s="15" t="n"/>
      <c r="L431" s="15">
        <f>E431-H431</f>
        <v/>
      </c>
      <c r="M431" s="5">
        <f>IF(ISBLANK($E431),"",VLOOKUP($I431,PLAYERS_IDS,2,FALSE)*VLOOKUP($J431,PLAYERS_IDS,2,FALSE))</f>
        <v/>
      </c>
      <c r="N431" s="25">
        <f>IF(ISBLANK($E431)," ", COUNTIF($M$4:$M431,$M431))</f>
        <v/>
      </c>
      <c r="O431" s="25">
        <f>IF(N431 =" ", " ", IF(N431=1,15,(IF(N431=2,15,(IF(N431=3,15,15))))))</f>
        <v/>
      </c>
      <c r="P431" s="5">
        <f>IF(ISBLANK($F431),"",VLOOKUP($C431,PLAYERS_IDS,2,FALSE)*VLOOKUP($D431,PLAYERS_IDS,2,FALSE))</f>
        <v/>
      </c>
      <c r="Q431" s="5">
        <f>IF(ISBLANK($F431), "",VLOOKUP($F431,PLAYERS_IDS,2,FALSE)*VLOOKUP($G431,PLAYERS_IDS,2,FALSE))</f>
        <v/>
      </c>
      <c r="R431" s="5">
        <f>IFERROR((P431*100000)+Q431,"")</f>
        <v/>
      </c>
    </row>
    <row r="432" ht="20.25" customHeight="1" s="106">
      <c r="A432" s="14" t="n"/>
      <c r="B432" s="15" t="n">
        <v>428</v>
      </c>
      <c r="C432" s="22" t="n"/>
      <c r="D432" s="22" t="n"/>
      <c r="E432" s="23" t="n"/>
      <c r="F432" s="22" t="n"/>
      <c r="G432" s="22" t="n"/>
      <c r="H432" s="16" t="n"/>
      <c r="I432" s="15">
        <f>IF(ISBLANK($E432)," ",IF($E432&gt;$H432,$C432,$F432))</f>
        <v/>
      </c>
      <c r="J432" s="15">
        <f>IF(ISBLANK($E432)," ",IF($E432&gt;$H432,$D432,$G432))</f>
        <v/>
      </c>
      <c r="K432" s="15" t="n"/>
      <c r="L432" s="15">
        <f>E432-H432</f>
        <v/>
      </c>
      <c r="M432" s="5">
        <f>IF(ISBLANK($E432),"",VLOOKUP($I432,PLAYERS_IDS,2,FALSE)*VLOOKUP($J432,PLAYERS_IDS,2,FALSE))</f>
        <v/>
      </c>
      <c r="N432" s="25">
        <f>IF(ISBLANK($E432)," ", COUNTIF($M$4:$M432,$M432))</f>
        <v/>
      </c>
      <c r="O432" s="25">
        <f>IF(N432 =" ", " ", IF(N432=1,15,(IF(N432=2,15,(IF(N432=3,15,15))))))</f>
        <v/>
      </c>
      <c r="P432" s="5">
        <f>IF(ISBLANK($F432),"",VLOOKUP($C432,PLAYERS_IDS,2,FALSE)*VLOOKUP($D432,PLAYERS_IDS,2,FALSE))</f>
        <v/>
      </c>
      <c r="Q432" s="5">
        <f>IF(ISBLANK($F432), "",VLOOKUP($F432,PLAYERS_IDS,2,FALSE)*VLOOKUP($G432,PLAYERS_IDS,2,FALSE))</f>
        <v/>
      </c>
      <c r="R432" s="5">
        <f>IFERROR((P432*100000)+Q432,"")</f>
        <v/>
      </c>
    </row>
    <row r="433" ht="20.25" customHeight="1" s="106">
      <c r="A433" s="14" t="n"/>
      <c r="B433" s="15" t="n">
        <v>429</v>
      </c>
      <c r="C433" s="22" t="n"/>
      <c r="D433" s="22" t="n"/>
      <c r="E433" s="23" t="n"/>
      <c r="F433" s="22" t="n"/>
      <c r="G433" s="22" t="n"/>
      <c r="H433" s="16" t="n"/>
      <c r="I433" s="15">
        <f>IF(ISBLANK($E433)," ",IF($E433&gt;$H433,$C433,$F433))</f>
        <v/>
      </c>
      <c r="J433" s="15">
        <f>IF(ISBLANK($E433)," ",IF($E433&gt;$H433,$D433,$G433))</f>
        <v/>
      </c>
      <c r="K433" s="15" t="n"/>
      <c r="L433" s="15">
        <f>E433-H433</f>
        <v/>
      </c>
      <c r="M433" s="5">
        <f>IF(ISBLANK($E433),"",VLOOKUP($I433,PLAYERS_IDS,2,FALSE)*VLOOKUP($J433,PLAYERS_IDS,2,FALSE))</f>
        <v/>
      </c>
      <c r="N433" s="25">
        <f>IF(ISBLANK($E433)," ", COUNTIF($M$4:$M433,$M433))</f>
        <v/>
      </c>
      <c r="O433" s="25">
        <f>IF(N433 =" ", " ", IF(N433=1,15,(IF(N433=2,15,(IF(N433=3,15,15))))))</f>
        <v/>
      </c>
      <c r="P433" s="5">
        <f>IF(ISBLANK($F433),"",VLOOKUP($C433,PLAYERS_IDS,2,FALSE)*VLOOKUP($D433,PLAYERS_IDS,2,FALSE))</f>
        <v/>
      </c>
      <c r="Q433" s="5">
        <f>IF(ISBLANK($F433), "",VLOOKUP($F433,PLAYERS_IDS,2,FALSE)*VLOOKUP($G433,PLAYERS_IDS,2,FALSE))</f>
        <v/>
      </c>
      <c r="R433" s="5">
        <f>IFERROR((P433*100000)+Q433,"")</f>
        <v/>
      </c>
    </row>
    <row r="434" ht="20.25" customHeight="1" s="106">
      <c r="A434" s="14" t="n"/>
      <c r="B434" s="15" t="n">
        <v>430</v>
      </c>
      <c r="C434" s="22" t="n"/>
      <c r="D434" s="22" t="n"/>
      <c r="E434" s="23" t="n"/>
      <c r="F434" s="22" t="n"/>
      <c r="G434" s="22" t="n"/>
      <c r="H434" s="16" t="n"/>
      <c r="I434" s="15">
        <f>IF(ISBLANK($E434)," ",IF($E434&gt;$H434,$C434,$F434))</f>
        <v/>
      </c>
      <c r="J434" s="15">
        <f>IF(ISBLANK($E434)," ",IF($E434&gt;$H434,$D434,$G434))</f>
        <v/>
      </c>
      <c r="K434" s="15" t="n"/>
      <c r="L434" s="15">
        <f>E434-H434</f>
        <v/>
      </c>
      <c r="M434" s="5">
        <f>IF(ISBLANK($E434),"",VLOOKUP($I434,PLAYERS_IDS,2,FALSE)*VLOOKUP($J434,PLAYERS_IDS,2,FALSE))</f>
        <v/>
      </c>
      <c r="N434" s="25">
        <f>IF(ISBLANK($E434)," ", COUNTIF($M$4:$M434,$M434))</f>
        <v/>
      </c>
      <c r="O434" s="25">
        <f>IF(N434 =" ", " ", IF(N434=1,15,(IF(N434=2,15,(IF(N434=3,15,15))))))</f>
        <v/>
      </c>
      <c r="P434" s="5">
        <f>IF(ISBLANK($F434),"",VLOOKUP($C434,PLAYERS_IDS,2,FALSE)*VLOOKUP($D434,PLAYERS_IDS,2,FALSE))</f>
        <v/>
      </c>
      <c r="Q434" s="5">
        <f>IF(ISBLANK($F434), "",VLOOKUP($F434,PLAYERS_IDS,2,FALSE)*VLOOKUP($G434,PLAYERS_IDS,2,FALSE))</f>
        <v/>
      </c>
      <c r="R434" s="5">
        <f>IFERROR((P434*100000)+Q434,"")</f>
        <v/>
      </c>
    </row>
    <row r="435" ht="20.25" customHeight="1" s="106">
      <c r="A435" s="14" t="n"/>
      <c r="B435" s="15" t="n">
        <v>431</v>
      </c>
      <c r="C435" s="22" t="n"/>
      <c r="D435" s="22" t="n"/>
      <c r="E435" s="23" t="n"/>
      <c r="F435" s="22" t="n"/>
      <c r="G435" s="22" t="n"/>
      <c r="H435" s="16" t="n"/>
      <c r="I435" s="15">
        <f>IF(ISBLANK($E435)," ",IF($E435&gt;$H435,$C435,$F435))</f>
        <v/>
      </c>
      <c r="J435" s="15">
        <f>IF(ISBLANK($E435)," ",IF($E435&gt;$H435,$D435,$G435))</f>
        <v/>
      </c>
      <c r="K435" s="15" t="n"/>
      <c r="L435" s="15">
        <f>E435-H435</f>
        <v/>
      </c>
      <c r="M435" s="5">
        <f>IF(ISBLANK($E435),"",VLOOKUP($I435,PLAYERS_IDS,2,FALSE)*VLOOKUP($J435,PLAYERS_IDS,2,FALSE))</f>
        <v/>
      </c>
      <c r="N435" s="25">
        <f>IF(ISBLANK($E435)," ", COUNTIF($M$4:$M435,$M435))</f>
        <v/>
      </c>
      <c r="O435" s="25">
        <f>IF(N435 =" ", " ", IF(N435=1,15,(IF(N435=2,15,(IF(N435=3,15,15))))))</f>
        <v/>
      </c>
      <c r="P435" s="5">
        <f>IF(ISBLANK($F435),"",VLOOKUP($C435,PLAYERS_IDS,2,FALSE)*VLOOKUP($D435,PLAYERS_IDS,2,FALSE))</f>
        <v/>
      </c>
      <c r="Q435" s="5">
        <f>IF(ISBLANK($F435), "",VLOOKUP($F435,PLAYERS_IDS,2,FALSE)*VLOOKUP($G435,PLAYERS_IDS,2,FALSE))</f>
        <v/>
      </c>
      <c r="R435" s="5">
        <f>IFERROR((P435*100000)+Q435,"")</f>
        <v/>
      </c>
    </row>
    <row r="436" ht="20.25" customHeight="1" s="106">
      <c r="A436" s="14" t="n"/>
      <c r="B436" s="15" t="n">
        <v>432</v>
      </c>
      <c r="C436" s="22" t="n"/>
      <c r="D436" s="22" t="n"/>
      <c r="E436" s="23" t="n"/>
      <c r="F436" s="22" t="n"/>
      <c r="G436" s="22" t="n"/>
      <c r="H436" s="16" t="n"/>
      <c r="I436" s="15">
        <f>IF(ISBLANK($E436)," ",IF($E436&gt;$H436,$C436,$F436))</f>
        <v/>
      </c>
      <c r="J436" s="15">
        <f>IF(ISBLANK($E436)," ",IF($E436&gt;$H436,$D436,$G436))</f>
        <v/>
      </c>
      <c r="K436" s="15" t="n"/>
      <c r="L436" s="15">
        <f>E436-H436</f>
        <v/>
      </c>
      <c r="M436" s="5">
        <f>IF(ISBLANK($E436),"",VLOOKUP($I436,PLAYERS_IDS,2,FALSE)*VLOOKUP($J436,PLAYERS_IDS,2,FALSE))</f>
        <v/>
      </c>
      <c r="N436" s="25">
        <f>IF(ISBLANK($E436)," ", COUNTIF($M$4:$M436,$M436))</f>
        <v/>
      </c>
      <c r="O436" s="25">
        <f>IF(N436 =" ", " ", IF(N436=1,15,(IF(N436=2,15,(IF(N436=3,15,15))))))</f>
        <v/>
      </c>
      <c r="P436" s="5">
        <f>IF(ISBLANK($F436),"",VLOOKUP($C436,PLAYERS_IDS,2,FALSE)*VLOOKUP($D436,PLAYERS_IDS,2,FALSE))</f>
        <v/>
      </c>
      <c r="Q436" s="5">
        <f>IF(ISBLANK($F436), "",VLOOKUP($F436,PLAYERS_IDS,2,FALSE)*VLOOKUP($G436,PLAYERS_IDS,2,FALSE))</f>
        <v/>
      </c>
      <c r="R436" s="5">
        <f>IFERROR((P436*100000)+Q436,"")</f>
        <v/>
      </c>
    </row>
    <row r="437" ht="20.25" customHeight="1" s="106">
      <c r="A437" s="14" t="n"/>
      <c r="B437" s="15" t="n">
        <v>433</v>
      </c>
      <c r="C437" s="22" t="n"/>
      <c r="D437" s="22" t="n"/>
      <c r="E437" s="23" t="n"/>
      <c r="F437" s="22" t="n"/>
      <c r="G437" s="22" t="n"/>
      <c r="H437" s="16" t="n"/>
      <c r="I437" s="15">
        <f>IF(ISBLANK($E437)," ",IF($E437&gt;$H437,$C437,$F437))</f>
        <v/>
      </c>
      <c r="J437" s="15">
        <f>IF(ISBLANK($E437)," ",IF($E437&gt;$H437,$D437,$G437))</f>
        <v/>
      </c>
      <c r="K437" s="15" t="n"/>
      <c r="L437" s="15">
        <f>E437-H437</f>
        <v/>
      </c>
      <c r="M437" s="5">
        <f>IF(ISBLANK($E437),"",VLOOKUP($I437,PLAYERS_IDS,2,FALSE)*VLOOKUP($J437,PLAYERS_IDS,2,FALSE))</f>
        <v/>
      </c>
      <c r="N437" s="25">
        <f>IF(ISBLANK($E437)," ", COUNTIF($M$4:$M437,$M437))</f>
        <v/>
      </c>
      <c r="O437" s="25">
        <f>IF(N437 =" ", " ", IF(N437=1,15,(IF(N437=2,15,(IF(N437=3,15,15))))))</f>
        <v/>
      </c>
      <c r="P437" s="5">
        <f>IF(ISBLANK($F437),"",VLOOKUP($C437,PLAYERS_IDS,2,FALSE)*VLOOKUP($D437,PLAYERS_IDS,2,FALSE))</f>
        <v/>
      </c>
      <c r="Q437" s="5">
        <f>IF(ISBLANK($F437), "",VLOOKUP($F437,PLAYERS_IDS,2,FALSE)*VLOOKUP($G437,PLAYERS_IDS,2,FALSE))</f>
        <v/>
      </c>
      <c r="R437" s="5">
        <f>IFERROR((P437*100000)+Q437,"")</f>
        <v/>
      </c>
    </row>
    <row r="438" ht="20.25" customHeight="1" s="106">
      <c r="A438" s="14" t="n"/>
      <c r="B438" s="15" t="n">
        <v>434</v>
      </c>
      <c r="C438" s="22" t="n"/>
      <c r="D438" s="22" t="n"/>
      <c r="E438" s="23" t="n"/>
      <c r="F438" s="22" t="n"/>
      <c r="G438" s="22" t="n"/>
      <c r="H438" s="16" t="n"/>
      <c r="I438" s="15">
        <f>IF(ISBLANK($E438)," ",IF($E438&gt;$H438,$C438,$F438))</f>
        <v/>
      </c>
      <c r="J438" s="15">
        <f>IF(ISBLANK($E438)," ",IF($E438&gt;$H438,$D438,$G438))</f>
        <v/>
      </c>
      <c r="K438" s="15" t="n"/>
      <c r="L438" s="15">
        <f>E438-H438</f>
        <v/>
      </c>
      <c r="M438" s="5">
        <f>IF(ISBLANK($E438),"",VLOOKUP($I438,PLAYERS_IDS,2,FALSE)*VLOOKUP($J438,PLAYERS_IDS,2,FALSE))</f>
        <v/>
      </c>
      <c r="N438" s="25">
        <f>IF(ISBLANK($E438)," ", COUNTIF($M$4:$M438,$M438))</f>
        <v/>
      </c>
      <c r="O438" s="25">
        <f>IF(N438 =" ", " ", IF(N438=1,15,(IF(N438=2,15,(IF(N438=3,15,15))))))</f>
        <v/>
      </c>
      <c r="P438" s="5">
        <f>IF(ISBLANK($F438),"",VLOOKUP($C438,PLAYERS_IDS,2,FALSE)*VLOOKUP($D438,PLAYERS_IDS,2,FALSE))</f>
        <v/>
      </c>
      <c r="Q438" s="5">
        <f>IF(ISBLANK($F438), "",VLOOKUP($F438,PLAYERS_IDS,2,FALSE)*VLOOKUP($G438,PLAYERS_IDS,2,FALSE))</f>
        <v/>
      </c>
      <c r="R438" s="5">
        <f>IFERROR((P438*100000)+Q438,"")</f>
        <v/>
      </c>
    </row>
    <row r="439" ht="20.25" customHeight="1" s="106">
      <c r="A439" s="14" t="n"/>
      <c r="B439" s="15" t="n">
        <v>435</v>
      </c>
      <c r="C439" s="22" t="n"/>
      <c r="D439" s="22" t="n"/>
      <c r="E439" s="23" t="n"/>
      <c r="F439" s="22" t="n"/>
      <c r="G439" s="22" t="n"/>
      <c r="H439" s="16" t="n"/>
      <c r="I439" s="15">
        <f>IF(ISBLANK($E439)," ",IF($E439&gt;$H439,$C439,$F439))</f>
        <v/>
      </c>
      <c r="J439" s="15">
        <f>IF(ISBLANK($E439)," ",IF($E439&gt;$H439,$D439,$G439))</f>
        <v/>
      </c>
      <c r="K439" s="15" t="n"/>
      <c r="L439" s="15">
        <f>E439-H439</f>
        <v/>
      </c>
      <c r="M439" s="5">
        <f>IF(ISBLANK($E439),"",VLOOKUP($I439,PLAYERS_IDS,2,FALSE)*VLOOKUP($J439,PLAYERS_IDS,2,FALSE))</f>
        <v/>
      </c>
      <c r="N439" s="25">
        <f>IF(ISBLANK($E439)," ", COUNTIF($M$4:$M439,$M439))</f>
        <v/>
      </c>
      <c r="O439" s="25">
        <f>IF(N439 =" ", " ", IF(N439=1,15,(IF(N439=2,15,(IF(N439=3,15,15))))))</f>
        <v/>
      </c>
      <c r="P439" s="5">
        <f>IF(ISBLANK($F439),"",VLOOKUP($C439,PLAYERS_IDS,2,FALSE)*VLOOKUP($D439,PLAYERS_IDS,2,FALSE))</f>
        <v/>
      </c>
      <c r="Q439" s="5">
        <f>IF(ISBLANK($F439), "",VLOOKUP($F439,PLAYERS_IDS,2,FALSE)*VLOOKUP($G439,PLAYERS_IDS,2,FALSE))</f>
        <v/>
      </c>
      <c r="R439" s="5">
        <f>IFERROR((P439*100000)+Q439,"")</f>
        <v/>
      </c>
    </row>
    <row r="440" ht="20.25" customHeight="1" s="106">
      <c r="A440" s="14" t="n"/>
      <c r="B440" s="15" t="n">
        <v>436</v>
      </c>
      <c r="C440" s="22" t="n"/>
      <c r="D440" s="22" t="n"/>
      <c r="E440" s="23" t="n"/>
      <c r="F440" s="22" t="n"/>
      <c r="G440" s="22" t="n"/>
      <c r="H440" s="16" t="n"/>
      <c r="I440" s="15">
        <f>IF(ISBLANK($E440)," ",IF($E440&gt;$H440,$C440,$F440))</f>
        <v/>
      </c>
      <c r="J440" s="15">
        <f>IF(ISBLANK($E440)," ",IF($E440&gt;$H440,$D440,$G440))</f>
        <v/>
      </c>
      <c r="K440" s="15" t="n"/>
      <c r="L440" s="15">
        <f>E440-H440</f>
        <v/>
      </c>
      <c r="M440" s="5">
        <f>IF(ISBLANK($E440),"",VLOOKUP($I440,PLAYERS_IDS,2,FALSE)*VLOOKUP($J440,PLAYERS_IDS,2,FALSE))</f>
        <v/>
      </c>
      <c r="N440" s="25">
        <f>IF(ISBLANK($E440)," ", COUNTIF($M$4:$M440,$M440))</f>
        <v/>
      </c>
      <c r="O440" s="25">
        <f>IF(N440 =" ", " ", IF(N440=1,15,(IF(N440=2,15,(IF(N440=3,15,15))))))</f>
        <v/>
      </c>
      <c r="P440" s="5">
        <f>IF(ISBLANK($F440),"",VLOOKUP($C440,PLAYERS_IDS,2,FALSE)*VLOOKUP($D440,PLAYERS_IDS,2,FALSE))</f>
        <v/>
      </c>
      <c r="Q440" s="5">
        <f>IF(ISBLANK($F440), "",VLOOKUP($F440,PLAYERS_IDS,2,FALSE)*VLOOKUP($G440,PLAYERS_IDS,2,FALSE))</f>
        <v/>
      </c>
      <c r="R440" s="5">
        <f>IFERROR((P440*100000)+Q440,"")</f>
        <v/>
      </c>
    </row>
    <row r="441" ht="20.25" customHeight="1" s="106">
      <c r="A441" s="14" t="n"/>
      <c r="B441" s="15" t="n">
        <v>437</v>
      </c>
      <c r="C441" s="22" t="n"/>
      <c r="D441" s="22" t="n"/>
      <c r="E441" s="23" t="n"/>
      <c r="F441" s="22" t="n"/>
      <c r="G441" s="22" t="n"/>
      <c r="H441" s="16" t="n"/>
      <c r="I441" s="15">
        <f>IF(ISBLANK($E441)," ",IF($E441&gt;$H441,$C441,$F441))</f>
        <v/>
      </c>
      <c r="J441" s="15">
        <f>IF(ISBLANK($E441)," ",IF($E441&gt;$H441,$D441,$G441))</f>
        <v/>
      </c>
      <c r="K441" s="15" t="n"/>
      <c r="L441" s="15">
        <f>E441-H441</f>
        <v/>
      </c>
      <c r="M441" s="5">
        <f>IF(ISBLANK($E441),"",VLOOKUP($I441,PLAYERS_IDS,2,FALSE)*VLOOKUP($J441,PLAYERS_IDS,2,FALSE))</f>
        <v/>
      </c>
      <c r="N441" s="25">
        <f>IF(ISBLANK($E441)," ", COUNTIF($M$4:$M441,$M441))</f>
        <v/>
      </c>
      <c r="O441" s="25">
        <f>IF(N441 =" ", " ", IF(N441=1,15,(IF(N441=2,15,(IF(N441=3,15,15))))))</f>
        <v/>
      </c>
      <c r="P441" s="5">
        <f>IF(ISBLANK($F441),"",VLOOKUP($C441,PLAYERS_IDS,2,FALSE)*VLOOKUP($D441,PLAYERS_IDS,2,FALSE))</f>
        <v/>
      </c>
      <c r="Q441" s="5">
        <f>IF(ISBLANK($F441), "",VLOOKUP($F441,PLAYERS_IDS,2,FALSE)*VLOOKUP($G441,PLAYERS_IDS,2,FALSE))</f>
        <v/>
      </c>
      <c r="R441" s="5">
        <f>IFERROR((P441*100000)+Q441,"")</f>
        <v/>
      </c>
    </row>
    <row r="442" ht="20.25" customHeight="1" s="106">
      <c r="A442" s="14" t="n"/>
      <c r="B442" s="15" t="n">
        <v>438</v>
      </c>
      <c r="C442" s="22" t="n"/>
      <c r="D442" s="22" t="n"/>
      <c r="E442" s="23" t="n"/>
      <c r="F442" s="22" t="n"/>
      <c r="G442" s="22" t="n"/>
      <c r="H442" s="16" t="n"/>
      <c r="I442" s="15">
        <f>IF(ISBLANK($E442)," ",IF($E442&gt;$H442,$C442,$F442))</f>
        <v/>
      </c>
      <c r="J442" s="15">
        <f>IF(ISBLANK($E442)," ",IF($E442&gt;$H442,$D442,$G442))</f>
        <v/>
      </c>
      <c r="K442" s="15" t="n"/>
      <c r="L442" s="15">
        <f>E442-H442</f>
        <v/>
      </c>
      <c r="M442" s="5">
        <f>IF(ISBLANK($E442),"",VLOOKUP($I442,PLAYERS_IDS,2,FALSE)*VLOOKUP($J442,PLAYERS_IDS,2,FALSE))</f>
        <v/>
      </c>
      <c r="N442" s="25">
        <f>IF(ISBLANK($E442)," ", COUNTIF($M$4:$M442,$M442))</f>
        <v/>
      </c>
      <c r="O442" s="25">
        <f>IF(N442 =" ", " ", IF(N442=1,15,(IF(N442=2,15,(IF(N442=3,15,15))))))</f>
        <v/>
      </c>
      <c r="P442" s="5">
        <f>IF(ISBLANK($F442),"",VLOOKUP($C442,PLAYERS_IDS,2,FALSE)*VLOOKUP($D442,PLAYERS_IDS,2,FALSE))</f>
        <v/>
      </c>
      <c r="Q442" s="5">
        <f>IF(ISBLANK($F442), "",VLOOKUP($F442,PLAYERS_IDS,2,FALSE)*VLOOKUP($G442,PLAYERS_IDS,2,FALSE))</f>
        <v/>
      </c>
      <c r="R442" s="5">
        <f>IFERROR((P442*100000)+Q442,"")</f>
        <v/>
      </c>
    </row>
    <row r="443" ht="20.25" customHeight="1" s="106">
      <c r="A443" s="14" t="n"/>
      <c r="B443" s="15" t="n">
        <v>439</v>
      </c>
      <c r="C443" s="22" t="n"/>
      <c r="D443" s="22" t="n"/>
      <c r="E443" s="23" t="n"/>
      <c r="F443" s="22" t="n"/>
      <c r="G443" s="22" t="n"/>
      <c r="H443" s="16" t="n"/>
      <c r="I443" s="15">
        <f>IF(ISBLANK($E443)," ",IF($E443&gt;$H443,$C443,$F443))</f>
        <v/>
      </c>
      <c r="J443" s="15">
        <f>IF(ISBLANK($E443)," ",IF($E443&gt;$H443,$D443,$G443))</f>
        <v/>
      </c>
      <c r="K443" s="15" t="n"/>
      <c r="L443" s="15">
        <f>E443-H443</f>
        <v/>
      </c>
      <c r="M443" s="5">
        <f>IF(ISBLANK($E443),"",VLOOKUP($I443,PLAYERS_IDS,2,FALSE)*VLOOKUP($J443,PLAYERS_IDS,2,FALSE))</f>
        <v/>
      </c>
      <c r="N443" s="25">
        <f>IF(ISBLANK($E443)," ", COUNTIF($M$4:$M443,$M443))</f>
        <v/>
      </c>
      <c r="O443" s="25">
        <f>IF(N443 =" ", " ", IF(N443=1,15,(IF(N443=2,15,(IF(N443=3,15,15))))))</f>
        <v/>
      </c>
      <c r="P443" s="5">
        <f>IF(ISBLANK($F443),"",VLOOKUP($C443,PLAYERS_IDS,2,FALSE)*VLOOKUP($D443,PLAYERS_IDS,2,FALSE))</f>
        <v/>
      </c>
      <c r="Q443" s="5">
        <f>IF(ISBLANK($F443), "",VLOOKUP($F443,PLAYERS_IDS,2,FALSE)*VLOOKUP($G443,PLAYERS_IDS,2,FALSE))</f>
        <v/>
      </c>
      <c r="R443" s="5">
        <f>IFERROR((P443*100000)+Q443,"")</f>
        <v/>
      </c>
    </row>
    <row r="444" ht="20.25" customHeight="1" s="106">
      <c r="A444" s="14" t="n"/>
      <c r="B444" s="15" t="n">
        <v>440</v>
      </c>
      <c r="C444" s="22" t="n"/>
      <c r="D444" s="22" t="n"/>
      <c r="E444" s="23" t="n"/>
      <c r="F444" s="22" t="n"/>
      <c r="G444" s="22" t="n"/>
      <c r="H444" s="16" t="n"/>
      <c r="I444" s="15">
        <f>IF(ISBLANK($E444)," ",IF($E444&gt;$H444,$C444,$F444))</f>
        <v/>
      </c>
      <c r="J444" s="15">
        <f>IF(ISBLANK($E444)," ",IF($E444&gt;$H444,$D444,$G444))</f>
        <v/>
      </c>
      <c r="K444" s="15" t="n"/>
      <c r="L444" s="15">
        <f>E444-H444</f>
        <v/>
      </c>
      <c r="M444" s="5">
        <f>IF(ISBLANK($E444),"",VLOOKUP($I444,PLAYERS_IDS,2,FALSE)*VLOOKUP($J444,PLAYERS_IDS,2,FALSE))</f>
        <v/>
      </c>
      <c r="N444" s="25">
        <f>IF(ISBLANK($E444)," ", COUNTIF($M$4:$M444,$M444))</f>
        <v/>
      </c>
      <c r="O444" s="25">
        <f>IF(N444 =" ", " ", IF(N444=1,15,(IF(N444=2,15,(IF(N444=3,15,15))))))</f>
        <v/>
      </c>
      <c r="P444" s="5">
        <f>IF(ISBLANK($F444),"",VLOOKUP($C444,PLAYERS_IDS,2,FALSE)*VLOOKUP($D444,PLAYERS_IDS,2,FALSE))</f>
        <v/>
      </c>
      <c r="Q444" s="5">
        <f>IF(ISBLANK($F444), "",VLOOKUP($F444,PLAYERS_IDS,2,FALSE)*VLOOKUP($G444,PLAYERS_IDS,2,FALSE))</f>
        <v/>
      </c>
      <c r="R444" s="5">
        <f>IFERROR((P444*100000)+Q444,"")</f>
        <v/>
      </c>
    </row>
    <row r="445" ht="20.25" customHeight="1" s="106">
      <c r="A445" s="14" t="n"/>
      <c r="B445" s="15" t="n">
        <v>441</v>
      </c>
      <c r="C445" s="22" t="n"/>
      <c r="D445" s="22" t="n"/>
      <c r="E445" s="23" t="n"/>
      <c r="F445" s="22" t="n"/>
      <c r="G445" s="22" t="n"/>
      <c r="H445" s="16" t="n"/>
      <c r="I445" s="15">
        <f>IF(ISBLANK($E445)," ",IF($E445&gt;$H445,$C445,$F445))</f>
        <v/>
      </c>
      <c r="J445" s="15">
        <f>IF(ISBLANK($E445)," ",IF($E445&gt;$H445,$D445,$G445))</f>
        <v/>
      </c>
      <c r="K445" s="15" t="n"/>
      <c r="L445" s="15">
        <f>E445-H445</f>
        <v/>
      </c>
      <c r="M445" s="5">
        <f>IF(ISBLANK($E445),"",VLOOKUP($I445,PLAYERS_IDS,2,FALSE)*VLOOKUP($J445,PLAYERS_IDS,2,FALSE))</f>
        <v/>
      </c>
      <c r="N445" s="25">
        <f>IF(ISBLANK($E445)," ", COUNTIF($M$4:$M445,$M445))</f>
        <v/>
      </c>
      <c r="O445" s="25">
        <f>IF(N445 =" ", " ", IF(N445=1,15,(IF(N445=2,15,(IF(N445=3,15,15))))))</f>
        <v/>
      </c>
      <c r="P445" s="5">
        <f>IF(ISBLANK($F445),"",VLOOKUP($C445,PLAYERS_IDS,2,FALSE)*VLOOKUP($D445,PLAYERS_IDS,2,FALSE))</f>
        <v/>
      </c>
      <c r="Q445" s="5">
        <f>IF(ISBLANK($F445), "",VLOOKUP($F445,PLAYERS_IDS,2,FALSE)*VLOOKUP($G445,PLAYERS_IDS,2,FALSE))</f>
        <v/>
      </c>
      <c r="R445" s="5">
        <f>IFERROR((P445*100000)+Q445,"")</f>
        <v/>
      </c>
    </row>
    <row r="446" ht="20.25" customHeight="1" s="106">
      <c r="A446" s="14" t="n"/>
      <c r="B446" s="15" t="n">
        <v>442</v>
      </c>
      <c r="C446" s="22" t="n"/>
      <c r="D446" s="22" t="n"/>
      <c r="E446" s="23" t="n"/>
      <c r="F446" s="22" t="n"/>
      <c r="G446" s="22" t="n"/>
      <c r="H446" s="16" t="n"/>
      <c r="I446" s="15">
        <f>IF(ISBLANK($E446)," ",IF($E446&gt;$H446,$C446,$F446))</f>
        <v/>
      </c>
      <c r="J446" s="15">
        <f>IF(ISBLANK($E446)," ",IF($E446&gt;$H446,$D446,$G446))</f>
        <v/>
      </c>
      <c r="K446" s="15" t="n"/>
      <c r="L446" s="15">
        <f>E446-H446</f>
        <v/>
      </c>
      <c r="M446" s="5">
        <f>IF(ISBLANK($E446),"",VLOOKUP($I446,PLAYERS_IDS,2,FALSE)*VLOOKUP($J446,PLAYERS_IDS,2,FALSE))</f>
        <v/>
      </c>
      <c r="N446" s="25">
        <f>IF(ISBLANK($E446)," ", COUNTIF($M$4:$M446,$M446))</f>
        <v/>
      </c>
      <c r="O446" s="25">
        <f>IF(N446 =" ", " ", IF(N446=1,15,(IF(N446=2,15,(IF(N446=3,15,15))))))</f>
        <v/>
      </c>
      <c r="P446" s="5">
        <f>IF(ISBLANK($F446),"",VLOOKUP($C446,PLAYERS_IDS,2,FALSE)*VLOOKUP($D446,PLAYERS_IDS,2,FALSE))</f>
        <v/>
      </c>
      <c r="Q446" s="5">
        <f>IF(ISBLANK($F446), "",VLOOKUP($F446,PLAYERS_IDS,2,FALSE)*VLOOKUP($G446,PLAYERS_IDS,2,FALSE))</f>
        <v/>
      </c>
      <c r="R446" s="5">
        <f>IFERROR((P446*100000)+Q446,"")</f>
        <v/>
      </c>
    </row>
    <row r="447" ht="20.25" customHeight="1" s="106">
      <c r="A447" s="14" t="n"/>
      <c r="B447" s="15" t="n">
        <v>443</v>
      </c>
      <c r="C447" s="22" t="n"/>
      <c r="D447" s="22" t="n"/>
      <c r="E447" s="23" t="n"/>
      <c r="F447" s="22" t="n"/>
      <c r="G447" s="22" t="n"/>
      <c r="H447" s="16" t="n"/>
      <c r="I447" s="15">
        <f>IF(ISBLANK($E447)," ",IF($E447&gt;$H447,$C447,$F447))</f>
        <v/>
      </c>
      <c r="J447" s="15">
        <f>IF(ISBLANK($E447)," ",IF($E447&gt;$H447,$D447,$G447))</f>
        <v/>
      </c>
      <c r="K447" s="15" t="n"/>
      <c r="L447" s="15">
        <f>E447-H447</f>
        <v/>
      </c>
      <c r="M447" s="5">
        <f>IF(ISBLANK($E447),"",VLOOKUP($I447,PLAYERS_IDS,2,FALSE)*VLOOKUP($J447,PLAYERS_IDS,2,FALSE))</f>
        <v/>
      </c>
      <c r="N447" s="25">
        <f>IF(ISBLANK($E447)," ", COUNTIF($M$4:$M447,$M447))</f>
        <v/>
      </c>
      <c r="O447" s="25">
        <f>IF(N447 =" ", " ", IF(N447=1,15,(IF(N447=2,15,(IF(N447=3,15,15))))))</f>
        <v/>
      </c>
      <c r="P447" s="5">
        <f>IF(ISBLANK($F447),"",VLOOKUP($C447,PLAYERS_IDS,2,FALSE)*VLOOKUP($D447,PLAYERS_IDS,2,FALSE))</f>
        <v/>
      </c>
      <c r="Q447" s="5">
        <f>IF(ISBLANK($F447), "",VLOOKUP($F447,PLAYERS_IDS,2,FALSE)*VLOOKUP($G447,PLAYERS_IDS,2,FALSE))</f>
        <v/>
      </c>
      <c r="R447" s="5">
        <f>IFERROR((P447*100000)+Q447,"")</f>
        <v/>
      </c>
    </row>
    <row r="448" ht="20.25" customHeight="1" s="106">
      <c r="A448" s="14" t="n"/>
      <c r="B448" s="15" t="n">
        <v>444</v>
      </c>
      <c r="C448" s="22" t="n"/>
      <c r="D448" s="22" t="n"/>
      <c r="E448" s="23" t="n"/>
      <c r="F448" s="22" t="n"/>
      <c r="G448" s="22" t="n"/>
      <c r="H448" s="16" t="n"/>
      <c r="I448" s="15">
        <f>IF(ISBLANK($E448)," ",IF($E448&gt;$H448,$C448,$F448))</f>
        <v/>
      </c>
      <c r="J448" s="15">
        <f>IF(ISBLANK($E448)," ",IF($E448&gt;$H448,$D448,$G448))</f>
        <v/>
      </c>
      <c r="K448" s="15" t="n"/>
      <c r="L448" s="15">
        <f>E448-H448</f>
        <v/>
      </c>
      <c r="M448" s="5">
        <f>IF(ISBLANK($E448),"",VLOOKUP($I448,PLAYERS_IDS,2,FALSE)*VLOOKUP($J448,PLAYERS_IDS,2,FALSE))</f>
        <v/>
      </c>
      <c r="N448" s="25">
        <f>IF(ISBLANK($E448)," ", COUNTIF($M$4:$M448,$M448))</f>
        <v/>
      </c>
      <c r="O448" s="25">
        <f>IF(N448 =" ", " ", IF(N448=1,15,(IF(N448=2,15,(IF(N448=3,15,15))))))</f>
        <v/>
      </c>
      <c r="P448" s="5">
        <f>IF(ISBLANK($F448),"",VLOOKUP($C448,PLAYERS_IDS,2,FALSE)*VLOOKUP($D448,PLAYERS_IDS,2,FALSE))</f>
        <v/>
      </c>
      <c r="Q448" s="5">
        <f>IF(ISBLANK($F448), "",VLOOKUP($F448,PLAYERS_IDS,2,FALSE)*VLOOKUP($G448,PLAYERS_IDS,2,FALSE))</f>
        <v/>
      </c>
      <c r="R448" s="5">
        <f>IFERROR((P448*100000)+Q448,"")</f>
        <v/>
      </c>
    </row>
    <row r="449" ht="20.25" customHeight="1" s="106">
      <c r="A449" s="14" t="n"/>
      <c r="B449" s="15" t="n">
        <v>445</v>
      </c>
      <c r="C449" s="22" t="n"/>
      <c r="D449" s="22" t="n"/>
      <c r="E449" s="23" t="n"/>
      <c r="F449" s="22" t="n"/>
      <c r="G449" s="22" t="n"/>
      <c r="H449" s="16" t="n"/>
      <c r="I449" s="15">
        <f>IF(ISBLANK($E449)," ",IF($E449&gt;$H449,$C449,$F449))</f>
        <v/>
      </c>
      <c r="J449" s="15">
        <f>IF(ISBLANK($E449)," ",IF($E449&gt;$H449,$D449,$G449))</f>
        <v/>
      </c>
      <c r="K449" s="15" t="n"/>
      <c r="L449" s="15">
        <f>E449-H449</f>
        <v/>
      </c>
      <c r="M449" s="5">
        <f>IF(ISBLANK($E449),"",VLOOKUP($I449,PLAYERS_IDS,2,FALSE)*VLOOKUP($J449,PLAYERS_IDS,2,FALSE))</f>
        <v/>
      </c>
      <c r="N449" s="25">
        <f>IF(ISBLANK($E449)," ", COUNTIF($M$4:$M449,$M449))</f>
        <v/>
      </c>
      <c r="O449" s="25">
        <f>IF(N449 =" ", " ", IF(N449=1,15,(IF(N449=2,15,(IF(N449=3,15,15))))))</f>
        <v/>
      </c>
      <c r="P449" s="5">
        <f>IF(ISBLANK($F449),"",VLOOKUP($C449,PLAYERS_IDS,2,FALSE)*VLOOKUP($D449,PLAYERS_IDS,2,FALSE))</f>
        <v/>
      </c>
      <c r="Q449" s="5">
        <f>IF(ISBLANK($F449), "",VLOOKUP($F449,PLAYERS_IDS,2,FALSE)*VLOOKUP($G449,PLAYERS_IDS,2,FALSE))</f>
        <v/>
      </c>
      <c r="R449" s="5">
        <f>IFERROR((P449*100000)+Q449,"")</f>
        <v/>
      </c>
    </row>
    <row r="450" ht="20.25" customHeight="1" s="106">
      <c r="A450" s="14" t="n"/>
      <c r="B450" s="15" t="n">
        <v>446</v>
      </c>
      <c r="C450" s="22" t="n"/>
      <c r="D450" s="22" t="n"/>
      <c r="E450" s="23" t="n"/>
      <c r="F450" s="22" t="n"/>
      <c r="G450" s="22" t="n"/>
      <c r="H450" s="16" t="n"/>
      <c r="I450" s="15">
        <f>IF(ISBLANK($E450)," ",IF($E450&gt;$H450,$C450,$F450))</f>
        <v/>
      </c>
      <c r="J450" s="15">
        <f>IF(ISBLANK($E450)," ",IF($E450&gt;$H450,$D450,$G450))</f>
        <v/>
      </c>
      <c r="K450" s="15" t="n"/>
      <c r="L450" s="15">
        <f>E450-H450</f>
        <v/>
      </c>
      <c r="M450" s="5">
        <f>IF(ISBLANK($E450),"",VLOOKUP($I450,PLAYERS_IDS,2,FALSE)*VLOOKUP($J450,PLAYERS_IDS,2,FALSE))</f>
        <v/>
      </c>
      <c r="N450" s="25">
        <f>IF(ISBLANK($E450)," ", COUNTIF($M$4:$M450,$M450))</f>
        <v/>
      </c>
      <c r="O450" s="25">
        <f>IF(N450 =" ", " ", IF(N450=1,15,(IF(N450=2,15,(IF(N450=3,15,15))))))</f>
        <v/>
      </c>
      <c r="P450" s="5">
        <f>IF(ISBLANK($F450),"",VLOOKUP($C450,PLAYERS_IDS,2,FALSE)*VLOOKUP($D450,PLAYERS_IDS,2,FALSE))</f>
        <v/>
      </c>
      <c r="Q450" s="5">
        <f>IF(ISBLANK($F450), "",VLOOKUP($F450,PLAYERS_IDS,2,FALSE)*VLOOKUP($G450,PLAYERS_IDS,2,FALSE))</f>
        <v/>
      </c>
      <c r="R450" s="5">
        <f>IFERROR((P450*100000)+Q450,"")</f>
        <v/>
      </c>
    </row>
    <row r="451" ht="20.25" customHeight="1" s="106">
      <c r="A451" s="14" t="n"/>
      <c r="B451" s="15" t="n">
        <v>447</v>
      </c>
      <c r="C451" s="22" t="n"/>
      <c r="D451" s="22" t="n"/>
      <c r="E451" s="23" t="n"/>
      <c r="F451" s="22" t="n"/>
      <c r="G451" s="22" t="n"/>
      <c r="H451" s="16" t="n"/>
      <c r="I451" s="15">
        <f>IF(ISBLANK($E451)," ",IF($E451&gt;$H451,$C451,$F451))</f>
        <v/>
      </c>
      <c r="J451" s="15">
        <f>IF(ISBLANK($E451)," ",IF($E451&gt;$H451,$D451,$G451))</f>
        <v/>
      </c>
      <c r="K451" s="15" t="n"/>
      <c r="L451" s="15">
        <f>E451-H451</f>
        <v/>
      </c>
      <c r="M451" s="5">
        <f>IF(ISBLANK($E451),"",VLOOKUP($I451,PLAYERS_IDS,2,FALSE)*VLOOKUP($J451,PLAYERS_IDS,2,FALSE))</f>
        <v/>
      </c>
      <c r="N451" s="25">
        <f>IF(ISBLANK($E451)," ", COUNTIF($M$4:$M451,$M451))</f>
        <v/>
      </c>
      <c r="O451" s="25">
        <f>IF(N451 =" ", " ", IF(N451=1,15,(IF(N451=2,15,(IF(N451=3,15,15))))))</f>
        <v/>
      </c>
      <c r="P451" s="5">
        <f>IF(ISBLANK($F451),"",VLOOKUP($C451,PLAYERS_IDS,2,FALSE)*VLOOKUP($D451,PLAYERS_IDS,2,FALSE))</f>
        <v/>
      </c>
      <c r="Q451" s="5">
        <f>IF(ISBLANK($F451), "",VLOOKUP($F451,PLAYERS_IDS,2,FALSE)*VLOOKUP($G451,PLAYERS_IDS,2,FALSE))</f>
        <v/>
      </c>
      <c r="R451" s="5">
        <f>IFERROR((P451*100000)+Q451,"")</f>
        <v/>
      </c>
    </row>
    <row r="452" ht="20.25" customHeight="1" s="106">
      <c r="A452" s="14" t="n"/>
      <c r="B452" s="15" t="n">
        <v>448</v>
      </c>
      <c r="C452" s="22" t="n"/>
      <c r="D452" s="22" t="n"/>
      <c r="E452" s="23" t="n"/>
      <c r="F452" s="22" t="n"/>
      <c r="G452" s="22" t="n"/>
      <c r="H452" s="16" t="n"/>
      <c r="I452" s="15">
        <f>IF(ISBLANK($E452)," ",IF($E452&gt;$H452,$C452,$F452))</f>
        <v/>
      </c>
      <c r="J452" s="15">
        <f>IF(ISBLANK($E452)," ",IF($E452&gt;$H452,$D452,$G452))</f>
        <v/>
      </c>
      <c r="K452" s="15" t="n"/>
      <c r="L452" s="15">
        <f>E452-H452</f>
        <v/>
      </c>
      <c r="M452" s="5">
        <f>IF(ISBLANK($E452),"",VLOOKUP($I452,PLAYERS_IDS,2,FALSE)*VLOOKUP($J452,PLAYERS_IDS,2,FALSE))</f>
        <v/>
      </c>
      <c r="N452" s="25">
        <f>IF(ISBLANK($E452)," ", COUNTIF($M$4:$M452,$M452))</f>
        <v/>
      </c>
      <c r="O452" s="25">
        <f>IF(N452 =" ", " ", IF(N452=1,15,(IF(N452=2,15,(IF(N452=3,15,15))))))</f>
        <v/>
      </c>
      <c r="P452" s="5">
        <f>IF(ISBLANK($F452),"",VLOOKUP($C452,PLAYERS_IDS,2,FALSE)*VLOOKUP($D452,PLAYERS_IDS,2,FALSE))</f>
        <v/>
      </c>
      <c r="Q452" s="5">
        <f>IF(ISBLANK($F452), "",VLOOKUP($F452,PLAYERS_IDS,2,FALSE)*VLOOKUP($G452,PLAYERS_IDS,2,FALSE))</f>
        <v/>
      </c>
      <c r="R452" s="5">
        <f>IFERROR((P452*100000)+Q452,"")</f>
        <v/>
      </c>
    </row>
    <row r="453" ht="20.25" customHeight="1" s="106">
      <c r="A453" s="14" t="n"/>
      <c r="B453" s="15" t="n">
        <v>449</v>
      </c>
      <c r="C453" s="22" t="n"/>
      <c r="D453" s="22" t="n"/>
      <c r="E453" s="23" t="n"/>
      <c r="F453" s="22" t="n"/>
      <c r="G453" s="22" t="n"/>
      <c r="H453" s="16" t="n"/>
      <c r="I453" s="15">
        <f>IF(ISBLANK($E453)," ",IF($E453&gt;$H453,$C453,$F453))</f>
        <v/>
      </c>
      <c r="J453" s="15">
        <f>IF(ISBLANK($E453)," ",IF($E453&gt;$H453,$D453,$G453))</f>
        <v/>
      </c>
      <c r="K453" s="15" t="n"/>
      <c r="L453" s="15">
        <f>E453-H453</f>
        <v/>
      </c>
      <c r="M453" s="5">
        <f>IF(ISBLANK($E453),"",VLOOKUP($I453,PLAYERS_IDS,2,FALSE)*VLOOKUP($J453,PLAYERS_IDS,2,FALSE))</f>
        <v/>
      </c>
      <c r="N453" s="25">
        <f>IF(ISBLANK($E453)," ", COUNTIF($M$4:$M453,$M453))</f>
        <v/>
      </c>
      <c r="O453" s="25">
        <f>IF(N453 =" ", " ", IF(N453=1,15,(IF(N453=2,15,(IF(N453=3,15,15))))))</f>
        <v/>
      </c>
      <c r="P453" s="5">
        <f>IF(ISBLANK($F453),"",VLOOKUP($C453,PLAYERS_IDS,2,FALSE)*VLOOKUP($D453,PLAYERS_IDS,2,FALSE))</f>
        <v/>
      </c>
      <c r="Q453" s="5">
        <f>IF(ISBLANK($F453), "",VLOOKUP($F453,PLAYERS_IDS,2,FALSE)*VLOOKUP($G453,PLAYERS_IDS,2,FALSE))</f>
        <v/>
      </c>
      <c r="R453" s="5">
        <f>IFERROR((P453*100000)+Q453,"")</f>
        <v/>
      </c>
    </row>
    <row r="454" ht="20.25" customHeight="1" s="106">
      <c r="A454" s="14" t="n"/>
      <c r="B454" s="15" t="n">
        <v>450</v>
      </c>
      <c r="C454" s="22" t="n"/>
      <c r="D454" s="22" t="n"/>
      <c r="E454" s="23" t="n"/>
      <c r="F454" s="22" t="n"/>
      <c r="G454" s="22" t="n"/>
      <c r="H454" s="16" t="n"/>
      <c r="I454" s="15">
        <f>IF(ISBLANK($E454)," ",IF($E454&gt;$H454,$C454,$F454))</f>
        <v/>
      </c>
      <c r="J454" s="15">
        <f>IF(ISBLANK($E454)," ",IF($E454&gt;$H454,$D454,$G454))</f>
        <v/>
      </c>
      <c r="K454" s="15" t="n"/>
      <c r="L454" s="15">
        <f>E454-H454</f>
        <v/>
      </c>
      <c r="M454" s="5">
        <f>IF(ISBLANK($E454),"",VLOOKUP($I454,PLAYERS_IDS,2,FALSE)*VLOOKUP($J454,PLAYERS_IDS,2,FALSE))</f>
        <v/>
      </c>
      <c r="N454" s="25">
        <f>IF(ISBLANK($E454)," ", COUNTIF($M$4:$M454,$M454))</f>
        <v/>
      </c>
      <c r="O454" s="25">
        <f>IF(N454 =" ", " ", IF(N454=1,15,(IF(N454=2,15,(IF(N454=3,15,15))))))</f>
        <v/>
      </c>
      <c r="P454" s="5">
        <f>IF(ISBLANK($F454),"",VLOOKUP($C454,PLAYERS_IDS,2,FALSE)*VLOOKUP($D454,PLAYERS_IDS,2,FALSE))</f>
        <v/>
      </c>
      <c r="Q454" s="5">
        <f>IF(ISBLANK($F454), "",VLOOKUP($F454,PLAYERS_IDS,2,FALSE)*VLOOKUP($G454,PLAYERS_IDS,2,FALSE))</f>
        <v/>
      </c>
      <c r="R454" s="5">
        <f>IFERROR((P454*100000)+Q454,"")</f>
        <v/>
      </c>
    </row>
    <row r="455" ht="20.25" customHeight="1" s="106">
      <c r="A455" s="14" t="n"/>
      <c r="B455" s="15" t="n">
        <v>451</v>
      </c>
      <c r="C455" s="22" t="n"/>
      <c r="D455" s="22" t="n"/>
      <c r="E455" s="23" t="n"/>
      <c r="F455" s="22" t="n"/>
      <c r="G455" s="22" t="n"/>
      <c r="H455" s="16" t="n"/>
      <c r="I455" s="15">
        <f>IF(ISBLANK($E455)," ",IF($E455&gt;$H455,$C455,$F455))</f>
        <v/>
      </c>
      <c r="J455" s="15">
        <f>IF(ISBLANK($E455)," ",IF($E455&gt;$H455,$D455,$G455))</f>
        <v/>
      </c>
      <c r="K455" s="15" t="n"/>
      <c r="L455" s="15">
        <f>E455-H455</f>
        <v/>
      </c>
      <c r="M455" s="5">
        <f>IF(ISBLANK($E455),"",VLOOKUP($I455,PLAYERS_IDS,2,FALSE)*VLOOKUP($J455,PLAYERS_IDS,2,FALSE))</f>
        <v/>
      </c>
      <c r="N455" s="25">
        <f>IF(ISBLANK($E455)," ", COUNTIF($M$4:$M455,$M455))</f>
        <v/>
      </c>
      <c r="O455" s="25">
        <f>IF(N455 =" ", " ", IF(N455=1,15,(IF(N455=2,15,(IF(N455=3,15,15))))))</f>
        <v/>
      </c>
      <c r="P455" s="5">
        <f>IF(ISBLANK($F455),"",VLOOKUP($C455,PLAYERS_IDS,2,FALSE)*VLOOKUP($D455,PLAYERS_IDS,2,FALSE))</f>
        <v/>
      </c>
      <c r="Q455" s="5">
        <f>IF(ISBLANK($F455), "",VLOOKUP($F455,PLAYERS_IDS,2,FALSE)*VLOOKUP($G455,PLAYERS_IDS,2,FALSE))</f>
        <v/>
      </c>
      <c r="R455" s="5">
        <f>IFERROR((P455*100000)+Q455,"")</f>
        <v/>
      </c>
    </row>
    <row r="456" ht="20.25" customHeight="1" s="106">
      <c r="A456" s="14" t="n"/>
      <c r="B456" s="15" t="n">
        <v>452</v>
      </c>
      <c r="C456" s="22" t="n"/>
      <c r="D456" s="22" t="n"/>
      <c r="E456" s="23" t="n"/>
      <c r="F456" s="22" t="n"/>
      <c r="G456" s="22" t="n"/>
      <c r="H456" s="16" t="n"/>
      <c r="I456" s="15">
        <f>IF(ISBLANK($E456)," ",IF($E456&gt;$H456,$C456,$F456))</f>
        <v/>
      </c>
      <c r="J456" s="15">
        <f>IF(ISBLANK($E456)," ",IF($E456&gt;$H456,$D456,$G456))</f>
        <v/>
      </c>
      <c r="K456" s="15" t="n"/>
      <c r="L456" s="15">
        <f>E456-H456</f>
        <v/>
      </c>
      <c r="M456" s="5">
        <f>IF(ISBLANK($E456),"",VLOOKUP($I456,PLAYERS_IDS,2,FALSE)*VLOOKUP($J456,PLAYERS_IDS,2,FALSE))</f>
        <v/>
      </c>
      <c r="N456" s="25">
        <f>IF(ISBLANK($E456)," ", COUNTIF($M$4:$M456,$M456))</f>
        <v/>
      </c>
      <c r="O456" s="25">
        <f>IF(N456 =" ", " ", IF(N456=1,15,(IF(N456=2,15,(IF(N456=3,15,15))))))</f>
        <v/>
      </c>
      <c r="P456" s="5">
        <f>IF(ISBLANK($F456),"",VLOOKUP($C456,PLAYERS_IDS,2,FALSE)*VLOOKUP($D456,PLAYERS_IDS,2,FALSE))</f>
        <v/>
      </c>
      <c r="Q456" s="5">
        <f>IF(ISBLANK($F456), "",VLOOKUP($F456,PLAYERS_IDS,2,FALSE)*VLOOKUP($G456,PLAYERS_IDS,2,FALSE))</f>
        <v/>
      </c>
      <c r="R456" s="5">
        <f>IFERROR((P456*100000)+Q456,"")</f>
        <v/>
      </c>
    </row>
    <row r="457" ht="20.25" customHeight="1" s="106">
      <c r="A457" s="14" t="n"/>
      <c r="B457" s="15" t="n">
        <v>453</v>
      </c>
      <c r="C457" s="22" t="n"/>
      <c r="D457" s="22" t="n"/>
      <c r="E457" s="23" t="n"/>
      <c r="F457" s="22" t="n"/>
      <c r="G457" s="22" t="n"/>
      <c r="H457" s="16" t="n"/>
      <c r="I457" s="15">
        <f>IF(ISBLANK($E457)," ",IF($E457&gt;$H457,$C457,$F457))</f>
        <v/>
      </c>
      <c r="J457" s="15">
        <f>IF(ISBLANK($E457)," ",IF($E457&gt;$H457,$D457,$G457))</f>
        <v/>
      </c>
      <c r="K457" s="15" t="n"/>
      <c r="L457" s="15">
        <f>E457-H457</f>
        <v/>
      </c>
      <c r="M457" s="5">
        <f>IF(ISBLANK($E457),"",VLOOKUP($I457,PLAYERS_IDS,2,FALSE)*VLOOKUP($J457,PLAYERS_IDS,2,FALSE))</f>
        <v/>
      </c>
      <c r="N457" s="25">
        <f>IF(ISBLANK($E457)," ", COUNTIF($M$4:$M457,$M457))</f>
        <v/>
      </c>
      <c r="O457" s="25">
        <f>IF(N457 =" ", " ", IF(N457=1,15,(IF(N457=2,15,(IF(N457=3,15,15))))))</f>
        <v/>
      </c>
      <c r="P457" s="5">
        <f>IF(ISBLANK($F457),"",VLOOKUP($C457,PLAYERS_IDS,2,FALSE)*VLOOKUP($D457,PLAYERS_IDS,2,FALSE))</f>
        <v/>
      </c>
      <c r="Q457" s="5">
        <f>IF(ISBLANK($F457), "",VLOOKUP($F457,PLAYERS_IDS,2,FALSE)*VLOOKUP($G457,PLAYERS_IDS,2,FALSE))</f>
        <v/>
      </c>
      <c r="R457" s="5">
        <f>IFERROR((P457*100000)+Q457,"")</f>
        <v/>
      </c>
    </row>
    <row r="458" ht="20.25" customHeight="1" s="106">
      <c r="A458" s="14" t="n"/>
      <c r="B458" s="15" t="n">
        <v>454</v>
      </c>
      <c r="C458" s="22" t="n"/>
      <c r="D458" s="22" t="n"/>
      <c r="E458" s="23" t="n"/>
      <c r="F458" s="22" t="n"/>
      <c r="G458" s="22" t="n"/>
      <c r="H458" s="16" t="n"/>
      <c r="I458" s="15">
        <f>IF(ISBLANK($E458)," ",IF($E458&gt;$H458,$C458,$F458))</f>
        <v/>
      </c>
      <c r="J458" s="15">
        <f>IF(ISBLANK($E458)," ",IF($E458&gt;$H458,$D458,$G458))</f>
        <v/>
      </c>
      <c r="K458" s="15" t="n"/>
      <c r="L458" s="15">
        <f>E458-H458</f>
        <v/>
      </c>
      <c r="M458" s="5">
        <f>IF(ISBLANK($E458),"",VLOOKUP($I458,PLAYERS_IDS,2,FALSE)*VLOOKUP($J458,PLAYERS_IDS,2,FALSE))</f>
        <v/>
      </c>
      <c r="N458" s="25">
        <f>IF(ISBLANK($E458)," ", COUNTIF($M$4:$M458,$M458))</f>
        <v/>
      </c>
      <c r="O458" s="25">
        <f>IF(N458 =" ", " ", IF(N458=1,15,(IF(N458=2,15,(IF(N458=3,15,15))))))</f>
        <v/>
      </c>
      <c r="P458" s="5">
        <f>IF(ISBLANK($F458),"",VLOOKUP($C458,PLAYERS_IDS,2,FALSE)*VLOOKUP($D458,PLAYERS_IDS,2,FALSE))</f>
        <v/>
      </c>
      <c r="Q458" s="5">
        <f>IF(ISBLANK($F458), "",VLOOKUP($F458,PLAYERS_IDS,2,FALSE)*VLOOKUP($G458,PLAYERS_IDS,2,FALSE))</f>
        <v/>
      </c>
      <c r="R458" s="5">
        <f>IFERROR((P458*100000)+Q458,"")</f>
        <v/>
      </c>
    </row>
    <row r="459" ht="20.25" customHeight="1" s="106">
      <c r="A459" s="14" t="n"/>
      <c r="B459" s="15" t="n">
        <v>455</v>
      </c>
      <c r="C459" s="22" t="n"/>
      <c r="D459" s="22" t="n"/>
      <c r="E459" s="23" t="n"/>
      <c r="F459" s="22" t="n"/>
      <c r="G459" s="22" t="n"/>
      <c r="H459" s="16" t="n"/>
      <c r="I459" s="15">
        <f>IF(ISBLANK($E459)," ",IF($E459&gt;$H459,$C459,$F459))</f>
        <v/>
      </c>
      <c r="J459" s="15">
        <f>IF(ISBLANK($E459)," ",IF($E459&gt;$H459,$D459,$G459))</f>
        <v/>
      </c>
      <c r="K459" s="15" t="n"/>
      <c r="L459" s="15">
        <f>E459-H459</f>
        <v/>
      </c>
      <c r="M459" s="5">
        <f>IF(ISBLANK($E459),"",VLOOKUP($I459,PLAYERS_IDS,2,FALSE)*VLOOKUP($J459,PLAYERS_IDS,2,FALSE))</f>
        <v/>
      </c>
      <c r="N459" s="25">
        <f>IF(ISBLANK($E459)," ", COUNTIF($M$4:$M459,$M459))</f>
        <v/>
      </c>
      <c r="O459" s="25">
        <f>IF(N459 =" ", " ", IF(N459=1,15,(IF(N459=2,15,(IF(N459=3,15,15))))))</f>
        <v/>
      </c>
      <c r="P459" s="5">
        <f>IF(ISBLANK($F459),"",VLOOKUP($C459,PLAYERS_IDS,2,FALSE)*VLOOKUP($D459,PLAYERS_IDS,2,FALSE))</f>
        <v/>
      </c>
      <c r="Q459" s="5">
        <f>IF(ISBLANK($F459), "",VLOOKUP($F459,PLAYERS_IDS,2,FALSE)*VLOOKUP($G459,PLAYERS_IDS,2,FALSE))</f>
        <v/>
      </c>
      <c r="R459" s="5">
        <f>IFERROR((P459*100000)+Q459,"")</f>
        <v/>
      </c>
    </row>
    <row r="460" ht="20.25" customHeight="1" s="106">
      <c r="A460" s="14" t="n"/>
      <c r="B460" s="15" t="n">
        <v>456</v>
      </c>
      <c r="C460" s="22" t="n"/>
      <c r="D460" s="22" t="n"/>
      <c r="E460" s="23" t="n"/>
      <c r="F460" s="22" t="n"/>
      <c r="G460" s="22" t="n"/>
      <c r="H460" s="16" t="n"/>
      <c r="I460" s="15">
        <f>IF(ISBLANK($E460)," ",IF($E460&gt;$H460,$C460,$F460))</f>
        <v/>
      </c>
      <c r="J460" s="15">
        <f>IF(ISBLANK($E460)," ",IF($E460&gt;$H460,$D460,$G460))</f>
        <v/>
      </c>
      <c r="K460" s="15" t="n"/>
      <c r="L460" s="15">
        <f>E460-H460</f>
        <v/>
      </c>
      <c r="M460" s="5">
        <f>IF(ISBLANK($E460),"",VLOOKUP($I460,PLAYERS_IDS,2,FALSE)*VLOOKUP($J460,PLAYERS_IDS,2,FALSE))</f>
        <v/>
      </c>
      <c r="N460" s="25">
        <f>IF(ISBLANK($E460)," ", COUNTIF($M$4:$M460,$M460))</f>
        <v/>
      </c>
      <c r="O460" s="25">
        <f>IF(N460 =" ", " ", IF(N460=1,15,(IF(N460=2,15,(IF(N460=3,15,15))))))</f>
        <v/>
      </c>
      <c r="P460" s="5">
        <f>IF(ISBLANK($F460),"",VLOOKUP($C460,PLAYERS_IDS,2,FALSE)*VLOOKUP($D460,PLAYERS_IDS,2,FALSE))</f>
        <v/>
      </c>
      <c r="Q460" s="5">
        <f>IF(ISBLANK($F460), "",VLOOKUP($F460,PLAYERS_IDS,2,FALSE)*VLOOKUP($G460,PLAYERS_IDS,2,FALSE))</f>
        <v/>
      </c>
      <c r="R460" s="5">
        <f>IFERROR((P460*100000)+Q460,"")</f>
        <v/>
      </c>
    </row>
    <row r="461" ht="20.25" customHeight="1" s="106">
      <c r="A461" s="14" t="n"/>
      <c r="B461" s="15" t="n">
        <v>457</v>
      </c>
      <c r="C461" s="22" t="n"/>
      <c r="D461" s="22" t="n"/>
      <c r="E461" s="23" t="n"/>
      <c r="F461" s="22" t="n"/>
      <c r="G461" s="22" t="n"/>
      <c r="H461" s="16" t="n"/>
      <c r="I461" s="15">
        <f>IF(ISBLANK($E461)," ",IF($E461&gt;$H461,$C461,$F461))</f>
        <v/>
      </c>
      <c r="J461" s="15">
        <f>IF(ISBLANK($E461)," ",IF($E461&gt;$H461,$D461,$G461))</f>
        <v/>
      </c>
      <c r="K461" s="15" t="n"/>
      <c r="L461" s="15">
        <f>E461-H461</f>
        <v/>
      </c>
      <c r="M461" s="5">
        <f>IF(ISBLANK($E461),"",VLOOKUP($I461,PLAYERS_IDS,2,FALSE)*VLOOKUP($J461,PLAYERS_IDS,2,FALSE))</f>
        <v/>
      </c>
      <c r="N461" s="25">
        <f>IF(ISBLANK($E461)," ", COUNTIF($M$4:$M461,$M461))</f>
        <v/>
      </c>
      <c r="O461" s="25">
        <f>IF(N461 =" ", " ", IF(N461=1,15,(IF(N461=2,15,(IF(N461=3,15,15))))))</f>
        <v/>
      </c>
      <c r="P461" s="5">
        <f>IF(ISBLANK($F461),"",VLOOKUP($C461,PLAYERS_IDS,2,FALSE)*VLOOKUP($D461,PLAYERS_IDS,2,FALSE))</f>
        <v/>
      </c>
      <c r="Q461" s="5">
        <f>IF(ISBLANK($F461), "",VLOOKUP($F461,PLAYERS_IDS,2,FALSE)*VLOOKUP($G461,PLAYERS_IDS,2,FALSE))</f>
        <v/>
      </c>
      <c r="R461" s="5">
        <f>IFERROR((P461*100000)+Q461,"")</f>
        <v/>
      </c>
    </row>
    <row r="462" ht="20.25" customHeight="1" s="106">
      <c r="A462" s="14" t="n"/>
      <c r="B462" s="15" t="n">
        <v>458</v>
      </c>
      <c r="C462" s="22" t="n"/>
      <c r="D462" s="22" t="n"/>
      <c r="E462" s="23" t="n"/>
      <c r="F462" s="22" t="n"/>
      <c r="G462" s="22" t="n"/>
      <c r="H462" s="16" t="n"/>
      <c r="I462" s="15">
        <f>IF(ISBLANK($E462)," ",IF($E462&gt;$H462,$C462,$F462))</f>
        <v/>
      </c>
      <c r="J462" s="15">
        <f>IF(ISBLANK($E462)," ",IF($E462&gt;$H462,$D462,$G462))</f>
        <v/>
      </c>
      <c r="K462" s="15" t="n"/>
      <c r="L462" s="15">
        <f>E462-H462</f>
        <v/>
      </c>
      <c r="M462" s="5">
        <f>IF(ISBLANK($E462),"",VLOOKUP($I462,PLAYERS_IDS,2,FALSE)*VLOOKUP($J462,PLAYERS_IDS,2,FALSE))</f>
        <v/>
      </c>
      <c r="N462" s="25">
        <f>IF(ISBLANK($E462)," ", COUNTIF($M$4:$M462,$M462))</f>
        <v/>
      </c>
      <c r="O462" s="25">
        <f>IF(N462 =" ", " ", IF(N462=1,15,(IF(N462=2,15,(IF(N462=3,15,15))))))</f>
        <v/>
      </c>
      <c r="P462" s="5">
        <f>IF(ISBLANK($F462),"",VLOOKUP($C462,PLAYERS_IDS,2,FALSE)*VLOOKUP($D462,PLAYERS_IDS,2,FALSE))</f>
        <v/>
      </c>
      <c r="Q462" s="5">
        <f>IF(ISBLANK($F462), "",VLOOKUP($F462,PLAYERS_IDS,2,FALSE)*VLOOKUP($G462,PLAYERS_IDS,2,FALSE))</f>
        <v/>
      </c>
      <c r="R462" s="5">
        <f>IFERROR((P462*100000)+Q462,"")</f>
        <v/>
      </c>
    </row>
    <row r="463" ht="20.25" customHeight="1" s="106">
      <c r="A463" s="14" t="n"/>
      <c r="B463" s="15" t="n">
        <v>459</v>
      </c>
      <c r="C463" s="22" t="n"/>
      <c r="D463" s="22" t="n"/>
      <c r="E463" s="23" t="n"/>
      <c r="F463" s="22" t="n"/>
      <c r="G463" s="22" t="n"/>
      <c r="H463" s="16" t="n"/>
      <c r="I463" s="15">
        <f>IF(ISBLANK($E463)," ",IF($E463&gt;$H463,$C463,$F463))</f>
        <v/>
      </c>
      <c r="J463" s="15">
        <f>IF(ISBLANK($E463)," ",IF($E463&gt;$H463,$D463,$G463))</f>
        <v/>
      </c>
      <c r="K463" s="15" t="n"/>
      <c r="L463" s="15">
        <f>E463-H463</f>
        <v/>
      </c>
      <c r="M463" s="5">
        <f>IF(ISBLANK($E463),"",VLOOKUP($I463,PLAYERS_IDS,2,FALSE)*VLOOKUP($J463,PLAYERS_IDS,2,FALSE))</f>
        <v/>
      </c>
      <c r="N463" s="25">
        <f>IF(ISBLANK($E463)," ", COUNTIF($M$4:$M463,$M463))</f>
        <v/>
      </c>
      <c r="O463" s="25">
        <f>IF(N463 =" ", " ", IF(N463=1,15,(IF(N463=2,15,(IF(N463=3,15,15))))))</f>
        <v/>
      </c>
      <c r="P463" s="5">
        <f>IF(ISBLANK($F463),"",VLOOKUP($C463,PLAYERS_IDS,2,FALSE)*VLOOKUP($D463,PLAYERS_IDS,2,FALSE))</f>
        <v/>
      </c>
      <c r="Q463" s="5">
        <f>IF(ISBLANK($F463), "",VLOOKUP($F463,PLAYERS_IDS,2,FALSE)*VLOOKUP($G463,PLAYERS_IDS,2,FALSE))</f>
        <v/>
      </c>
      <c r="R463" s="5">
        <f>IFERROR((P463*100000)+Q463,"")</f>
        <v/>
      </c>
    </row>
    <row r="464" ht="20.25" customHeight="1" s="106">
      <c r="A464" s="14" t="n"/>
      <c r="B464" s="15" t="n">
        <v>460</v>
      </c>
      <c r="C464" s="22" t="n"/>
      <c r="D464" s="22" t="n"/>
      <c r="E464" s="23" t="n"/>
      <c r="F464" s="22" t="n"/>
      <c r="G464" s="22" t="n"/>
      <c r="H464" s="16" t="n"/>
      <c r="I464" s="15">
        <f>IF(ISBLANK($E464)," ",IF($E464&gt;$H464,$C464,$F464))</f>
        <v/>
      </c>
      <c r="J464" s="15">
        <f>IF(ISBLANK($E464)," ",IF($E464&gt;$H464,$D464,$G464))</f>
        <v/>
      </c>
      <c r="K464" s="15" t="n"/>
      <c r="L464" s="15">
        <f>E464-H464</f>
        <v/>
      </c>
      <c r="M464" s="5">
        <f>IF(ISBLANK($E464),"",VLOOKUP($I464,PLAYERS_IDS,2,FALSE)*VLOOKUP($J464,PLAYERS_IDS,2,FALSE))</f>
        <v/>
      </c>
      <c r="N464" s="25">
        <f>IF(ISBLANK($E464)," ", COUNTIF($M$4:$M464,$M464))</f>
        <v/>
      </c>
      <c r="O464" s="25">
        <f>IF(N464 =" ", " ", IF(N464=1,15,(IF(N464=2,15,(IF(N464=3,15,15))))))</f>
        <v/>
      </c>
      <c r="P464" s="5">
        <f>IF(ISBLANK($F464),"",VLOOKUP($C464,PLAYERS_IDS,2,FALSE)*VLOOKUP($D464,PLAYERS_IDS,2,FALSE))</f>
        <v/>
      </c>
      <c r="Q464" s="5">
        <f>IF(ISBLANK($F464), "",VLOOKUP($F464,PLAYERS_IDS,2,FALSE)*VLOOKUP($G464,PLAYERS_IDS,2,FALSE))</f>
        <v/>
      </c>
      <c r="R464" s="5">
        <f>IFERROR((P464*100000)+Q464,"")</f>
        <v/>
      </c>
    </row>
    <row r="465" ht="20.25" customHeight="1" s="106">
      <c r="A465" s="14" t="n"/>
      <c r="B465" s="15" t="n">
        <v>461</v>
      </c>
      <c r="C465" s="22" t="n"/>
      <c r="D465" s="22" t="n"/>
      <c r="E465" s="23" t="n"/>
      <c r="F465" s="22" t="n"/>
      <c r="G465" s="22" t="n"/>
      <c r="H465" s="16" t="n"/>
      <c r="I465" s="15">
        <f>IF(ISBLANK($E465)," ",IF($E465&gt;$H465,$C465,$F465))</f>
        <v/>
      </c>
      <c r="J465" s="15">
        <f>IF(ISBLANK($E465)," ",IF($E465&gt;$H465,$D465,$G465))</f>
        <v/>
      </c>
      <c r="K465" s="15" t="n"/>
      <c r="L465" s="15">
        <f>E465-H465</f>
        <v/>
      </c>
      <c r="M465" s="5">
        <f>IF(ISBLANK($E465),"",VLOOKUP($I465,PLAYERS_IDS,2,FALSE)*VLOOKUP($J465,PLAYERS_IDS,2,FALSE))</f>
        <v/>
      </c>
      <c r="N465" s="25">
        <f>IF(ISBLANK($E465)," ", COUNTIF($M$4:$M465,$M465))</f>
        <v/>
      </c>
      <c r="O465" s="25">
        <f>IF(N465 =" ", " ", IF(N465=1,15,(IF(N465=2,15,(IF(N465=3,15,15))))))</f>
        <v/>
      </c>
      <c r="P465" s="5">
        <f>IF(ISBLANK($F465),"",VLOOKUP($C465,PLAYERS_IDS,2,FALSE)*VLOOKUP($D465,PLAYERS_IDS,2,FALSE))</f>
        <v/>
      </c>
      <c r="Q465" s="5">
        <f>IF(ISBLANK($F465), "",VLOOKUP($F465,PLAYERS_IDS,2,FALSE)*VLOOKUP($G465,PLAYERS_IDS,2,FALSE))</f>
        <v/>
      </c>
      <c r="R465" s="5">
        <f>IFERROR((P465*100000)+Q465,"")</f>
        <v/>
      </c>
    </row>
    <row r="466" ht="20.25" customHeight="1" s="106">
      <c r="A466" s="14" t="n"/>
      <c r="B466" s="15" t="n">
        <v>462</v>
      </c>
      <c r="C466" s="22" t="n"/>
      <c r="D466" s="22" t="n"/>
      <c r="E466" s="23" t="n"/>
      <c r="F466" s="22" t="n"/>
      <c r="G466" s="22" t="n"/>
      <c r="H466" s="16" t="n"/>
      <c r="I466" s="15">
        <f>IF(ISBLANK($E466)," ",IF($E466&gt;$H466,$C466,$F466))</f>
        <v/>
      </c>
      <c r="J466" s="15">
        <f>IF(ISBLANK($E466)," ",IF($E466&gt;$H466,$D466,$G466))</f>
        <v/>
      </c>
      <c r="K466" s="15" t="n"/>
      <c r="L466" s="15">
        <f>E466-H466</f>
        <v/>
      </c>
      <c r="M466" s="5">
        <f>IF(ISBLANK($E466),"",VLOOKUP($I466,PLAYERS_IDS,2,FALSE)*VLOOKUP($J466,PLAYERS_IDS,2,FALSE))</f>
        <v/>
      </c>
      <c r="N466" s="25">
        <f>IF(ISBLANK($E466)," ", COUNTIF($M$4:$M466,$M466))</f>
        <v/>
      </c>
      <c r="O466" s="25">
        <f>IF(N466 =" ", " ", IF(N466=1,15,(IF(N466=2,15,(IF(N466=3,15,15))))))</f>
        <v/>
      </c>
      <c r="P466" s="5">
        <f>IF(ISBLANK($F466),"",VLOOKUP($C466,PLAYERS_IDS,2,FALSE)*VLOOKUP($D466,PLAYERS_IDS,2,FALSE))</f>
        <v/>
      </c>
      <c r="Q466" s="5">
        <f>IF(ISBLANK($F466), "",VLOOKUP($F466,PLAYERS_IDS,2,FALSE)*VLOOKUP($G466,PLAYERS_IDS,2,FALSE))</f>
        <v/>
      </c>
      <c r="R466" s="5">
        <f>IFERROR((P466*100000)+Q466,"")</f>
        <v/>
      </c>
    </row>
    <row r="467" ht="20.25" customHeight="1" s="106">
      <c r="A467" s="14" t="n"/>
      <c r="B467" s="15" t="n">
        <v>463</v>
      </c>
      <c r="C467" s="22" t="n"/>
      <c r="D467" s="22" t="n"/>
      <c r="E467" s="23" t="n"/>
      <c r="F467" s="22" t="n"/>
      <c r="G467" s="22" t="n"/>
      <c r="H467" s="16" t="n"/>
      <c r="I467" s="15">
        <f>IF(ISBLANK($E467)," ",IF($E467&gt;$H467,$C467,$F467))</f>
        <v/>
      </c>
      <c r="J467" s="15">
        <f>IF(ISBLANK($E467)," ",IF($E467&gt;$H467,$D467,$G467))</f>
        <v/>
      </c>
      <c r="K467" s="15" t="n"/>
      <c r="L467" s="15">
        <f>E467-H467</f>
        <v/>
      </c>
      <c r="M467" s="5">
        <f>IF(ISBLANK($E467),"",VLOOKUP($I467,PLAYERS_IDS,2,FALSE)*VLOOKUP($J467,PLAYERS_IDS,2,FALSE))</f>
        <v/>
      </c>
      <c r="N467" s="25">
        <f>IF(ISBLANK($E467)," ", COUNTIF($M$4:$M467,$M467))</f>
        <v/>
      </c>
      <c r="O467" s="25">
        <f>IF(N467 =" ", " ", IF(N467=1,15,(IF(N467=2,15,(IF(N467=3,15,15))))))</f>
        <v/>
      </c>
      <c r="P467" s="5">
        <f>IF(ISBLANK($F467),"",VLOOKUP($C467,PLAYERS_IDS,2,FALSE)*VLOOKUP($D467,PLAYERS_IDS,2,FALSE))</f>
        <v/>
      </c>
      <c r="Q467" s="5">
        <f>IF(ISBLANK($F467), "",VLOOKUP($F467,PLAYERS_IDS,2,FALSE)*VLOOKUP($G467,PLAYERS_IDS,2,FALSE))</f>
        <v/>
      </c>
      <c r="R467" s="5">
        <f>IFERROR((P467*100000)+Q467,"")</f>
        <v/>
      </c>
    </row>
    <row r="468" ht="20.25" customHeight="1" s="106">
      <c r="A468" s="14" t="n"/>
      <c r="B468" s="15" t="n">
        <v>464</v>
      </c>
      <c r="C468" s="22" t="n"/>
      <c r="D468" s="22" t="n"/>
      <c r="E468" s="23" t="n"/>
      <c r="F468" s="22" t="n"/>
      <c r="G468" s="22" t="n"/>
      <c r="H468" s="16" t="n"/>
      <c r="I468" s="15">
        <f>IF(ISBLANK($E468)," ",IF($E468&gt;$H468,$C468,$F468))</f>
        <v/>
      </c>
      <c r="J468" s="15">
        <f>IF(ISBLANK($E468)," ",IF($E468&gt;$H468,$D468,$G468))</f>
        <v/>
      </c>
      <c r="K468" s="15" t="n"/>
      <c r="L468" s="15">
        <f>E468-H468</f>
        <v/>
      </c>
      <c r="M468" s="5">
        <f>IF(ISBLANK($E468),"",VLOOKUP($I468,PLAYERS_IDS,2,FALSE)*VLOOKUP($J468,PLAYERS_IDS,2,FALSE))</f>
        <v/>
      </c>
      <c r="N468" s="25">
        <f>IF(ISBLANK($E468)," ", COUNTIF($M$4:$M468,$M468))</f>
        <v/>
      </c>
      <c r="O468" s="25">
        <f>IF(N468 =" ", " ", IF(N468=1,15,(IF(N468=2,15,(IF(N468=3,15,15))))))</f>
        <v/>
      </c>
      <c r="P468" s="5">
        <f>IF(ISBLANK($F468),"",VLOOKUP($C468,PLAYERS_IDS,2,FALSE)*VLOOKUP($D468,PLAYERS_IDS,2,FALSE))</f>
        <v/>
      </c>
      <c r="Q468" s="5">
        <f>IF(ISBLANK($F468), "",VLOOKUP($F468,PLAYERS_IDS,2,FALSE)*VLOOKUP($G468,PLAYERS_IDS,2,FALSE))</f>
        <v/>
      </c>
      <c r="R468" s="5">
        <f>IFERROR((P468*100000)+Q468,"")</f>
        <v/>
      </c>
    </row>
    <row r="469" ht="20.25" customHeight="1" s="106">
      <c r="A469" s="14" t="n"/>
      <c r="B469" s="15" t="n">
        <v>465</v>
      </c>
      <c r="C469" s="22" t="n"/>
      <c r="D469" s="22" t="n"/>
      <c r="E469" s="23" t="n"/>
      <c r="F469" s="22" t="n"/>
      <c r="G469" s="22" t="n"/>
      <c r="H469" s="16" t="n"/>
      <c r="I469" s="15">
        <f>IF(ISBLANK($E469)," ",IF($E469&gt;$H469,$C469,$F469))</f>
        <v/>
      </c>
      <c r="J469" s="15">
        <f>IF(ISBLANK($E469)," ",IF($E469&gt;$H469,$D469,$G469))</f>
        <v/>
      </c>
      <c r="K469" s="15" t="n"/>
      <c r="L469" s="15">
        <f>E469-H469</f>
        <v/>
      </c>
      <c r="M469" s="5">
        <f>IF(ISBLANK($E469),"",VLOOKUP($I469,PLAYERS_IDS,2,FALSE)*VLOOKUP($J469,PLAYERS_IDS,2,FALSE))</f>
        <v/>
      </c>
      <c r="N469" s="25">
        <f>IF(ISBLANK($E469)," ", COUNTIF($M$4:$M469,$M469))</f>
        <v/>
      </c>
      <c r="O469" s="25">
        <f>IF(N469 =" ", " ", IF(N469=1,15,(IF(N469=2,15,(IF(N469=3,15,15))))))</f>
        <v/>
      </c>
      <c r="P469" s="5">
        <f>IF(ISBLANK($F469),"",VLOOKUP($C469,PLAYERS_IDS,2,FALSE)*VLOOKUP($D469,PLAYERS_IDS,2,FALSE))</f>
        <v/>
      </c>
      <c r="Q469" s="5">
        <f>IF(ISBLANK($F469), "",VLOOKUP($F469,PLAYERS_IDS,2,FALSE)*VLOOKUP($G469,PLAYERS_IDS,2,FALSE))</f>
        <v/>
      </c>
      <c r="R469" s="5">
        <f>IFERROR((P469*100000)+Q469,"")</f>
        <v/>
      </c>
    </row>
    <row r="470" ht="20.25" customHeight="1" s="106">
      <c r="A470" s="14" t="n"/>
      <c r="B470" s="15" t="n">
        <v>466</v>
      </c>
      <c r="C470" s="22" t="n"/>
      <c r="D470" s="22" t="n"/>
      <c r="E470" s="23" t="n"/>
      <c r="F470" s="22" t="n"/>
      <c r="G470" s="22" t="n"/>
      <c r="H470" s="16" t="n"/>
      <c r="I470" s="15">
        <f>IF(ISBLANK($E470)," ",IF($E470&gt;$H470,$C470,$F470))</f>
        <v/>
      </c>
      <c r="J470" s="15">
        <f>IF(ISBLANK($E470)," ",IF($E470&gt;$H470,$D470,$G470))</f>
        <v/>
      </c>
      <c r="K470" s="15" t="n"/>
      <c r="L470" s="15">
        <f>E470-H470</f>
        <v/>
      </c>
      <c r="M470" s="5">
        <f>IF(ISBLANK($E470),"",VLOOKUP($I470,PLAYERS_IDS,2,FALSE)*VLOOKUP($J470,PLAYERS_IDS,2,FALSE))</f>
        <v/>
      </c>
      <c r="N470" s="25">
        <f>IF(ISBLANK($E470)," ", COUNTIF($M$4:$M470,$M470))</f>
        <v/>
      </c>
      <c r="O470" s="25">
        <f>IF(N470 =" ", " ", IF(N470=1,15,(IF(N470=2,15,(IF(N470=3,15,15))))))</f>
        <v/>
      </c>
      <c r="P470" s="5">
        <f>IF(ISBLANK($F470),"",VLOOKUP($C470,PLAYERS_IDS,2,FALSE)*VLOOKUP($D470,PLAYERS_IDS,2,FALSE))</f>
        <v/>
      </c>
      <c r="Q470" s="5">
        <f>IF(ISBLANK($F470), "",VLOOKUP($F470,PLAYERS_IDS,2,FALSE)*VLOOKUP($G470,PLAYERS_IDS,2,FALSE))</f>
        <v/>
      </c>
      <c r="R470" s="5">
        <f>IFERROR((P470*100000)+Q470,"")</f>
        <v/>
      </c>
    </row>
    <row r="471" ht="20.25" customHeight="1" s="106">
      <c r="A471" s="14" t="n"/>
      <c r="B471" s="15" t="n">
        <v>467</v>
      </c>
      <c r="C471" s="22" t="n"/>
      <c r="D471" s="22" t="n"/>
      <c r="E471" s="23" t="n"/>
      <c r="F471" s="22" t="n"/>
      <c r="G471" s="22" t="n"/>
      <c r="H471" s="16" t="n"/>
      <c r="I471" s="15">
        <f>IF(ISBLANK($E471)," ",IF($E471&gt;$H471,$C471,$F471))</f>
        <v/>
      </c>
      <c r="J471" s="15">
        <f>IF(ISBLANK($E471)," ",IF($E471&gt;$H471,$D471,$G471))</f>
        <v/>
      </c>
      <c r="K471" s="15" t="n"/>
      <c r="L471" s="15">
        <f>E471-H471</f>
        <v/>
      </c>
      <c r="M471" s="5">
        <f>IF(ISBLANK($E471),"",VLOOKUP($I471,PLAYERS_IDS,2,FALSE)*VLOOKUP($J471,PLAYERS_IDS,2,FALSE))</f>
        <v/>
      </c>
      <c r="N471" s="25">
        <f>IF(ISBLANK($E471)," ", COUNTIF($M$4:$M471,$M471))</f>
        <v/>
      </c>
      <c r="O471" s="25">
        <f>IF(N471 =" ", " ", IF(N471=1,15,(IF(N471=2,15,(IF(N471=3,15,15))))))</f>
        <v/>
      </c>
      <c r="P471" s="5">
        <f>IF(ISBLANK($F471),"",VLOOKUP($C471,PLAYERS_IDS,2,FALSE)*VLOOKUP($D471,PLAYERS_IDS,2,FALSE))</f>
        <v/>
      </c>
      <c r="Q471" s="5">
        <f>IF(ISBLANK($F471), "",VLOOKUP($F471,PLAYERS_IDS,2,FALSE)*VLOOKUP($G471,PLAYERS_IDS,2,FALSE))</f>
        <v/>
      </c>
      <c r="R471" s="5">
        <f>IFERROR((P471*100000)+Q471,"")</f>
        <v/>
      </c>
    </row>
    <row r="472" ht="20.25" customHeight="1" s="106">
      <c r="A472" s="14" t="n"/>
      <c r="B472" s="15" t="n">
        <v>468</v>
      </c>
      <c r="C472" s="22" t="n"/>
      <c r="D472" s="22" t="n"/>
      <c r="E472" s="23" t="n"/>
      <c r="F472" s="22" t="n"/>
      <c r="G472" s="22" t="n"/>
      <c r="H472" s="16" t="n"/>
      <c r="I472" s="15">
        <f>IF(ISBLANK($E472)," ",IF($E472&gt;$H472,$C472,$F472))</f>
        <v/>
      </c>
      <c r="J472" s="15">
        <f>IF(ISBLANK($E472)," ",IF($E472&gt;$H472,$D472,$G472))</f>
        <v/>
      </c>
      <c r="K472" s="15" t="n"/>
      <c r="L472" s="15">
        <f>E472-H472</f>
        <v/>
      </c>
      <c r="M472" s="5">
        <f>IF(ISBLANK($E472),"",VLOOKUP($I472,PLAYERS_IDS,2,FALSE)*VLOOKUP($J472,PLAYERS_IDS,2,FALSE))</f>
        <v/>
      </c>
      <c r="N472" s="25">
        <f>IF(ISBLANK($E472)," ", COUNTIF($M$4:$M472,$M472))</f>
        <v/>
      </c>
      <c r="O472" s="25">
        <f>IF(N472 =" ", " ", IF(N472=1,15,(IF(N472=2,15,(IF(N472=3,15,15))))))</f>
        <v/>
      </c>
      <c r="P472" s="5">
        <f>IF(ISBLANK($F472),"",VLOOKUP($C472,PLAYERS_IDS,2,FALSE)*VLOOKUP($D472,PLAYERS_IDS,2,FALSE))</f>
        <v/>
      </c>
      <c r="Q472" s="5">
        <f>IF(ISBLANK($F472), "",VLOOKUP($F472,PLAYERS_IDS,2,FALSE)*VLOOKUP($G472,PLAYERS_IDS,2,FALSE))</f>
        <v/>
      </c>
      <c r="R472" s="5">
        <f>IFERROR((P472*100000)+Q472,"")</f>
        <v/>
      </c>
    </row>
    <row r="473" ht="20.25" customHeight="1" s="106">
      <c r="A473" s="14" t="n"/>
      <c r="B473" s="15" t="n">
        <v>469</v>
      </c>
      <c r="C473" s="22" t="n"/>
      <c r="D473" s="22" t="n"/>
      <c r="E473" s="23" t="n"/>
      <c r="F473" s="22" t="n"/>
      <c r="G473" s="22" t="n"/>
      <c r="H473" s="16" t="n"/>
      <c r="I473" s="15">
        <f>IF(ISBLANK($E473)," ",IF($E473&gt;$H473,$C473,$F473))</f>
        <v/>
      </c>
      <c r="J473" s="15">
        <f>IF(ISBLANK($E473)," ",IF($E473&gt;$H473,$D473,$G473))</f>
        <v/>
      </c>
      <c r="K473" s="15" t="n"/>
      <c r="L473" s="15">
        <f>E473-H473</f>
        <v/>
      </c>
      <c r="M473" s="5">
        <f>IF(ISBLANK($E473),"",VLOOKUP($I473,PLAYERS_IDS,2,FALSE)*VLOOKUP($J473,PLAYERS_IDS,2,FALSE))</f>
        <v/>
      </c>
      <c r="N473" s="25">
        <f>IF(ISBLANK($E473)," ", COUNTIF($M$4:$M473,$M473))</f>
        <v/>
      </c>
      <c r="O473" s="25">
        <f>IF(N473 =" ", " ", IF(N473=1,15,(IF(N473=2,15,(IF(N473=3,15,15))))))</f>
        <v/>
      </c>
      <c r="P473" s="5">
        <f>IF(ISBLANK($F473),"",VLOOKUP($C473,PLAYERS_IDS,2,FALSE)*VLOOKUP($D473,PLAYERS_IDS,2,FALSE))</f>
        <v/>
      </c>
      <c r="Q473" s="5">
        <f>IF(ISBLANK($F473), "",VLOOKUP($F473,PLAYERS_IDS,2,FALSE)*VLOOKUP($G473,PLAYERS_IDS,2,FALSE))</f>
        <v/>
      </c>
      <c r="R473" s="5">
        <f>IFERROR((P473*100000)+Q473,"")</f>
        <v/>
      </c>
    </row>
    <row r="474" ht="20.25" customHeight="1" s="106">
      <c r="A474" s="14" t="n"/>
      <c r="B474" s="15" t="n">
        <v>470</v>
      </c>
      <c r="C474" s="22" t="n"/>
      <c r="D474" s="22" t="n"/>
      <c r="E474" s="23" t="n"/>
      <c r="F474" s="22" t="n"/>
      <c r="G474" s="22" t="n"/>
      <c r="H474" s="16" t="n"/>
      <c r="I474" s="15">
        <f>IF(ISBLANK($E474)," ",IF($E474&gt;$H474,$C474,$F474))</f>
        <v/>
      </c>
      <c r="J474" s="15">
        <f>IF(ISBLANK($E474)," ",IF($E474&gt;$H474,$D474,$G474))</f>
        <v/>
      </c>
      <c r="K474" s="15" t="n"/>
      <c r="L474" s="15">
        <f>E474-H474</f>
        <v/>
      </c>
      <c r="M474" s="5">
        <f>IF(ISBLANK($E474),"",VLOOKUP($I474,PLAYERS_IDS,2,FALSE)*VLOOKUP($J474,PLAYERS_IDS,2,FALSE))</f>
        <v/>
      </c>
      <c r="N474" s="25">
        <f>IF(ISBLANK($E474)," ", COUNTIF($M$4:$M474,$M474))</f>
        <v/>
      </c>
      <c r="O474" s="25">
        <f>IF(N474 =" ", " ", IF(N474=1,15,(IF(N474=2,15,(IF(N474=3,15,15))))))</f>
        <v/>
      </c>
      <c r="P474" s="5">
        <f>IF(ISBLANK($F474),"",VLOOKUP($C474,PLAYERS_IDS,2,FALSE)*VLOOKUP($D474,PLAYERS_IDS,2,FALSE))</f>
        <v/>
      </c>
      <c r="Q474" s="5">
        <f>IF(ISBLANK($F474), "",VLOOKUP($F474,PLAYERS_IDS,2,FALSE)*VLOOKUP($G474,PLAYERS_IDS,2,FALSE))</f>
        <v/>
      </c>
      <c r="R474" s="5">
        <f>IFERROR((P474*100000)+Q474,"")</f>
        <v/>
      </c>
    </row>
    <row r="475" ht="20.25" customHeight="1" s="106">
      <c r="A475" s="14" t="n"/>
      <c r="B475" s="15" t="n">
        <v>471</v>
      </c>
      <c r="C475" s="22" t="n"/>
      <c r="D475" s="22" t="n"/>
      <c r="E475" s="23" t="n"/>
      <c r="F475" s="22" t="n"/>
      <c r="G475" s="22" t="n"/>
      <c r="H475" s="16" t="n"/>
      <c r="I475" s="15">
        <f>IF(ISBLANK($E475)," ",IF($E475&gt;$H475,$C475,$F475))</f>
        <v/>
      </c>
      <c r="J475" s="15">
        <f>IF(ISBLANK($E475)," ",IF($E475&gt;$H475,$D475,$G475))</f>
        <v/>
      </c>
      <c r="K475" s="15" t="n"/>
      <c r="L475" s="15">
        <f>E475-H475</f>
        <v/>
      </c>
      <c r="M475" s="5">
        <f>IF(ISBLANK($E475),"",VLOOKUP($I475,PLAYERS_IDS,2,FALSE)*VLOOKUP($J475,PLAYERS_IDS,2,FALSE))</f>
        <v/>
      </c>
      <c r="N475" s="25">
        <f>IF(ISBLANK($E475)," ", COUNTIF($M$4:$M475,$M475))</f>
        <v/>
      </c>
      <c r="O475" s="25">
        <f>IF(N475 =" ", " ", IF(N475=1,15,(IF(N475=2,15,(IF(N475=3,15,15))))))</f>
        <v/>
      </c>
      <c r="P475" s="5">
        <f>IF(ISBLANK($F475),"",VLOOKUP($C475,PLAYERS_IDS,2,FALSE)*VLOOKUP($D475,PLAYERS_IDS,2,FALSE))</f>
        <v/>
      </c>
      <c r="Q475" s="5">
        <f>IF(ISBLANK($F475), "",VLOOKUP($F475,PLAYERS_IDS,2,FALSE)*VLOOKUP($G475,PLAYERS_IDS,2,FALSE))</f>
        <v/>
      </c>
      <c r="R475" s="5">
        <f>IFERROR((P475*100000)+Q475,"")</f>
        <v/>
      </c>
    </row>
    <row r="476" ht="20.25" customHeight="1" s="106">
      <c r="A476" s="14" t="n"/>
      <c r="B476" s="15" t="n">
        <v>472</v>
      </c>
      <c r="C476" s="22" t="n"/>
      <c r="D476" s="22" t="n"/>
      <c r="E476" s="23" t="n"/>
      <c r="F476" s="22" t="n"/>
      <c r="G476" s="22" t="n"/>
      <c r="H476" s="16" t="n"/>
      <c r="I476" s="15">
        <f>IF(ISBLANK($E476)," ",IF($E476&gt;$H476,$C476,$F476))</f>
        <v/>
      </c>
      <c r="J476" s="15">
        <f>IF(ISBLANK($E476)," ",IF($E476&gt;$H476,$D476,$G476))</f>
        <v/>
      </c>
      <c r="K476" s="15" t="n"/>
      <c r="L476" s="15">
        <f>E476-H476</f>
        <v/>
      </c>
      <c r="M476" s="5">
        <f>IF(ISBLANK($E476),"",VLOOKUP($I476,PLAYERS_IDS,2,FALSE)*VLOOKUP($J476,PLAYERS_IDS,2,FALSE))</f>
        <v/>
      </c>
      <c r="N476" s="25">
        <f>IF(ISBLANK($E476)," ", COUNTIF($M$4:$M476,$M476))</f>
        <v/>
      </c>
      <c r="O476" s="25">
        <f>IF(N476 =" ", " ", IF(N476=1,15,(IF(N476=2,15,(IF(N476=3,15,15))))))</f>
        <v/>
      </c>
      <c r="P476" s="5">
        <f>IF(ISBLANK($F476),"",VLOOKUP($C476,PLAYERS_IDS,2,FALSE)*VLOOKUP($D476,PLAYERS_IDS,2,FALSE))</f>
        <v/>
      </c>
      <c r="Q476" s="5">
        <f>IF(ISBLANK($F476), "",VLOOKUP($F476,PLAYERS_IDS,2,FALSE)*VLOOKUP($G476,PLAYERS_IDS,2,FALSE))</f>
        <v/>
      </c>
      <c r="R476" s="5">
        <f>IFERROR((P476*100000)+Q476,"")</f>
        <v/>
      </c>
    </row>
    <row r="477" ht="20.25" customHeight="1" s="106">
      <c r="A477" s="14" t="n"/>
      <c r="B477" s="15" t="n">
        <v>473</v>
      </c>
      <c r="C477" s="22" t="n"/>
      <c r="D477" s="22" t="n"/>
      <c r="E477" s="23" t="n"/>
      <c r="F477" s="22" t="n"/>
      <c r="G477" s="22" t="n"/>
      <c r="H477" s="16" t="n"/>
      <c r="I477" s="15">
        <f>IF(ISBLANK($E477)," ",IF($E477&gt;$H477,$C477,$F477))</f>
        <v/>
      </c>
      <c r="J477" s="15">
        <f>IF(ISBLANK($E477)," ",IF($E477&gt;$H477,$D477,$G477))</f>
        <v/>
      </c>
      <c r="K477" s="15" t="n"/>
      <c r="L477" s="15">
        <f>E477-H477</f>
        <v/>
      </c>
      <c r="M477" s="5">
        <f>IF(ISBLANK($E477),"",VLOOKUP($I477,PLAYERS_IDS,2,FALSE)*VLOOKUP($J477,PLAYERS_IDS,2,FALSE))</f>
        <v/>
      </c>
      <c r="N477" s="25">
        <f>IF(ISBLANK($E477)," ", COUNTIF($M$4:$M477,$M477))</f>
        <v/>
      </c>
      <c r="O477" s="25">
        <f>IF(N477 =" ", " ", IF(N477=1,15,(IF(N477=2,15,(IF(N477=3,15,15))))))</f>
        <v/>
      </c>
      <c r="P477" s="5">
        <f>IF(ISBLANK($F477),"",VLOOKUP($C477,PLAYERS_IDS,2,FALSE)*VLOOKUP($D477,PLAYERS_IDS,2,FALSE))</f>
        <v/>
      </c>
      <c r="Q477" s="5">
        <f>IF(ISBLANK($F477), "",VLOOKUP($F477,PLAYERS_IDS,2,FALSE)*VLOOKUP($G477,PLAYERS_IDS,2,FALSE))</f>
        <v/>
      </c>
      <c r="R477" s="5">
        <f>IFERROR((P477*100000)+Q477,"")</f>
        <v/>
      </c>
    </row>
    <row r="478" ht="20.25" customHeight="1" s="106">
      <c r="A478" s="14" t="n"/>
      <c r="B478" s="15" t="n">
        <v>474</v>
      </c>
      <c r="C478" s="22" t="n"/>
      <c r="D478" s="22" t="n"/>
      <c r="E478" s="23" t="n"/>
      <c r="F478" s="22" t="n"/>
      <c r="G478" s="22" t="n"/>
      <c r="H478" s="16" t="n"/>
      <c r="I478" s="15">
        <f>IF(ISBLANK($E478)," ",IF($E478&gt;$H478,$C478,$F478))</f>
        <v/>
      </c>
      <c r="J478" s="15">
        <f>IF(ISBLANK($E478)," ",IF($E478&gt;$H478,$D478,$G478))</f>
        <v/>
      </c>
      <c r="K478" s="15" t="n"/>
      <c r="L478" s="15">
        <f>E478-H478</f>
        <v/>
      </c>
      <c r="M478" s="5">
        <f>IF(ISBLANK($E478),"",VLOOKUP($I478,PLAYERS_IDS,2,FALSE)*VLOOKUP($J478,PLAYERS_IDS,2,FALSE))</f>
        <v/>
      </c>
      <c r="N478" s="25">
        <f>IF(ISBLANK($E478)," ", COUNTIF($M$4:$M478,$M478))</f>
        <v/>
      </c>
      <c r="O478" s="25">
        <f>IF(N478 =" ", " ", IF(N478=1,15,(IF(N478=2,15,(IF(N478=3,15,15))))))</f>
        <v/>
      </c>
      <c r="P478" s="5">
        <f>IF(ISBLANK($F478),"",VLOOKUP($C478,PLAYERS_IDS,2,FALSE)*VLOOKUP($D478,PLAYERS_IDS,2,FALSE))</f>
        <v/>
      </c>
      <c r="Q478" s="5">
        <f>IF(ISBLANK($F478), "",VLOOKUP($F478,PLAYERS_IDS,2,FALSE)*VLOOKUP($G478,PLAYERS_IDS,2,FALSE))</f>
        <v/>
      </c>
      <c r="R478" s="5">
        <f>IFERROR((P478*100000)+Q478,"")</f>
        <v/>
      </c>
    </row>
    <row r="479" ht="20.25" customHeight="1" s="106">
      <c r="A479" s="14" t="n"/>
      <c r="B479" s="15" t="n">
        <v>475</v>
      </c>
      <c r="C479" s="22" t="n"/>
      <c r="D479" s="22" t="n"/>
      <c r="E479" s="23" t="n"/>
      <c r="F479" s="22" t="n"/>
      <c r="G479" s="22" t="n"/>
      <c r="H479" s="16" t="n"/>
      <c r="I479" s="15">
        <f>IF(ISBLANK($E479)," ",IF($E479&gt;$H479,$C479,$F479))</f>
        <v/>
      </c>
      <c r="J479" s="15">
        <f>IF(ISBLANK($E479)," ",IF($E479&gt;$H479,$D479,$G479))</f>
        <v/>
      </c>
      <c r="K479" s="15" t="n"/>
      <c r="L479" s="15">
        <f>E479-H479</f>
        <v/>
      </c>
      <c r="M479" s="5">
        <f>IF(ISBLANK($E479),"",VLOOKUP($I479,PLAYERS_IDS,2,FALSE)*VLOOKUP($J479,PLAYERS_IDS,2,FALSE))</f>
        <v/>
      </c>
      <c r="N479" s="25">
        <f>IF(ISBLANK($E479)," ", COUNTIF($M$4:$M479,$M479))</f>
        <v/>
      </c>
      <c r="O479" s="25">
        <f>IF(N479 =" ", " ", IF(N479=1,15,(IF(N479=2,15,(IF(N479=3,15,15))))))</f>
        <v/>
      </c>
      <c r="P479" s="5">
        <f>IF(ISBLANK($F479),"",VLOOKUP($C479,PLAYERS_IDS,2,FALSE)*VLOOKUP($D479,PLAYERS_IDS,2,FALSE))</f>
        <v/>
      </c>
      <c r="Q479" s="5">
        <f>IF(ISBLANK($F479), "",VLOOKUP($F479,PLAYERS_IDS,2,FALSE)*VLOOKUP($G479,PLAYERS_IDS,2,FALSE))</f>
        <v/>
      </c>
      <c r="R479" s="5">
        <f>IFERROR((P479*100000)+Q479,"")</f>
        <v/>
      </c>
    </row>
    <row r="480" ht="20.25" customHeight="1" s="106">
      <c r="A480" s="14" t="n"/>
      <c r="B480" s="15" t="n">
        <v>476</v>
      </c>
      <c r="C480" s="22" t="n"/>
      <c r="D480" s="22" t="n"/>
      <c r="E480" s="23" t="n"/>
      <c r="F480" s="22" t="n"/>
      <c r="G480" s="22" t="n"/>
      <c r="H480" s="16" t="n"/>
      <c r="I480" s="15">
        <f>IF(ISBLANK($E480)," ",IF($E480&gt;$H480,$C480,$F480))</f>
        <v/>
      </c>
      <c r="J480" s="15">
        <f>IF(ISBLANK($E480)," ",IF($E480&gt;$H480,$D480,$G480))</f>
        <v/>
      </c>
      <c r="K480" s="15" t="n"/>
      <c r="L480" s="15">
        <f>E480-H480</f>
        <v/>
      </c>
      <c r="M480" s="5">
        <f>IF(ISBLANK($E480),"",VLOOKUP($I480,PLAYERS_IDS,2,FALSE)*VLOOKUP($J480,PLAYERS_IDS,2,FALSE))</f>
        <v/>
      </c>
      <c r="N480" s="25">
        <f>IF(ISBLANK($E480)," ", COUNTIF($M$4:$M480,$M480))</f>
        <v/>
      </c>
      <c r="O480" s="25">
        <f>IF(N480 =" ", " ", IF(N480=1,15,(IF(N480=2,15,(IF(N480=3,15,15))))))</f>
        <v/>
      </c>
      <c r="P480" s="5">
        <f>IF(ISBLANK($F480),"",VLOOKUP($C480,PLAYERS_IDS,2,FALSE)*VLOOKUP($D480,PLAYERS_IDS,2,FALSE))</f>
        <v/>
      </c>
      <c r="Q480" s="5">
        <f>IF(ISBLANK($F480), "",VLOOKUP($F480,PLAYERS_IDS,2,FALSE)*VLOOKUP($G480,PLAYERS_IDS,2,FALSE))</f>
        <v/>
      </c>
      <c r="R480" s="5">
        <f>IFERROR((P480*100000)+Q480,"")</f>
        <v/>
      </c>
    </row>
    <row r="481" ht="20.25" customHeight="1" s="106">
      <c r="A481" s="14" t="n"/>
      <c r="B481" s="15" t="n">
        <v>477</v>
      </c>
      <c r="C481" s="22" t="n"/>
      <c r="D481" s="22" t="n"/>
      <c r="E481" s="23" t="n"/>
      <c r="F481" s="22" t="n"/>
      <c r="G481" s="22" t="n"/>
      <c r="H481" s="16" t="n"/>
      <c r="I481" s="15">
        <f>IF(ISBLANK($E481)," ",IF($E481&gt;$H481,$C481,$F481))</f>
        <v/>
      </c>
      <c r="J481" s="15">
        <f>IF(ISBLANK($E481)," ",IF($E481&gt;$H481,$D481,$G481))</f>
        <v/>
      </c>
      <c r="K481" s="15" t="n"/>
      <c r="L481" s="15">
        <f>E481-H481</f>
        <v/>
      </c>
      <c r="M481" s="5">
        <f>IF(ISBLANK($E481),"",VLOOKUP($I481,PLAYERS_IDS,2,FALSE)*VLOOKUP($J481,PLAYERS_IDS,2,FALSE))</f>
        <v/>
      </c>
      <c r="N481" s="25">
        <f>IF(ISBLANK($E481)," ", COUNTIF($M$4:$M481,$M481))</f>
        <v/>
      </c>
      <c r="O481" s="25">
        <f>IF(N481 =" ", " ", IF(N481=1,15,(IF(N481=2,15,(IF(N481=3,15,15))))))</f>
        <v/>
      </c>
      <c r="P481" s="5">
        <f>IF(ISBLANK($F481),"",VLOOKUP($C481,PLAYERS_IDS,2,FALSE)*VLOOKUP($D481,PLAYERS_IDS,2,FALSE))</f>
        <v/>
      </c>
      <c r="Q481" s="5">
        <f>IF(ISBLANK($F481), "",VLOOKUP($F481,PLAYERS_IDS,2,FALSE)*VLOOKUP($G481,PLAYERS_IDS,2,FALSE))</f>
        <v/>
      </c>
      <c r="R481" s="5">
        <f>IFERROR((P481*100000)+Q481,"")</f>
        <v/>
      </c>
    </row>
    <row r="482" ht="20.25" customHeight="1" s="106">
      <c r="A482" s="14" t="n"/>
      <c r="B482" s="15" t="n">
        <v>478</v>
      </c>
      <c r="C482" s="22" t="n"/>
      <c r="D482" s="22" t="n"/>
      <c r="E482" s="23" t="n"/>
      <c r="F482" s="22" t="n"/>
      <c r="G482" s="22" t="n"/>
      <c r="H482" s="16" t="n"/>
      <c r="I482" s="15">
        <f>IF(ISBLANK($E482)," ",IF($E482&gt;$H482,$C482,$F482))</f>
        <v/>
      </c>
      <c r="J482" s="15">
        <f>IF(ISBLANK($E482)," ",IF($E482&gt;$H482,$D482,$G482))</f>
        <v/>
      </c>
      <c r="K482" s="15" t="n"/>
      <c r="L482" s="15">
        <f>E482-H482</f>
        <v/>
      </c>
      <c r="M482" s="5">
        <f>IF(ISBLANK($E482),"",VLOOKUP($I482,PLAYERS_IDS,2,FALSE)*VLOOKUP($J482,PLAYERS_IDS,2,FALSE))</f>
        <v/>
      </c>
      <c r="N482" s="25">
        <f>IF(ISBLANK($E482)," ", COUNTIF($M$4:$M482,$M482))</f>
        <v/>
      </c>
      <c r="O482" s="25">
        <f>IF(N482 =" ", " ", IF(N482=1,15,(IF(N482=2,15,(IF(N482=3,15,15))))))</f>
        <v/>
      </c>
      <c r="P482" s="5">
        <f>IF(ISBLANK($F482),"",VLOOKUP($C482,PLAYERS_IDS,2,FALSE)*VLOOKUP($D482,PLAYERS_IDS,2,FALSE))</f>
        <v/>
      </c>
      <c r="Q482" s="5">
        <f>IF(ISBLANK($F482), "",VLOOKUP($F482,PLAYERS_IDS,2,FALSE)*VLOOKUP($G482,PLAYERS_IDS,2,FALSE))</f>
        <v/>
      </c>
      <c r="R482" s="5">
        <f>IFERROR((P482*100000)+Q482,"")</f>
        <v/>
      </c>
    </row>
    <row r="483" ht="20.25" customHeight="1" s="106">
      <c r="A483" s="14" t="n"/>
      <c r="B483" s="15" t="n">
        <v>479</v>
      </c>
      <c r="C483" s="22" t="n"/>
      <c r="D483" s="22" t="n"/>
      <c r="E483" s="23" t="n"/>
      <c r="F483" s="22" t="n"/>
      <c r="G483" s="22" t="n"/>
      <c r="H483" s="16" t="n"/>
      <c r="I483" s="15">
        <f>IF(ISBLANK($E483)," ",IF($E483&gt;$H483,$C483,$F483))</f>
        <v/>
      </c>
      <c r="J483" s="15">
        <f>IF(ISBLANK($E483)," ",IF($E483&gt;$H483,$D483,$G483))</f>
        <v/>
      </c>
      <c r="K483" s="15" t="n"/>
      <c r="L483" s="15">
        <f>E483-H483</f>
        <v/>
      </c>
      <c r="M483" s="5">
        <f>IF(ISBLANK($E483),"",VLOOKUP($I483,PLAYERS_IDS,2,FALSE)*VLOOKUP($J483,PLAYERS_IDS,2,FALSE))</f>
        <v/>
      </c>
      <c r="N483" s="25">
        <f>IF(ISBLANK($E483)," ", COUNTIF($M$4:$M483,$M483))</f>
        <v/>
      </c>
      <c r="O483" s="25">
        <f>IF(N483 =" ", " ", IF(N483=1,15,(IF(N483=2,15,(IF(N483=3,15,15))))))</f>
        <v/>
      </c>
      <c r="P483" s="5">
        <f>IF(ISBLANK($F483),"",VLOOKUP($C483,PLAYERS_IDS,2,FALSE)*VLOOKUP($D483,PLAYERS_IDS,2,FALSE))</f>
        <v/>
      </c>
      <c r="Q483" s="5">
        <f>IF(ISBLANK($F483), "",VLOOKUP($F483,PLAYERS_IDS,2,FALSE)*VLOOKUP($G483,PLAYERS_IDS,2,FALSE))</f>
        <v/>
      </c>
      <c r="R483" s="5">
        <f>IFERROR((P483*100000)+Q483,"")</f>
        <v/>
      </c>
    </row>
    <row r="484" ht="20.25" customHeight="1" s="106">
      <c r="A484" s="14" t="n"/>
      <c r="B484" s="15" t="n">
        <v>480</v>
      </c>
      <c r="C484" s="22" t="n"/>
      <c r="D484" s="22" t="n"/>
      <c r="E484" s="23" t="n"/>
      <c r="F484" s="22" t="n"/>
      <c r="G484" s="22" t="n"/>
      <c r="H484" s="16" t="n"/>
      <c r="I484" s="15">
        <f>IF(ISBLANK($E484)," ",IF($E484&gt;$H484,$C484,$F484))</f>
        <v/>
      </c>
      <c r="J484" s="15">
        <f>IF(ISBLANK($E484)," ",IF($E484&gt;$H484,$D484,$G484))</f>
        <v/>
      </c>
      <c r="K484" s="15" t="n"/>
      <c r="L484" s="15">
        <f>E484-H484</f>
        <v/>
      </c>
      <c r="M484" s="5">
        <f>IF(ISBLANK($E484),"",VLOOKUP($I484,PLAYERS_IDS,2,FALSE)*VLOOKUP($J484,PLAYERS_IDS,2,FALSE))</f>
        <v/>
      </c>
      <c r="N484" s="25">
        <f>IF(ISBLANK($E484)," ", COUNTIF($M$4:$M484,$M484))</f>
        <v/>
      </c>
      <c r="O484" s="25">
        <f>IF(N484 =" ", " ", IF(N484=1,15,(IF(N484=2,15,(IF(N484=3,15,15))))))</f>
        <v/>
      </c>
      <c r="P484" s="5">
        <f>IF(ISBLANK($F484),"",VLOOKUP($C484,PLAYERS_IDS,2,FALSE)*VLOOKUP($D484,PLAYERS_IDS,2,FALSE))</f>
        <v/>
      </c>
      <c r="Q484" s="5">
        <f>IF(ISBLANK($F484), "",VLOOKUP($F484,PLAYERS_IDS,2,FALSE)*VLOOKUP($G484,PLAYERS_IDS,2,FALSE))</f>
        <v/>
      </c>
      <c r="R484" s="5">
        <f>IFERROR((P484*100000)+Q484,"")</f>
        <v/>
      </c>
    </row>
    <row r="485" ht="20.25" customHeight="1" s="106">
      <c r="A485" s="14" t="n"/>
      <c r="B485" s="15" t="n">
        <v>481</v>
      </c>
      <c r="C485" s="22" t="n"/>
      <c r="D485" s="22" t="n"/>
      <c r="E485" s="23" t="n"/>
      <c r="F485" s="22" t="n"/>
      <c r="G485" s="22" t="n"/>
      <c r="H485" s="16" t="n"/>
      <c r="I485" s="15">
        <f>IF(ISBLANK($E485)," ",IF($E485&gt;$H485,$C485,$F485))</f>
        <v/>
      </c>
      <c r="J485" s="15">
        <f>IF(ISBLANK($E485)," ",IF($E485&gt;$H485,$D485,$G485))</f>
        <v/>
      </c>
      <c r="K485" s="15" t="n"/>
      <c r="L485" s="15">
        <f>E485-H485</f>
        <v/>
      </c>
      <c r="M485" s="5">
        <f>IF(ISBLANK($E485),"",VLOOKUP($I485,PLAYERS_IDS,2,FALSE)*VLOOKUP($J485,PLAYERS_IDS,2,FALSE))</f>
        <v/>
      </c>
      <c r="N485" s="25">
        <f>IF(ISBLANK($E485)," ", COUNTIF($M$4:$M485,$M485))</f>
        <v/>
      </c>
      <c r="O485" s="25">
        <f>IF(N485 =" ", " ", IF(N485=1,15,(IF(N485=2,15,(IF(N485=3,15,15))))))</f>
        <v/>
      </c>
      <c r="P485" s="5">
        <f>IF(ISBLANK($F485),"",VLOOKUP($C485,PLAYERS_IDS,2,FALSE)*VLOOKUP($D485,PLAYERS_IDS,2,FALSE))</f>
        <v/>
      </c>
      <c r="Q485" s="5">
        <f>IF(ISBLANK($F485), "",VLOOKUP($F485,PLAYERS_IDS,2,FALSE)*VLOOKUP($G485,PLAYERS_IDS,2,FALSE))</f>
        <v/>
      </c>
      <c r="R485" s="5">
        <f>IFERROR((P485*100000)+Q485,"")</f>
        <v/>
      </c>
    </row>
    <row r="486" ht="20.25" customHeight="1" s="106">
      <c r="A486" s="14" t="n"/>
      <c r="B486" s="15" t="n">
        <v>482</v>
      </c>
      <c r="C486" s="22" t="n"/>
      <c r="D486" s="22" t="n"/>
      <c r="E486" s="23" t="n"/>
      <c r="F486" s="22" t="n"/>
      <c r="G486" s="22" t="n"/>
      <c r="H486" s="16" t="n"/>
      <c r="I486" s="15">
        <f>IF(ISBLANK($E486)," ",IF($E486&gt;$H486,$C486,$F486))</f>
        <v/>
      </c>
      <c r="J486" s="15">
        <f>IF(ISBLANK($E486)," ",IF($E486&gt;$H486,$D486,$G486))</f>
        <v/>
      </c>
      <c r="K486" s="15" t="n"/>
      <c r="L486" s="15">
        <f>E486-H486</f>
        <v/>
      </c>
      <c r="M486" s="5">
        <f>IF(ISBLANK($E486),"",VLOOKUP($I486,PLAYERS_IDS,2,FALSE)*VLOOKUP($J486,PLAYERS_IDS,2,FALSE))</f>
        <v/>
      </c>
      <c r="N486" s="25">
        <f>IF(ISBLANK($E486)," ", COUNTIF($M$4:$M486,$M486))</f>
        <v/>
      </c>
      <c r="O486" s="25">
        <f>IF(N486 =" ", " ", IF(N486=1,15,(IF(N486=2,15,(IF(N486=3,15,15))))))</f>
        <v/>
      </c>
      <c r="P486" s="5">
        <f>IF(ISBLANK($F486),"",VLOOKUP($C486,PLAYERS_IDS,2,FALSE)*VLOOKUP($D486,PLAYERS_IDS,2,FALSE))</f>
        <v/>
      </c>
      <c r="Q486" s="5">
        <f>IF(ISBLANK($F486), "",VLOOKUP($F486,PLAYERS_IDS,2,FALSE)*VLOOKUP($G486,PLAYERS_IDS,2,FALSE))</f>
        <v/>
      </c>
      <c r="R486" s="5">
        <f>IFERROR((P486*100000)+Q486,"")</f>
        <v/>
      </c>
    </row>
    <row r="487" ht="20.25" customHeight="1" s="106">
      <c r="A487" s="14" t="n"/>
      <c r="B487" s="15" t="n">
        <v>483</v>
      </c>
      <c r="C487" s="22" t="n"/>
      <c r="D487" s="22" t="n"/>
      <c r="E487" s="23" t="n"/>
      <c r="F487" s="22" t="n"/>
      <c r="G487" s="22" t="n"/>
      <c r="H487" s="16" t="n"/>
      <c r="I487" s="15">
        <f>IF(ISBLANK($E487)," ",IF($E487&gt;$H487,$C487,$F487))</f>
        <v/>
      </c>
      <c r="J487" s="15">
        <f>IF(ISBLANK($E487)," ",IF($E487&gt;$H487,$D487,$G487))</f>
        <v/>
      </c>
      <c r="K487" s="15" t="n"/>
      <c r="L487" s="15">
        <f>E487-H487</f>
        <v/>
      </c>
      <c r="M487" s="5">
        <f>IF(ISBLANK($E487),"",VLOOKUP($I487,PLAYERS_IDS,2,FALSE)*VLOOKUP($J487,PLAYERS_IDS,2,FALSE))</f>
        <v/>
      </c>
      <c r="N487" s="25">
        <f>IF(ISBLANK($E487)," ", COUNTIF($M$4:$M487,$M487))</f>
        <v/>
      </c>
      <c r="O487" s="25">
        <f>IF(N487 =" ", " ", IF(N487=1,15,(IF(N487=2,15,(IF(N487=3,15,15))))))</f>
        <v/>
      </c>
      <c r="P487" s="5">
        <f>IF(ISBLANK($F487),"",VLOOKUP($C487,PLAYERS_IDS,2,FALSE)*VLOOKUP($D487,PLAYERS_IDS,2,FALSE))</f>
        <v/>
      </c>
      <c r="Q487" s="5">
        <f>IF(ISBLANK($F487), "",VLOOKUP($F487,PLAYERS_IDS,2,FALSE)*VLOOKUP($G487,PLAYERS_IDS,2,FALSE))</f>
        <v/>
      </c>
      <c r="R487" s="5">
        <f>IFERROR((P487*100000)+Q487,"")</f>
        <v/>
      </c>
    </row>
    <row r="488" ht="20.25" customHeight="1" s="106">
      <c r="A488" s="14" t="n"/>
      <c r="B488" s="15" t="n">
        <v>484</v>
      </c>
      <c r="C488" s="22" t="n"/>
      <c r="D488" s="22" t="n"/>
      <c r="E488" s="23" t="n"/>
      <c r="F488" s="22" t="n"/>
      <c r="G488" s="22" t="n"/>
      <c r="H488" s="16" t="n"/>
      <c r="I488" s="15">
        <f>IF(ISBLANK($E488)," ",IF($E488&gt;$H488,$C488,$F488))</f>
        <v/>
      </c>
      <c r="J488" s="15">
        <f>IF(ISBLANK($E488)," ",IF($E488&gt;$H488,$D488,$G488))</f>
        <v/>
      </c>
      <c r="K488" s="15" t="n"/>
      <c r="L488" s="15">
        <f>E488-H488</f>
        <v/>
      </c>
      <c r="M488" s="5">
        <f>IF(ISBLANK($E488),"",VLOOKUP($I488,PLAYERS_IDS,2,FALSE)*VLOOKUP($J488,PLAYERS_IDS,2,FALSE))</f>
        <v/>
      </c>
      <c r="N488" s="25">
        <f>IF(ISBLANK($E488)," ", COUNTIF($M$4:$M488,$M488))</f>
        <v/>
      </c>
      <c r="O488" s="25">
        <f>IF(N488 =" ", " ", IF(N488=1,15,(IF(N488=2,15,(IF(N488=3,15,15))))))</f>
        <v/>
      </c>
      <c r="P488" s="5">
        <f>IF(ISBLANK($F488),"",VLOOKUP($C488,PLAYERS_IDS,2,FALSE)*VLOOKUP($D488,PLAYERS_IDS,2,FALSE))</f>
        <v/>
      </c>
      <c r="Q488" s="5">
        <f>IF(ISBLANK($F488), "",VLOOKUP($F488,PLAYERS_IDS,2,FALSE)*VLOOKUP($G488,PLAYERS_IDS,2,FALSE))</f>
        <v/>
      </c>
      <c r="R488" s="5">
        <f>IFERROR((P488*100000)+Q488,"")</f>
        <v/>
      </c>
    </row>
    <row r="489" ht="20.25" customHeight="1" s="106">
      <c r="A489" s="14" t="n"/>
      <c r="B489" s="15" t="n">
        <v>485</v>
      </c>
      <c r="C489" s="22" t="n"/>
      <c r="D489" s="22" t="n"/>
      <c r="E489" s="23" t="n"/>
      <c r="F489" s="22" t="n"/>
      <c r="G489" s="22" t="n"/>
      <c r="H489" s="16" t="n"/>
      <c r="I489" s="15">
        <f>IF(ISBLANK($E489)," ",IF($E489&gt;$H489,$C489,$F489))</f>
        <v/>
      </c>
      <c r="J489" s="15">
        <f>IF(ISBLANK($E489)," ",IF($E489&gt;$H489,$D489,$G489))</f>
        <v/>
      </c>
      <c r="K489" s="15" t="n"/>
      <c r="L489" s="15">
        <f>E489-H489</f>
        <v/>
      </c>
      <c r="M489" s="5">
        <f>IF(ISBLANK($E489),"",VLOOKUP($I489,PLAYERS_IDS,2,FALSE)*VLOOKUP($J489,PLAYERS_IDS,2,FALSE))</f>
        <v/>
      </c>
      <c r="N489" s="25">
        <f>IF(ISBLANK($E489)," ", COUNTIF($M$4:$M489,$M489))</f>
        <v/>
      </c>
      <c r="O489" s="25">
        <f>IF(N489 =" ", " ", IF(N489=1,15,(IF(N489=2,15,(IF(N489=3,15,15))))))</f>
        <v/>
      </c>
      <c r="P489" s="5">
        <f>IF(ISBLANK($F489),"",VLOOKUP($C489,PLAYERS_IDS,2,FALSE)*VLOOKUP($D489,PLAYERS_IDS,2,FALSE))</f>
        <v/>
      </c>
      <c r="Q489" s="5">
        <f>IF(ISBLANK($F489), "",VLOOKUP($F489,PLAYERS_IDS,2,FALSE)*VLOOKUP($G489,PLAYERS_IDS,2,FALSE))</f>
        <v/>
      </c>
      <c r="R489" s="5">
        <f>IFERROR((P489*100000)+Q489,"")</f>
        <v/>
      </c>
    </row>
    <row r="490" ht="20.25" customHeight="1" s="106">
      <c r="A490" s="14" t="n"/>
      <c r="B490" s="15" t="n">
        <v>486</v>
      </c>
      <c r="C490" s="22" t="n"/>
      <c r="D490" s="22" t="n"/>
      <c r="E490" s="23" t="n"/>
      <c r="F490" s="22" t="n"/>
      <c r="G490" s="22" t="n"/>
      <c r="H490" s="16" t="n"/>
      <c r="I490" s="15">
        <f>IF(ISBLANK($E490)," ",IF($E490&gt;$H490,$C490,$F490))</f>
        <v/>
      </c>
      <c r="J490" s="15">
        <f>IF(ISBLANK($E490)," ",IF($E490&gt;$H490,$D490,$G490))</f>
        <v/>
      </c>
      <c r="K490" s="15" t="n"/>
      <c r="L490" s="15">
        <f>E490-H490</f>
        <v/>
      </c>
      <c r="M490" s="5">
        <f>IF(ISBLANK($E490),"",VLOOKUP($I490,PLAYERS_IDS,2,FALSE)*VLOOKUP($J490,PLAYERS_IDS,2,FALSE))</f>
        <v/>
      </c>
      <c r="N490" s="25">
        <f>IF(ISBLANK($E490)," ", COUNTIF($M$4:$M490,$M490))</f>
        <v/>
      </c>
      <c r="O490" s="25">
        <f>IF(N490 =" ", " ", IF(N490=1,15,(IF(N490=2,15,(IF(N490=3,15,15))))))</f>
        <v/>
      </c>
      <c r="P490" s="5">
        <f>IF(ISBLANK($F490),"",VLOOKUP($C490,PLAYERS_IDS,2,FALSE)*VLOOKUP($D490,PLAYERS_IDS,2,FALSE))</f>
        <v/>
      </c>
      <c r="Q490" s="5">
        <f>IF(ISBLANK($F490), "",VLOOKUP($F490,PLAYERS_IDS,2,FALSE)*VLOOKUP($G490,PLAYERS_IDS,2,FALSE))</f>
        <v/>
      </c>
      <c r="R490" s="5">
        <f>IFERROR((P490*100000)+Q490,"")</f>
        <v/>
      </c>
    </row>
    <row r="491" ht="20.25" customHeight="1" s="106">
      <c r="A491" s="14" t="n"/>
      <c r="B491" s="15" t="n">
        <v>487</v>
      </c>
      <c r="C491" s="22" t="n"/>
      <c r="D491" s="22" t="n"/>
      <c r="E491" s="23" t="n"/>
      <c r="F491" s="22" t="n"/>
      <c r="G491" s="22" t="n"/>
      <c r="H491" s="16" t="n"/>
      <c r="I491" s="15">
        <f>IF(ISBLANK($E491)," ",IF($E491&gt;$H491,$C491,$F491))</f>
        <v/>
      </c>
      <c r="J491" s="15">
        <f>IF(ISBLANK($E491)," ",IF($E491&gt;$H491,$D491,$G491))</f>
        <v/>
      </c>
      <c r="K491" s="15" t="n"/>
      <c r="L491" s="15">
        <f>E491-H491</f>
        <v/>
      </c>
      <c r="M491" s="5">
        <f>IF(ISBLANK($E491),"",VLOOKUP($I491,PLAYERS_IDS,2,FALSE)*VLOOKUP($J491,PLAYERS_IDS,2,FALSE))</f>
        <v/>
      </c>
      <c r="N491" s="25">
        <f>IF(ISBLANK($E491)," ", COUNTIF($M$4:$M491,$M491))</f>
        <v/>
      </c>
      <c r="O491" s="25">
        <f>IF(N491 =" ", " ", IF(N491=1,15,(IF(N491=2,15,(IF(N491=3,15,15))))))</f>
        <v/>
      </c>
      <c r="P491" s="5">
        <f>IF(ISBLANK($F491),"",VLOOKUP($C491,PLAYERS_IDS,2,FALSE)*VLOOKUP($D491,PLAYERS_IDS,2,FALSE))</f>
        <v/>
      </c>
      <c r="Q491" s="5">
        <f>IF(ISBLANK($F491), "",VLOOKUP($F491,PLAYERS_IDS,2,FALSE)*VLOOKUP($G491,PLAYERS_IDS,2,FALSE))</f>
        <v/>
      </c>
      <c r="R491" s="5">
        <f>IFERROR((P491*100000)+Q491,"")</f>
        <v/>
      </c>
    </row>
    <row r="492" ht="20.25" customHeight="1" s="106">
      <c r="A492" s="14" t="n"/>
      <c r="B492" s="15" t="n">
        <v>488</v>
      </c>
      <c r="C492" s="22" t="n"/>
      <c r="D492" s="22" t="n"/>
      <c r="E492" s="23" t="n"/>
      <c r="F492" s="22" t="n"/>
      <c r="G492" s="22" t="n"/>
      <c r="H492" s="16" t="n"/>
      <c r="I492" s="15">
        <f>IF(ISBLANK($E492)," ",IF($E492&gt;$H492,$C492,$F492))</f>
        <v/>
      </c>
      <c r="J492" s="15">
        <f>IF(ISBLANK($E492)," ",IF($E492&gt;$H492,$D492,$G492))</f>
        <v/>
      </c>
      <c r="K492" s="15" t="n"/>
      <c r="L492" s="15">
        <f>E492-H492</f>
        <v/>
      </c>
      <c r="M492" s="5">
        <f>IF(ISBLANK($E492),"",VLOOKUP($I492,PLAYERS_IDS,2,FALSE)*VLOOKUP($J492,PLAYERS_IDS,2,FALSE))</f>
        <v/>
      </c>
      <c r="N492" s="25">
        <f>IF(ISBLANK($E492)," ", COUNTIF($M$4:$M492,$M492))</f>
        <v/>
      </c>
      <c r="O492" s="25">
        <f>IF(N492 =" ", " ", IF(N492=1,15,(IF(N492=2,15,(IF(N492=3,15,15))))))</f>
        <v/>
      </c>
      <c r="P492" s="5">
        <f>IF(ISBLANK($F492),"",VLOOKUP($C492,PLAYERS_IDS,2,FALSE)*VLOOKUP($D492,PLAYERS_IDS,2,FALSE))</f>
        <v/>
      </c>
      <c r="Q492" s="5">
        <f>IF(ISBLANK($F492), "",VLOOKUP($F492,PLAYERS_IDS,2,FALSE)*VLOOKUP($G492,PLAYERS_IDS,2,FALSE))</f>
        <v/>
      </c>
      <c r="R492" s="5">
        <f>IFERROR((P492*100000)+Q492,"")</f>
        <v/>
      </c>
    </row>
    <row r="493" ht="20.25" customHeight="1" s="106">
      <c r="A493" s="14" t="n"/>
      <c r="B493" s="15" t="n">
        <v>489</v>
      </c>
      <c r="C493" s="22" t="n"/>
      <c r="D493" s="22" t="n"/>
      <c r="E493" s="23" t="n"/>
      <c r="F493" s="22" t="n"/>
      <c r="G493" s="22" t="n"/>
      <c r="H493" s="16" t="n"/>
      <c r="I493" s="15">
        <f>IF(ISBLANK($E493)," ",IF($E493&gt;$H493,$C493,$F493))</f>
        <v/>
      </c>
      <c r="J493" s="15">
        <f>IF(ISBLANK($E493)," ",IF($E493&gt;$H493,$D493,$G493))</f>
        <v/>
      </c>
      <c r="K493" s="15" t="n"/>
      <c r="L493" s="15">
        <f>E493-H493</f>
        <v/>
      </c>
      <c r="M493" s="5">
        <f>IF(ISBLANK($E493),"",VLOOKUP($I493,PLAYERS_IDS,2,FALSE)*VLOOKUP($J493,PLAYERS_IDS,2,FALSE))</f>
        <v/>
      </c>
      <c r="N493" s="25">
        <f>IF(ISBLANK($E493)," ", COUNTIF($M$4:$M493,$M493))</f>
        <v/>
      </c>
      <c r="O493" s="25">
        <f>IF(N493 =" ", " ", IF(N493=1,15,(IF(N493=2,15,(IF(N493=3,15,15))))))</f>
        <v/>
      </c>
      <c r="P493" s="5">
        <f>IF(ISBLANK($F493),"",VLOOKUP($C493,PLAYERS_IDS,2,FALSE)*VLOOKUP($D493,PLAYERS_IDS,2,FALSE))</f>
        <v/>
      </c>
      <c r="Q493" s="5">
        <f>IF(ISBLANK($F493), "",VLOOKUP($F493,PLAYERS_IDS,2,FALSE)*VLOOKUP($G493,PLAYERS_IDS,2,FALSE))</f>
        <v/>
      </c>
      <c r="R493" s="5">
        <f>IFERROR((P493*100000)+Q493,"")</f>
        <v/>
      </c>
    </row>
    <row r="494" ht="20.25" customHeight="1" s="106">
      <c r="A494" s="14" t="n"/>
      <c r="B494" s="15" t="n">
        <v>490</v>
      </c>
      <c r="C494" s="22" t="n"/>
      <c r="D494" s="22" t="n"/>
      <c r="E494" s="23" t="n"/>
      <c r="F494" s="22" t="n"/>
      <c r="G494" s="22" t="n"/>
      <c r="H494" s="16" t="n"/>
      <c r="I494" s="15">
        <f>IF(ISBLANK($E494)," ",IF($E494&gt;$H494,$C494,$F494))</f>
        <v/>
      </c>
      <c r="J494" s="15">
        <f>IF(ISBLANK($E494)," ",IF($E494&gt;$H494,$D494,$G494))</f>
        <v/>
      </c>
      <c r="K494" s="15" t="n"/>
      <c r="L494" s="15">
        <f>E494-H494</f>
        <v/>
      </c>
      <c r="M494" s="5">
        <f>IF(ISBLANK($E494),"",VLOOKUP($I494,PLAYERS_IDS,2,FALSE)*VLOOKUP($J494,PLAYERS_IDS,2,FALSE))</f>
        <v/>
      </c>
      <c r="N494" s="25">
        <f>IF(ISBLANK($E494)," ", COUNTIF($M$4:$M494,$M494))</f>
        <v/>
      </c>
      <c r="O494" s="25">
        <f>IF(N494 =" ", " ", IF(N494=1,15,(IF(N494=2,15,(IF(N494=3,15,15))))))</f>
        <v/>
      </c>
      <c r="P494" s="5">
        <f>IF(ISBLANK($F494),"",VLOOKUP($C494,PLAYERS_IDS,2,FALSE)*VLOOKUP($D494,PLAYERS_IDS,2,FALSE))</f>
        <v/>
      </c>
      <c r="Q494" s="5">
        <f>IF(ISBLANK($F494), "",VLOOKUP($F494,PLAYERS_IDS,2,FALSE)*VLOOKUP($G494,PLAYERS_IDS,2,FALSE))</f>
        <v/>
      </c>
      <c r="R494" s="5">
        <f>IFERROR((P494*100000)+Q494,"")</f>
        <v/>
      </c>
    </row>
    <row r="495" ht="20.25" customHeight="1" s="106">
      <c r="A495" s="14" t="n"/>
      <c r="B495" s="15" t="n">
        <v>491</v>
      </c>
      <c r="C495" s="22" t="n"/>
      <c r="D495" s="22" t="n"/>
      <c r="E495" s="23" t="n"/>
      <c r="F495" s="22" t="n"/>
      <c r="G495" s="22" t="n"/>
      <c r="H495" s="16" t="n"/>
      <c r="I495" s="15">
        <f>IF(ISBLANK($E495)," ",IF($E495&gt;$H495,$C495,$F495))</f>
        <v/>
      </c>
      <c r="J495" s="15">
        <f>IF(ISBLANK($E495)," ",IF($E495&gt;$H495,$D495,$G495))</f>
        <v/>
      </c>
      <c r="K495" s="15" t="n"/>
      <c r="L495" s="15">
        <f>E495-H495</f>
        <v/>
      </c>
      <c r="M495" s="5">
        <f>IF(ISBLANK($E495),"",VLOOKUP($I495,PLAYERS_IDS,2,FALSE)*VLOOKUP($J495,PLAYERS_IDS,2,FALSE))</f>
        <v/>
      </c>
      <c r="N495" s="25">
        <f>IF(ISBLANK($E495)," ", COUNTIF($M$4:$M495,$M495))</f>
        <v/>
      </c>
      <c r="O495" s="25">
        <f>IF(N495 =" ", " ", IF(N495=1,15,(IF(N495=2,15,(IF(N495=3,15,15))))))</f>
        <v/>
      </c>
      <c r="P495" s="5">
        <f>IF(ISBLANK($F495),"",VLOOKUP($C495,PLAYERS_IDS,2,FALSE)*VLOOKUP($D495,PLAYERS_IDS,2,FALSE))</f>
        <v/>
      </c>
      <c r="Q495" s="5">
        <f>IF(ISBLANK($F495), "",VLOOKUP($F495,PLAYERS_IDS,2,FALSE)*VLOOKUP($G495,PLAYERS_IDS,2,FALSE))</f>
        <v/>
      </c>
      <c r="R495" s="5">
        <f>IFERROR((P495*100000)+Q495,"")</f>
        <v/>
      </c>
    </row>
    <row r="496" ht="20.25" customHeight="1" s="106">
      <c r="A496" s="14" t="n"/>
      <c r="B496" s="15" t="n">
        <v>492</v>
      </c>
      <c r="C496" s="22" t="n"/>
      <c r="D496" s="22" t="n"/>
      <c r="E496" s="23" t="n"/>
      <c r="F496" s="22" t="n"/>
      <c r="G496" s="22" t="n"/>
      <c r="H496" s="16" t="n"/>
      <c r="I496" s="15">
        <f>IF(ISBLANK($E496)," ",IF($E496&gt;$H496,$C496,$F496))</f>
        <v/>
      </c>
      <c r="J496" s="15">
        <f>IF(ISBLANK($E496)," ",IF($E496&gt;$H496,$D496,$G496))</f>
        <v/>
      </c>
      <c r="K496" s="15" t="n"/>
      <c r="L496" s="15">
        <f>E496-H496</f>
        <v/>
      </c>
      <c r="M496" s="5">
        <f>IF(ISBLANK($E496),"",VLOOKUP($I496,PLAYERS_IDS,2,FALSE)*VLOOKUP($J496,PLAYERS_IDS,2,FALSE))</f>
        <v/>
      </c>
      <c r="N496" s="25">
        <f>IF(ISBLANK($E496)," ", COUNTIF($M$4:$M496,$M496))</f>
        <v/>
      </c>
      <c r="O496" s="25">
        <f>IF(N496 =" ", " ", IF(N496=1,15,(IF(N496=2,15,(IF(N496=3,15,15))))))</f>
        <v/>
      </c>
      <c r="P496" s="5">
        <f>IF(ISBLANK($F496),"",VLOOKUP($C496,PLAYERS_IDS,2,FALSE)*VLOOKUP($D496,PLAYERS_IDS,2,FALSE))</f>
        <v/>
      </c>
      <c r="Q496" s="5">
        <f>IF(ISBLANK($F496), "",VLOOKUP($F496,PLAYERS_IDS,2,FALSE)*VLOOKUP($G496,PLAYERS_IDS,2,FALSE))</f>
        <v/>
      </c>
      <c r="R496" s="5">
        <f>IFERROR((P496*100000)+Q496,"")</f>
        <v/>
      </c>
    </row>
    <row r="497" ht="20.25" customHeight="1" s="106">
      <c r="A497" s="14" t="n"/>
      <c r="B497" s="15" t="n">
        <v>493</v>
      </c>
      <c r="C497" s="22" t="n"/>
      <c r="D497" s="22" t="n"/>
      <c r="E497" s="23" t="n"/>
      <c r="F497" s="22" t="n"/>
      <c r="G497" s="22" t="n"/>
      <c r="H497" s="16" t="n"/>
      <c r="I497" s="15">
        <f>IF(ISBLANK($E497)," ",IF($E497&gt;$H497,$C497,$F497))</f>
        <v/>
      </c>
      <c r="J497" s="15">
        <f>IF(ISBLANK($E497)," ",IF($E497&gt;$H497,$D497,$G497))</f>
        <v/>
      </c>
      <c r="K497" s="15" t="n"/>
      <c r="L497" s="15">
        <f>E497-H497</f>
        <v/>
      </c>
      <c r="M497" s="5">
        <f>IF(ISBLANK($E497),"",VLOOKUP($I497,PLAYERS_IDS,2,FALSE)*VLOOKUP($J497,PLAYERS_IDS,2,FALSE))</f>
        <v/>
      </c>
      <c r="N497" s="25">
        <f>IF(ISBLANK($E497)," ", COUNTIF($M$4:$M497,$M497))</f>
        <v/>
      </c>
      <c r="O497" s="25">
        <f>IF(N497 =" ", " ", IF(N497=1,15,(IF(N497=2,15,(IF(N497=3,15,15))))))</f>
        <v/>
      </c>
      <c r="P497" s="5">
        <f>IF(ISBLANK($F497),"",VLOOKUP($C497,PLAYERS_IDS,2,FALSE)*VLOOKUP($D497,PLAYERS_IDS,2,FALSE))</f>
        <v/>
      </c>
      <c r="Q497" s="5">
        <f>IF(ISBLANK($F497), "",VLOOKUP($F497,PLAYERS_IDS,2,FALSE)*VLOOKUP($G497,PLAYERS_IDS,2,FALSE))</f>
        <v/>
      </c>
      <c r="R497" s="5">
        <f>IFERROR((P497*100000)+Q497,"")</f>
        <v/>
      </c>
    </row>
    <row r="498" ht="20.25" customHeight="1" s="106">
      <c r="A498" s="14" t="n"/>
      <c r="B498" s="15" t="n">
        <v>494</v>
      </c>
      <c r="C498" s="22" t="n"/>
      <c r="D498" s="22" t="n"/>
      <c r="E498" s="23" t="n"/>
      <c r="F498" s="22" t="n"/>
      <c r="G498" s="22" t="n"/>
      <c r="H498" s="16" t="n"/>
      <c r="I498" s="15">
        <f>IF(ISBLANK($E498)," ",IF($E498&gt;$H498,$C498,$F498))</f>
        <v/>
      </c>
      <c r="J498" s="15">
        <f>IF(ISBLANK($E498)," ",IF($E498&gt;$H498,$D498,$G498))</f>
        <v/>
      </c>
      <c r="K498" s="15" t="n"/>
      <c r="L498" s="15">
        <f>E498-H498</f>
        <v/>
      </c>
      <c r="M498" s="5">
        <f>IF(ISBLANK($E498),"",VLOOKUP($I498,PLAYERS_IDS,2,FALSE)*VLOOKUP($J498,PLAYERS_IDS,2,FALSE))</f>
        <v/>
      </c>
      <c r="N498" s="25">
        <f>IF(ISBLANK($E498)," ", COUNTIF($M$4:$M498,$M498))</f>
        <v/>
      </c>
      <c r="O498" s="25">
        <f>IF(N498 =" ", " ", IF(N498=1,15,(IF(N498=2,15,(IF(N498=3,15,15))))))</f>
        <v/>
      </c>
      <c r="P498" s="5">
        <f>IF(ISBLANK($F498),"",VLOOKUP($C498,PLAYERS_IDS,2,FALSE)*VLOOKUP($D498,PLAYERS_IDS,2,FALSE))</f>
        <v/>
      </c>
      <c r="Q498" s="5">
        <f>IF(ISBLANK($F498), "",VLOOKUP($F498,PLAYERS_IDS,2,FALSE)*VLOOKUP($G498,PLAYERS_IDS,2,FALSE))</f>
        <v/>
      </c>
      <c r="R498" s="5">
        <f>IFERROR((P498*100000)+Q498,"")</f>
        <v/>
      </c>
    </row>
    <row r="499" ht="20.25" customHeight="1" s="106">
      <c r="A499" s="14" t="n"/>
      <c r="B499" s="15" t="n">
        <v>495</v>
      </c>
      <c r="C499" s="22" t="n"/>
      <c r="D499" s="22" t="n"/>
      <c r="E499" s="23" t="n"/>
      <c r="F499" s="22" t="n"/>
      <c r="G499" s="22" t="n"/>
      <c r="H499" s="16" t="n"/>
      <c r="I499" s="15">
        <f>IF(ISBLANK($E499)," ",IF($E499&gt;$H499,$C499,$F499))</f>
        <v/>
      </c>
      <c r="J499" s="15">
        <f>IF(ISBLANK($E499)," ",IF($E499&gt;$H499,$D499,$G499))</f>
        <v/>
      </c>
      <c r="K499" s="15" t="n"/>
      <c r="L499" s="15">
        <f>E499-H499</f>
        <v/>
      </c>
      <c r="M499" s="5">
        <f>IF(ISBLANK($E499),"",VLOOKUP($I499,PLAYERS_IDS,2,FALSE)*VLOOKUP($J499,PLAYERS_IDS,2,FALSE))</f>
        <v/>
      </c>
      <c r="N499" s="25">
        <f>IF(ISBLANK($E499)," ", COUNTIF($M$4:$M499,$M499))</f>
        <v/>
      </c>
      <c r="O499" s="25">
        <f>IF(N499 =" ", " ", IF(N499=1,15,(IF(N499=2,15,(IF(N499=3,15,15))))))</f>
        <v/>
      </c>
      <c r="P499" s="5">
        <f>IF(ISBLANK($F499),"",VLOOKUP($C499,PLAYERS_IDS,2,FALSE)*VLOOKUP($D499,PLAYERS_IDS,2,FALSE))</f>
        <v/>
      </c>
      <c r="Q499" s="5">
        <f>IF(ISBLANK($F499), "",VLOOKUP($F499,PLAYERS_IDS,2,FALSE)*VLOOKUP($G499,PLAYERS_IDS,2,FALSE))</f>
        <v/>
      </c>
      <c r="R499" s="5">
        <f>IFERROR((P499*100000)+Q499,"")</f>
        <v/>
      </c>
    </row>
    <row r="500" ht="20.25" customHeight="1" s="106">
      <c r="A500" s="14" t="n"/>
      <c r="B500" s="15" t="n">
        <v>496</v>
      </c>
      <c r="C500" s="15" t="n"/>
      <c r="D500" s="15" t="n"/>
      <c r="E500" s="16" t="n"/>
      <c r="F500" s="15" t="n"/>
      <c r="G500" s="15" t="n"/>
      <c r="H500" s="16" t="n"/>
      <c r="I500" s="15">
        <f>IF(ISBLANK($E500)," ",IF($E500&gt;$H500,$C500,$F500))</f>
        <v/>
      </c>
      <c r="J500" s="15">
        <f>IF(ISBLANK($E500)," ",IF($E500&gt;$H500,$D500,$G500))</f>
        <v/>
      </c>
      <c r="K500" s="15" t="n"/>
      <c r="L500" s="15">
        <f>E500-H500</f>
        <v/>
      </c>
      <c r="M500" s="5">
        <f>IF(ISBLANK($E500),"",VLOOKUP($I500,PLAYERS_IDS,2,FALSE)*VLOOKUP($J500,PLAYERS_IDS,2,FALSE))</f>
        <v/>
      </c>
      <c r="N500" s="25">
        <f>IF(ISBLANK($E500)," ", COUNTIF($M$4:$M500,$M500))</f>
        <v/>
      </c>
      <c r="O500" s="25">
        <f>IF(N500 =" ", " ", IF(N500=1,15,(IF(N500=2,15,(IF(N500=3,15,15))))))</f>
        <v/>
      </c>
      <c r="P500" s="5">
        <f>IF(ISBLANK($F500),"",VLOOKUP($C500,PLAYERS_IDS,2,FALSE)*VLOOKUP($D500,PLAYERS_IDS,2,FALSE))</f>
        <v/>
      </c>
      <c r="Q500" s="5">
        <f>IF(ISBLANK($F500), "",VLOOKUP($F500,PLAYERS_IDS,2,FALSE)*VLOOKUP($G500,PLAYERS_IDS,2,FALSE))</f>
        <v/>
      </c>
      <c r="R500" s="5">
        <f>IFERROR((P500*100000)+Q500,"")</f>
        <v/>
      </c>
    </row>
    <row r="501" ht="20.25" customHeight="1" s="106">
      <c r="A501" s="14" t="n"/>
      <c r="B501" s="15" t="n">
        <v>497</v>
      </c>
      <c r="C501" s="15" t="n"/>
      <c r="D501" s="15" t="n"/>
      <c r="E501" s="16" t="n"/>
      <c r="F501" s="15" t="n"/>
      <c r="G501" s="15" t="n"/>
      <c r="H501" s="16" t="n"/>
      <c r="I501" s="15">
        <f>IF(ISBLANK($E501)," ",IF($E501&gt;$H501,$C501,$F501))</f>
        <v/>
      </c>
      <c r="J501" s="15">
        <f>IF(ISBLANK($E501)," ",IF($E501&gt;$H501,$D501,$G501))</f>
        <v/>
      </c>
      <c r="K501" s="15" t="n"/>
      <c r="L501" s="15">
        <f>E501-H501</f>
        <v/>
      </c>
      <c r="M501" s="5">
        <f>IF(ISBLANK($E501),"",VLOOKUP($I501,PLAYERS_IDS,2,FALSE)*VLOOKUP($J501,PLAYERS_IDS,2,FALSE))</f>
        <v/>
      </c>
      <c r="N501" s="25">
        <f>IF(ISBLANK($E501)," ", COUNTIF($M$4:$M501,$M501))</f>
        <v/>
      </c>
      <c r="O501" s="25">
        <f>IF(N501 =" ", " ", IF(N501=1,15,(IF(N501=2,15,(IF(N501=3,15,15))))))</f>
        <v/>
      </c>
      <c r="P501" s="5">
        <f>IF(ISBLANK($F501),"",VLOOKUP($C501,PLAYERS_IDS,2,FALSE)*VLOOKUP($D501,PLAYERS_IDS,2,FALSE))</f>
        <v/>
      </c>
      <c r="Q501" s="5">
        <f>IF(ISBLANK($F501), "",VLOOKUP($F501,PLAYERS_IDS,2,FALSE)*VLOOKUP($G501,PLAYERS_IDS,2,FALSE))</f>
        <v/>
      </c>
      <c r="R501" s="5">
        <f>IFERROR((P501*100000)+Q501,"")</f>
        <v/>
      </c>
    </row>
    <row r="502" ht="20.25" customHeight="1" s="106">
      <c r="A502" s="14" t="n"/>
      <c r="B502" s="15" t="n">
        <v>498</v>
      </c>
      <c r="C502" s="15" t="n"/>
      <c r="D502" s="15" t="n"/>
      <c r="E502" s="16" t="n"/>
      <c r="F502" s="15" t="n"/>
      <c r="G502" s="15" t="n"/>
      <c r="H502" s="16" t="n"/>
      <c r="I502" s="15">
        <f>IF(ISBLANK($E502)," ",IF($E502&gt;$H502,$C502,$F502))</f>
        <v/>
      </c>
      <c r="J502" s="15">
        <f>IF(ISBLANK($E502)," ",IF($E502&gt;$H502,$D502,$G502))</f>
        <v/>
      </c>
      <c r="K502" s="15" t="n"/>
      <c r="L502" s="15">
        <f>E502-H502</f>
        <v/>
      </c>
      <c r="M502" s="5">
        <f>IF(ISBLANK($E502),"",VLOOKUP($I502,PLAYERS_IDS,2,FALSE)*VLOOKUP($J502,PLAYERS_IDS,2,FALSE))</f>
        <v/>
      </c>
      <c r="N502" s="25">
        <f>IF(ISBLANK($E502)," ", COUNTIF($M$4:$M502,$M502))</f>
        <v/>
      </c>
      <c r="O502" s="25">
        <f>IF(N502 =" ", " ", IF(N502=1,15,(IF(N502=2,15,(IF(N502=3,15,15))))))</f>
        <v/>
      </c>
      <c r="P502" s="5">
        <f>IF(ISBLANK($F502),"",VLOOKUP($C502,PLAYERS_IDS,2,FALSE)*VLOOKUP($D502,PLAYERS_IDS,2,FALSE))</f>
        <v/>
      </c>
      <c r="Q502" s="5">
        <f>IF(ISBLANK($F502), "",VLOOKUP($F502,PLAYERS_IDS,2,FALSE)*VLOOKUP($G502,PLAYERS_IDS,2,FALSE))</f>
        <v/>
      </c>
      <c r="R502" s="5">
        <f>IFERROR((P502*100000)+Q502,"")</f>
        <v/>
      </c>
    </row>
    <row r="503" ht="20.25" customHeight="1" s="106">
      <c r="A503" s="14" t="n"/>
      <c r="B503" s="15" t="n">
        <v>499</v>
      </c>
      <c r="C503" s="15" t="n"/>
      <c r="D503" s="15" t="n"/>
      <c r="E503" s="16" t="n"/>
      <c r="F503" s="15" t="n"/>
      <c r="G503" s="15" t="n"/>
      <c r="H503" s="16" t="n"/>
      <c r="I503" s="15">
        <f>IF(ISBLANK($E503)," ",IF($E503&gt;$H503,$C503,$F503))</f>
        <v/>
      </c>
      <c r="J503" s="15">
        <f>IF(ISBLANK($E503)," ",IF($E503&gt;$H503,$D503,$G503))</f>
        <v/>
      </c>
      <c r="K503" s="15" t="n"/>
      <c r="L503" s="15">
        <f>E503-H503</f>
        <v/>
      </c>
      <c r="M503" s="5">
        <f>IF(ISBLANK($E503),"",VLOOKUP($I503,PLAYERS_IDS,2,FALSE)*VLOOKUP($J503,PLAYERS_IDS,2,FALSE))</f>
        <v/>
      </c>
      <c r="N503" s="25">
        <f>IF(ISBLANK($E503)," ", COUNTIF($M$4:$M503,$M503))</f>
        <v/>
      </c>
      <c r="O503" s="25">
        <f>IF(N503 =" ", " ", IF(N503=1,15,(IF(N503=2,15,(IF(N503=3,15,15))))))</f>
        <v/>
      </c>
      <c r="P503" s="5">
        <f>IF(ISBLANK($F503),"",VLOOKUP($C503,PLAYERS_IDS,2,FALSE)*VLOOKUP($D503,PLAYERS_IDS,2,FALSE))</f>
        <v/>
      </c>
      <c r="Q503" s="5">
        <f>IF(ISBLANK($F503), "",VLOOKUP($F503,PLAYERS_IDS,2,FALSE)*VLOOKUP($G503,PLAYERS_IDS,2,FALSE))</f>
        <v/>
      </c>
      <c r="R503" s="5">
        <f>IFERROR((P503*100000)+Q503,"")</f>
        <v/>
      </c>
    </row>
    <row r="504" ht="20.25" customHeight="1" s="106">
      <c r="A504" s="14" t="n"/>
      <c r="B504" s="15" t="n">
        <v>500</v>
      </c>
      <c r="C504" s="15" t="n"/>
      <c r="D504" s="15" t="n"/>
      <c r="E504" s="16" t="n"/>
      <c r="F504" s="15" t="n"/>
      <c r="G504" s="15" t="n"/>
      <c r="H504" s="16" t="n"/>
      <c r="I504" s="15">
        <f>IF(ISBLANK($E504)," ",IF($E504&gt;$H504,$C504,$F504))</f>
        <v/>
      </c>
      <c r="J504" s="15">
        <f>IF(ISBLANK($E504)," ",IF($E504&gt;$H504,$D504,$G504))</f>
        <v/>
      </c>
      <c r="K504" s="15" t="n"/>
      <c r="L504" s="15">
        <f>E504-H504</f>
        <v/>
      </c>
      <c r="M504" s="5">
        <f>IF(ISBLANK($E504),"",VLOOKUP($I504,PLAYERS_IDS,2,FALSE)*VLOOKUP($J504,PLAYERS_IDS,2,FALSE))</f>
        <v/>
      </c>
      <c r="N504" s="25">
        <f>IF(ISBLANK($E504)," ", COUNTIF($M$4:$M504,$M504))</f>
        <v/>
      </c>
      <c r="O504" s="25">
        <f>IF(N504 =" ", " ", IF(N504=1,15,(IF(N504=2,15,(IF(N504=3,15,15))))))</f>
        <v/>
      </c>
      <c r="P504" s="5">
        <f>IF(ISBLANK($F504),"",VLOOKUP($C504,PLAYERS_IDS,2,FALSE)*VLOOKUP($D504,PLAYERS_IDS,2,FALSE))</f>
        <v/>
      </c>
      <c r="Q504" s="5">
        <f>IF(ISBLANK($F504), "",VLOOKUP($F504,PLAYERS_IDS,2,FALSE)*VLOOKUP($G504,PLAYERS_IDS,2,FALSE))</f>
        <v/>
      </c>
      <c r="R504" s="5">
        <f>IFERROR((P504*100000)+Q504,"")</f>
        <v/>
      </c>
    </row>
    <row r="505" ht="20.25" customHeight="1" s="106">
      <c r="A505" s="14" t="n"/>
      <c r="B505" s="15" t="n">
        <v>501</v>
      </c>
      <c r="C505" s="15" t="n"/>
      <c r="D505" s="15" t="n"/>
      <c r="E505" s="16" t="n"/>
      <c r="F505" s="15" t="n"/>
      <c r="G505" s="15" t="n"/>
      <c r="H505" s="16" t="n"/>
      <c r="I505" s="15">
        <f>IF(ISBLANK($E505)," ",IF($E505&gt;$H505,$C505,$F505))</f>
        <v/>
      </c>
      <c r="J505" s="15">
        <f>IF(ISBLANK($E505)," ",IF($E505&gt;$H505,$D505,$G505))</f>
        <v/>
      </c>
      <c r="K505" s="15" t="n"/>
      <c r="L505" s="15">
        <f>E505-H505</f>
        <v/>
      </c>
      <c r="M505" s="5">
        <f>IF(ISBLANK($E505),"",VLOOKUP($I505,PLAYERS_IDS,2,FALSE)*VLOOKUP($J505,PLAYERS_IDS,2,FALSE))</f>
        <v/>
      </c>
      <c r="N505" s="25">
        <f>IF(ISBLANK($E505)," ", COUNTIF($M$4:$M505,$M505))</f>
        <v/>
      </c>
      <c r="O505" s="25">
        <f>IF(N505 =" ", " ", IF(N505=1,15,(IF(N505=2,15,(IF(N505=3,15,15))))))</f>
        <v/>
      </c>
      <c r="P505" s="5">
        <f>IF(ISBLANK($F505),"",VLOOKUP($C505,PLAYERS_IDS,2,FALSE)*VLOOKUP($D505,PLAYERS_IDS,2,FALSE))</f>
        <v/>
      </c>
      <c r="Q505" s="5">
        <f>IF(ISBLANK($F505), "",VLOOKUP($F505,PLAYERS_IDS,2,FALSE)*VLOOKUP($G505,PLAYERS_IDS,2,FALSE))</f>
        <v/>
      </c>
      <c r="R505" s="5">
        <f>IFERROR((P505*100000)+Q505,"")</f>
        <v/>
      </c>
    </row>
    <row r="506" ht="20.25" customHeight="1" s="106">
      <c r="A506" s="14" t="n"/>
      <c r="B506" s="15" t="n">
        <v>502</v>
      </c>
      <c r="C506" s="15" t="n"/>
      <c r="D506" s="15" t="n"/>
      <c r="E506" s="16" t="n"/>
      <c r="F506" s="15" t="n"/>
      <c r="G506" s="15" t="n"/>
      <c r="H506" s="16" t="n"/>
      <c r="I506" s="15">
        <f>IF(ISBLANK($E506)," ",IF($E506&gt;$H506,$C506,$F506))</f>
        <v/>
      </c>
      <c r="J506" s="15">
        <f>IF(ISBLANK($E506)," ",IF($E506&gt;$H506,$D506,$G506))</f>
        <v/>
      </c>
      <c r="K506" s="15" t="n"/>
      <c r="L506" s="15">
        <f>E506-H506</f>
        <v/>
      </c>
      <c r="M506" s="5">
        <f>IF(ISBLANK($E506),"",VLOOKUP($I506,PLAYERS_IDS,2,FALSE)*VLOOKUP($J506,PLAYERS_IDS,2,FALSE))</f>
        <v/>
      </c>
      <c r="N506" s="25">
        <f>IF(ISBLANK($E506)," ", COUNTIF($M$4:$M506,$M506))</f>
        <v/>
      </c>
      <c r="O506" s="25">
        <f>IF(N506 =" ", " ", IF(N506=1,15,(IF(N506=2,15,(IF(N506=3,15,15))))))</f>
        <v/>
      </c>
      <c r="P506" s="5">
        <f>IF(ISBLANK($F506),"",VLOOKUP($C506,PLAYERS_IDS,2,FALSE)*VLOOKUP($D506,PLAYERS_IDS,2,FALSE))</f>
        <v/>
      </c>
      <c r="Q506" s="5">
        <f>IF(ISBLANK($F506), "",VLOOKUP($F506,PLAYERS_IDS,2,FALSE)*VLOOKUP($G506,PLAYERS_IDS,2,FALSE))</f>
        <v/>
      </c>
      <c r="R506" s="5">
        <f>IFERROR((P506*100000)+Q506,"")</f>
        <v/>
      </c>
    </row>
    <row r="507" ht="20.25" customHeight="1" s="106">
      <c r="A507" s="14" t="n"/>
      <c r="B507" s="15" t="n">
        <v>503</v>
      </c>
      <c r="C507" s="15" t="n"/>
      <c r="D507" s="15" t="n"/>
      <c r="E507" s="16" t="n"/>
      <c r="F507" s="15" t="n"/>
      <c r="G507" s="15" t="n"/>
      <c r="H507" s="16" t="n"/>
      <c r="I507" s="15">
        <f>IF(ISBLANK($E507)," ",IF($E507&gt;$H507,$C507,$F507))</f>
        <v/>
      </c>
      <c r="J507" s="15">
        <f>IF(ISBLANK($E507)," ",IF($E507&gt;$H507,$D507,$G507))</f>
        <v/>
      </c>
      <c r="K507" s="15" t="n"/>
      <c r="L507" s="15">
        <f>E507-H507</f>
        <v/>
      </c>
      <c r="M507" s="5">
        <f>IF(ISBLANK($E507),"",VLOOKUP($I507,PLAYERS_IDS,2,FALSE)*VLOOKUP($J507,PLAYERS_IDS,2,FALSE))</f>
        <v/>
      </c>
      <c r="N507" s="25">
        <f>IF(ISBLANK($E507)," ", COUNTIF($M$4:$M507,$M507))</f>
        <v/>
      </c>
      <c r="O507" s="25">
        <f>IF(N507 =" ", " ", IF(N507=1,15,(IF(N507=2,15,(IF(N507=3,15,15))))))</f>
        <v/>
      </c>
      <c r="P507" s="5">
        <f>IF(ISBLANK($F507),"",VLOOKUP($C507,PLAYERS_IDS,2,FALSE)*VLOOKUP($D507,PLAYERS_IDS,2,FALSE))</f>
        <v/>
      </c>
      <c r="Q507" s="5">
        <f>IF(ISBLANK($F507), "",VLOOKUP($F507,PLAYERS_IDS,2,FALSE)*VLOOKUP($G507,PLAYERS_IDS,2,FALSE))</f>
        <v/>
      </c>
      <c r="R507" s="5">
        <f>IFERROR((P507*100000)+Q507,"")</f>
        <v/>
      </c>
    </row>
    <row r="508" ht="20.25" customHeight="1" s="106">
      <c r="A508" s="14" t="n"/>
      <c r="B508" s="15" t="n">
        <v>504</v>
      </c>
      <c r="C508" s="15" t="n"/>
      <c r="D508" s="15" t="n"/>
      <c r="E508" s="16" t="n"/>
      <c r="F508" s="15" t="n"/>
      <c r="G508" s="15" t="n"/>
      <c r="H508" s="16" t="n"/>
      <c r="I508" s="15">
        <f>IF(ISBLANK($E508)," ",IF($E508&gt;$H508,$C508,$F508))</f>
        <v/>
      </c>
      <c r="J508" s="15">
        <f>IF(ISBLANK($E508)," ",IF($E508&gt;$H508,$D508,$G508))</f>
        <v/>
      </c>
      <c r="K508" s="15" t="n"/>
      <c r="L508" s="15">
        <f>E508-H508</f>
        <v/>
      </c>
      <c r="M508" s="5">
        <f>IF(ISBLANK($E508),"",VLOOKUP($I508,PLAYERS_IDS,2,FALSE)*VLOOKUP($J508,PLAYERS_IDS,2,FALSE))</f>
        <v/>
      </c>
      <c r="N508" s="25">
        <f>IF(ISBLANK($E508)," ", COUNTIF($M$4:$M508,$M508))</f>
        <v/>
      </c>
      <c r="O508" s="25">
        <f>IF(N508 =" ", " ", IF(N508=1,15,(IF(N508=2,15,(IF(N508=3,15,15))))))</f>
        <v/>
      </c>
      <c r="P508" s="5">
        <f>IF(ISBLANK($F508),"",VLOOKUP($C508,PLAYERS_IDS,2,FALSE)*VLOOKUP($D508,PLAYERS_IDS,2,FALSE))</f>
        <v/>
      </c>
      <c r="Q508" s="5">
        <f>IF(ISBLANK($F508), "",VLOOKUP($F508,PLAYERS_IDS,2,FALSE)*VLOOKUP($G508,PLAYERS_IDS,2,FALSE))</f>
        <v/>
      </c>
      <c r="R508" s="5">
        <f>IFERROR((P508*100000)+Q508,"")</f>
        <v/>
      </c>
    </row>
    <row r="509" ht="20.25" customHeight="1" s="106">
      <c r="A509" s="14" t="n"/>
      <c r="B509" s="15" t="n">
        <v>505</v>
      </c>
      <c r="C509" s="15" t="n"/>
      <c r="D509" s="15" t="n"/>
      <c r="E509" s="16" t="n"/>
      <c r="F509" s="15" t="n"/>
      <c r="G509" s="15" t="n"/>
      <c r="H509" s="16" t="n"/>
      <c r="I509" s="15">
        <f>IF(ISBLANK($E509)," ",IF($E509&gt;$H509,$C509,$F509))</f>
        <v/>
      </c>
      <c r="J509" s="15">
        <f>IF(ISBLANK($E509)," ",IF($E509&gt;$H509,$D509,$G509))</f>
        <v/>
      </c>
      <c r="K509" s="15" t="n"/>
      <c r="L509" s="15">
        <f>E509-H509</f>
        <v/>
      </c>
      <c r="M509" s="5">
        <f>IF(ISBLANK($E509),"",VLOOKUP($I509,PLAYERS_IDS,2,FALSE)*VLOOKUP($J509,PLAYERS_IDS,2,FALSE))</f>
        <v/>
      </c>
      <c r="N509" s="25">
        <f>IF(ISBLANK($E509)," ", COUNTIF($M$4:$M509,$M509))</f>
        <v/>
      </c>
      <c r="O509" s="25">
        <f>IF(N509 =" ", " ", IF(N509=1,15,(IF(N509=2,15,(IF(N509=3,15,15))))))</f>
        <v/>
      </c>
      <c r="P509" s="5">
        <f>IF(ISBLANK($F509),"",VLOOKUP($C509,PLAYERS_IDS,2,FALSE)*VLOOKUP($D509,PLAYERS_IDS,2,FALSE))</f>
        <v/>
      </c>
      <c r="Q509" s="5">
        <f>IF(ISBLANK($F509), "",VLOOKUP($F509,PLAYERS_IDS,2,FALSE)*VLOOKUP($G509,PLAYERS_IDS,2,FALSE))</f>
        <v/>
      </c>
      <c r="R509" s="5">
        <f>IFERROR((P509*100000)+Q509,"")</f>
        <v/>
      </c>
    </row>
    <row r="510" ht="20.25" customHeight="1" s="106">
      <c r="A510" s="14" t="n"/>
      <c r="B510" s="15" t="n">
        <v>506</v>
      </c>
      <c r="C510" s="15" t="n"/>
      <c r="D510" s="15" t="n"/>
      <c r="E510" s="16" t="n"/>
      <c r="F510" s="15" t="n"/>
      <c r="G510" s="15" t="n"/>
      <c r="H510" s="16" t="n"/>
      <c r="I510" s="15">
        <f>IF(ISBLANK($E510)," ",IF($E510&gt;$H510,$C510,$F510))</f>
        <v/>
      </c>
      <c r="J510" s="15">
        <f>IF(ISBLANK($E510)," ",IF($E510&gt;$H510,$D510,$G510))</f>
        <v/>
      </c>
      <c r="K510" s="15" t="n"/>
      <c r="L510" s="15">
        <f>E510-H510</f>
        <v/>
      </c>
      <c r="M510" s="5">
        <f>IF(ISBLANK($E510),"",VLOOKUP($I510,PLAYERS_IDS,2,FALSE)*VLOOKUP($J510,PLAYERS_IDS,2,FALSE))</f>
        <v/>
      </c>
      <c r="N510" s="25">
        <f>IF(ISBLANK($E510)," ", COUNTIF($M$4:$M510,$M510))</f>
        <v/>
      </c>
      <c r="O510" s="25">
        <f>IF(N510 =" ", " ", IF(N510=1,15,(IF(N510=2,15,(IF(N510=3,15,15))))))</f>
        <v/>
      </c>
      <c r="P510" s="5">
        <f>IF(ISBLANK($F510),"",VLOOKUP($C510,PLAYERS_IDS,2,FALSE)*VLOOKUP($D510,PLAYERS_IDS,2,FALSE))</f>
        <v/>
      </c>
      <c r="Q510" s="5">
        <f>IF(ISBLANK($F510), "",VLOOKUP($F510,PLAYERS_IDS,2,FALSE)*VLOOKUP($G510,PLAYERS_IDS,2,FALSE))</f>
        <v/>
      </c>
      <c r="R510" s="5">
        <f>IFERROR((P510*100000)+Q510,"")</f>
        <v/>
      </c>
    </row>
    <row r="511" ht="20.25" customHeight="1" s="106">
      <c r="A511" s="14" t="n"/>
      <c r="B511" s="15" t="n">
        <v>507</v>
      </c>
      <c r="C511" s="15" t="n"/>
      <c r="D511" s="15" t="n"/>
      <c r="E511" s="16" t="n"/>
      <c r="F511" s="15" t="n"/>
      <c r="G511" s="15" t="n"/>
      <c r="H511" s="16" t="n"/>
      <c r="I511" s="15">
        <f>IF(ISBLANK($E511)," ",IF($E511&gt;$H511,$C511,$F511))</f>
        <v/>
      </c>
      <c r="J511" s="15">
        <f>IF(ISBLANK($E511)," ",IF($E511&gt;$H511,$D511,$G511))</f>
        <v/>
      </c>
      <c r="K511" s="15" t="n"/>
      <c r="L511" s="15">
        <f>E511-H511</f>
        <v/>
      </c>
      <c r="M511" s="5">
        <f>IF(ISBLANK($E511),"",VLOOKUP($I511,PLAYERS_IDS,2,FALSE)*VLOOKUP($J511,PLAYERS_IDS,2,FALSE))</f>
        <v/>
      </c>
      <c r="N511" s="25">
        <f>IF(ISBLANK($E511)," ", COUNTIF($M$4:$M511,$M511))</f>
        <v/>
      </c>
      <c r="O511" s="25">
        <f>IF(N511 =" ", " ", IF(N511=1,15,(IF(N511=2,15,(IF(N511=3,15,15))))))</f>
        <v/>
      </c>
      <c r="P511" s="5">
        <f>IF(ISBLANK($F511),"",VLOOKUP($C511,PLAYERS_IDS,2,FALSE)*VLOOKUP($D511,PLAYERS_IDS,2,FALSE))</f>
        <v/>
      </c>
      <c r="Q511" s="5">
        <f>IF(ISBLANK($F511), "",VLOOKUP($F511,PLAYERS_IDS,2,FALSE)*VLOOKUP($G511,PLAYERS_IDS,2,FALSE))</f>
        <v/>
      </c>
      <c r="R511" s="5">
        <f>IFERROR((P511*100000)+Q511,"")</f>
        <v/>
      </c>
    </row>
    <row r="512" ht="20.25" customHeight="1" s="106">
      <c r="A512" s="14" t="n"/>
      <c r="B512" s="15" t="n">
        <v>508</v>
      </c>
      <c r="C512" s="15" t="n"/>
      <c r="D512" s="15" t="n"/>
      <c r="E512" s="16" t="n"/>
      <c r="F512" s="15" t="n"/>
      <c r="G512" s="15" t="n"/>
      <c r="H512" s="16" t="n"/>
      <c r="I512" s="15">
        <f>IF(ISBLANK($E512)," ",IF($E512&gt;$H512,$C512,$F512))</f>
        <v/>
      </c>
      <c r="J512" s="15">
        <f>IF(ISBLANK($E512)," ",IF($E512&gt;$H512,$D512,$G512))</f>
        <v/>
      </c>
      <c r="K512" s="15" t="n"/>
      <c r="L512" s="15">
        <f>E512-H512</f>
        <v/>
      </c>
      <c r="M512" s="5">
        <f>IF(ISBLANK($E512),"",VLOOKUP($I512,PLAYERS_IDS,2,FALSE)*VLOOKUP($J512,PLAYERS_IDS,2,FALSE))</f>
        <v/>
      </c>
      <c r="N512" s="25">
        <f>IF(ISBLANK($E512)," ", COUNTIF($M$4:$M512,$M512))</f>
        <v/>
      </c>
      <c r="O512" s="25">
        <f>IF(N512 =" ", " ", IF(N512=1,15,(IF(N512=2,15,(IF(N512=3,15,15))))))</f>
        <v/>
      </c>
      <c r="P512" s="5">
        <f>IF(ISBLANK($F512),"",VLOOKUP($C512,PLAYERS_IDS,2,FALSE)*VLOOKUP($D512,PLAYERS_IDS,2,FALSE))</f>
        <v/>
      </c>
      <c r="Q512" s="5">
        <f>IF(ISBLANK($F512), "",VLOOKUP($F512,PLAYERS_IDS,2,FALSE)*VLOOKUP($G512,PLAYERS_IDS,2,FALSE))</f>
        <v/>
      </c>
      <c r="R512" s="5">
        <f>IFERROR((P512*100000)+Q512,"")</f>
        <v/>
      </c>
    </row>
    <row r="513" ht="20.25" customHeight="1" s="106">
      <c r="A513" s="14" t="n"/>
      <c r="B513" s="15" t="n">
        <v>509</v>
      </c>
      <c r="C513" s="15" t="n"/>
      <c r="D513" s="15" t="n"/>
      <c r="E513" s="16" t="n"/>
      <c r="F513" s="15" t="n"/>
      <c r="G513" s="15" t="n"/>
      <c r="H513" s="16" t="n"/>
      <c r="I513" s="15">
        <f>IF(ISBLANK($E513)," ",IF($E513&gt;$H513,$C513,$F513))</f>
        <v/>
      </c>
      <c r="J513" s="15">
        <f>IF(ISBLANK($E513)," ",IF($E513&gt;$H513,$D513,$G513))</f>
        <v/>
      </c>
      <c r="K513" s="15" t="n"/>
      <c r="L513" s="15">
        <f>E513-H513</f>
        <v/>
      </c>
      <c r="M513" s="5">
        <f>IF(ISBLANK($E513),"",VLOOKUP($I513,PLAYERS_IDS,2,FALSE)*VLOOKUP($J513,PLAYERS_IDS,2,FALSE))</f>
        <v/>
      </c>
      <c r="N513" s="25">
        <f>IF(ISBLANK($E513)," ", COUNTIF($M$4:$M513,$M513))</f>
        <v/>
      </c>
      <c r="O513" s="25">
        <f>IF(N513 =" ", " ", IF(N513=1,15,(IF(N513=2,15,(IF(N513=3,15,15))))))</f>
        <v/>
      </c>
      <c r="P513" s="5">
        <f>IF(ISBLANK($F513),"",VLOOKUP($C513,PLAYERS_IDS,2,FALSE)*VLOOKUP($D513,PLAYERS_IDS,2,FALSE))</f>
        <v/>
      </c>
      <c r="Q513" s="5">
        <f>IF(ISBLANK($F513), "",VLOOKUP($F513,PLAYERS_IDS,2,FALSE)*VLOOKUP($G513,PLAYERS_IDS,2,FALSE))</f>
        <v/>
      </c>
      <c r="R513" s="5">
        <f>IFERROR((P513*100000)+Q513,"")</f>
        <v/>
      </c>
    </row>
    <row r="514" ht="20.25" customHeight="1" s="106">
      <c r="A514" s="14" t="n"/>
      <c r="B514" s="15" t="n">
        <v>510</v>
      </c>
      <c r="C514" s="15" t="n"/>
      <c r="D514" s="15" t="n"/>
      <c r="E514" s="16" t="n"/>
      <c r="F514" s="15" t="n"/>
      <c r="G514" s="15" t="n"/>
      <c r="H514" s="16" t="n"/>
      <c r="I514" s="15">
        <f>IF(ISBLANK($E514)," ",IF($E514&gt;$H514,$C514,$F514))</f>
        <v/>
      </c>
      <c r="J514" s="15">
        <f>IF(ISBLANK($E514)," ",IF($E514&gt;$H514,$D514,$G514))</f>
        <v/>
      </c>
      <c r="K514" s="15" t="n"/>
      <c r="L514" s="15">
        <f>E514-H514</f>
        <v/>
      </c>
      <c r="M514" s="5">
        <f>IF(ISBLANK($E514),"",VLOOKUP($I514,PLAYERS_IDS,2,FALSE)*VLOOKUP($J514,PLAYERS_IDS,2,FALSE))</f>
        <v/>
      </c>
      <c r="N514" s="25">
        <f>IF(ISBLANK($E514)," ", COUNTIF($M$4:$M514,$M514))</f>
        <v/>
      </c>
      <c r="O514" s="25">
        <f>IF(N514 =" ", " ", IF(N514=1,15,(IF(N514=2,15,(IF(N514=3,15,15))))))</f>
        <v/>
      </c>
      <c r="P514" s="5">
        <f>IF(ISBLANK($F514),"",VLOOKUP($C514,PLAYERS_IDS,2,FALSE)*VLOOKUP($D514,PLAYERS_IDS,2,FALSE))</f>
        <v/>
      </c>
      <c r="Q514" s="5">
        <f>IF(ISBLANK($F514), "",VLOOKUP($F514,PLAYERS_IDS,2,FALSE)*VLOOKUP($G514,PLAYERS_IDS,2,FALSE))</f>
        <v/>
      </c>
      <c r="R514" s="5">
        <f>IFERROR((P514*100000)+Q514,"")</f>
        <v/>
      </c>
    </row>
    <row r="515" ht="20.25" customHeight="1" s="106">
      <c r="A515" s="14" t="n"/>
      <c r="B515" s="15" t="n">
        <v>511</v>
      </c>
      <c r="C515" s="15" t="n"/>
      <c r="D515" s="15" t="n"/>
      <c r="E515" s="16" t="n"/>
      <c r="F515" s="15" t="n"/>
      <c r="G515" s="15" t="n"/>
      <c r="H515" s="16" t="n"/>
      <c r="I515" s="15">
        <f>IF(ISBLANK($E515)," ",IF($E515&gt;$H515,$C515,$F515))</f>
        <v/>
      </c>
      <c r="J515" s="15">
        <f>IF(ISBLANK($E515)," ",IF($E515&gt;$H515,$D515,$G515))</f>
        <v/>
      </c>
      <c r="K515" s="15" t="n"/>
      <c r="L515" s="15">
        <f>E515-H515</f>
        <v/>
      </c>
      <c r="M515" s="5">
        <f>IF(ISBLANK($E515),"",VLOOKUP($I515,PLAYERS_IDS,2,FALSE)*VLOOKUP($J515,PLAYERS_IDS,2,FALSE))</f>
        <v/>
      </c>
      <c r="N515" s="25">
        <f>IF(ISBLANK($E515)," ", COUNTIF($M$4:$M515,$M515))</f>
        <v/>
      </c>
      <c r="O515" s="25">
        <f>IF(N515 =" ", " ", IF(N515=1,15,(IF(N515=2,15,(IF(N515=3,15,15))))))</f>
        <v/>
      </c>
      <c r="P515" s="5">
        <f>IF(ISBLANK($F515),"",VLOOKUP($C515,PLAYERS_IDS,2,FALSE)*VLOOKUP($D515,PLAYERS_IDS,2,FALSE))</f>
        <v/>
      </c>
      <c r="Q515" s="5">
        <f>IF(ISBLANK($F515), "",VLOOKUP($F515,PLAYERS_IDS,2,FALSE)*VLOOKUP($G515,PLAYERS_IDS,2,FALSE))</f>
        <v/>
      </c>
      <c r="R515" s="5">
        <f>IFERROR((P515*100000)+Q515,"")</f>
        <v/>
      </c>
    </row>
    <row r="516" ht="20.25" customHeight="1" s="106">
      <c r="A516" s="14" t="n"/>
      <c r="B516" s="15" t="n">
        <v>512</v>
      </c>
      <c r="C516" s="15" t="n"/>
      <c r="D516" s="15" t="n"/>
      <c r="E516" s="16" t="n"/>
      <c r="F516" s="15" t="n"/>
      <c r="G516" s="15" t="n"/>
      <c r="H516" s="16" t="n"/>
      <c r="I516" s="15">
        <f>IF(ISBLANK($E516)," ",IF($E516&gt;$H516,$C516,$F516))</f>
        <v/>
      </c>
      <c r="J516" s="15">
        <f>IF(ISBLANK($E516)," ",IF($E516&gt;$H516,$D516,$G516))</f>
        <v/>
      </c>
      <c r="K516" s="15" t="n"/>
      <c r="L516" s="15">
        <f>E516-H516</f>
        <v/>
      </c>
      <c r="M516" s="5">
        <f>IF(ISBLANK($E516),"",VLOOKUP($I516,PLAYERS_IDS,2,FALSE)*VLOOKUP($J516,PLAYERS_IDS,2,FALSE))</f>
        <v/>
      </c>
      <c r="N516" s="25">
        <f>IF(ISBLANK($E516)," ", COUNTIF($M$4:$M516,$M516))</f>
        <v/>
      </c>
      <c r="O516" s="25">
        <f>IF(N516 =" ", " ", IF(N516=1,15,(IF(N516=2,15,(IF(N516=3,15,15))))))</f>
        <v/>
      </c>
      <c r="P516" s="5">
        <f>IF(ISBLANK($F516),"",VLOOKUP($C516,PLAYERS_IDS,2,FALSE)*VLOOKUP($D516,PLAYERS_IDS,2,FALSE))</f>
        <v/>
      </c>
      <c r="Q516" s="5">
        <f>IF(ISBLANK($F516), "",VLOOKUP($F516,PLAYERS_IDS,2,FALSE)*VLOOKUP($G516,PLAYERS_IDS,2,FALSE))</f>
        <v/>
      </c>
      <c r="R516" s="5">
        <f>IFERROR((P516*100000)+Q516,"")</f>
        <v/>
      </c>
    </row>
    <row r="517" ht="20.25" customHeight="1" s="106">
      <c r="A517" s="14" t="n"/>
      <c r="B517" s="15" t="n">
        <v>513</v>
      </c>
      <c r="C517" s="15" t="n"/>
      <c r="D517" s="15" t="n"/>
      <c r="E517" s="16" t="n"/>
      <c r="F517" s="15" t="n"/>
      <c r="G517" s="15" t="n"/>
      <c r="H517" s="16" t="n"/>
      <c r="I517" s="15">
        <f>IF(ISBLANK($E517)," ",IF($E517&gt;$H517,$C517,$F517))</f>
        <v/>
      </c>
      <c r="J517" s="15">
        <f>IF(ISBLANK($E517)," ",IF($E517&gt;$H517,$D517,$G517))</f>
        <v/>
      </c>
      <c r="K517" s="15" t="n"/>
      <c r="L517" s="15">
        <f>E517-H517</f>
        <v/>
      </c>
      <c r="M517" s="5">
        <f>IF(ISBLANK($E517),"",VLOOKUP($I517,PLAYERS_IDS,2,FALSE)*VLOOKUP($J517,PLAYERS_IDS,2,FALSE))</f>
        <v/>
      </c>
      <c r="N517" s="25">
        <f>IF(ISBLANK($E517)," ", COUNTIF($M$4:$M517,$M517))</f>
        <v/>
      </c>
      <c r="O517" s="25">
        <f>IF(N517 =" ", " ", IF(N517=1,15,(IF(N517=2,15,(IF(N517=3,15,15))))))</f>
        <v/>
      </c>
      <c r="P517" s="5">
        <f>IF(ISBLANK($F517),"",VLOOKUP($C517,PLAYERS_IDS,2,FALSE)*VLOOKUP($D517,PLAYERS_IDS,2,FALSE))</f>
        <v/>
      </c>
      <c r="Q517" s="5">
        <f>IF(ISBLANK($F517), "",VLOOKUP($F517,PLAYERS_IDS,2,FALSE)*VLOOKUP($G517,PLAYERS_IDS,2,FALSE))</f>
        <v/>
      </c>
      <c r="R517" s="5">
        <f>IFERROR((P517*100000)+Q517,"")</f>
        <v/>
      </c>
    </row>
    <row r="518" ht="20.25" customHeight="1" s="106">
      <c r="A518" s="14" t="n"/>
      <c r="B518" s="15" t="n">
        <v>514</v>
      </c>
      <c r="C518" s="15" t="n"/>
      <c r="D518" s="15" t="n"/>
      <c r="E518" s="16" t="n"/>
      <c r="F518" s="15" t="n"/>
      <c r="G518" s="15" t="n"/>
      <c r="H518" s="16" t="n"/>
      <c r="I518" s="15">
        <f>IF(ISBLANK($E518)," ",IF($E518&gt;$H518,$C518,$F518))</f>
        <v/>
      </c>
      <c r="J518" s="15">
        <f>IF(ISBLANK($E518)," ",IF($E518&gt;$H518,$D518,$G518))</f>
        <v/>
      </c>
      <c r="K518" s="15" t="n"/>
      <c r="L518" s="15">
        <f>E518-H518</f>
        <v/>
      </c>
      <c r="M518" s="5">
        <f>IF(ISBLANK($E518),"",VLOOKUP($I518,PLAYERS_IDS,2,FALSE)*VLOOKUP($J518,PLAYERS_IDS,2,FALSE))</f>
        <v/>
      </c>
      <c r="N518" s="25">
        <f>IF(ISBLANK($E518)," ", COUNTIF($M$4:$M518,$M518))</f>
        <v/>
      </c>
      <c r="O518" s="25">
        <f>IF(N518 =" ", " ", IF(N518=1,15,(IF(N518=2,15,(IF(N518=3,15,15))))))</f>
        <v/>
      </c>
      <c r="P518" s="5">
        <f>IF(ISBLANK($F518),"",VLOOKUP($C518,PLAYERS_IDS,2,FALSE)*VLOOKUP($D518,PLAYERS_IDS,2,FALSE))</f>
        <v/>
      </c>
      <c r="Q518" s="5">
        <f>IF(ISBLANK($F518), "",VLOOKUP($F518,PLAYERS_IDS,2,FALSE)*VLOOKUP($G518,PLAYERS_IDS,2,FALSE))</f>
        <v/>
      </c>
      <c r="R518" s="5">
        <f>IFERROR((P518*100000)+Q518,"")</f>
        <v/>
      </c>
    </row>
    <row r="519" ht="20.25" customHeight="1" s="106">
      <c r="A519" s="14" t="n"/>
      <c r="B519" s="15" t="n">
        <v>515</v>
      </c>
      <c r="C519" s="15" t="n"/>
      <c r="D519" s="15" t="n"/>
      <c r="E519" s="16" t="n"/>
      <c r="F519" s="15" t="n"/>
      <c r="G519" s="15" t="n"/>
      <c r="H519" s="16" t="n"/>
      <c r="I519" s="15">
        <f>IF(ISBLANK($E519)," ",IF($E519&gt;$H519,$C519,$F519))</f>
        <v/>
      </c>
      <c r="J519" s="15">
        <f>IF(ISBLANK($E519)," ",IF($E519&gt;$H519,$D519,$G519))</f>
        <v/>
      </c>
      <c r="K519" s="15" t="n"/>
      <c r="L519" s="15">
        <f>E519-H519</f>
        <v/>
      </c>
      <c r="M519" s="5">
        <f>IF(ISBLANK($E519),"",VLOOKUP($I519,PLAYERS_IDS,2,FALSE)*VLOOKUP($J519,PLAYERS_IDS,2,FALSE))</f>
        <v/>
      </c>
      <c r="N519" s="25">
        <f>IF(ISBLANK($E519)," ", COUNTIF($M$4:$M519,$M519))</f>
        <v/>
      </c>
      <c r="O519" s="25">
        <f>IF(N519 =" ", " ", IF(N519=1,15,(IF(N519=2,15,(IF(N519=3,15,15))))))</f>
        <v/>
      </c>
      <c r="P519" s="5">
        <f>IF(ISBLANK($F519),"",VLOOKUP($C519,PLAYERS_IDS,2,FALSE)*VLOOKUP($D519,PLAYERS_IDS,2,FALSE))</f>
        <v/>
      </c>
      <c r="Q519" s="5">
        <f>IF(ISBLANK($F519), "",VLOOKUP($F519,PLAYERS_IDS,2,FALSE)*VLOOKUP($G519,PLAYERS_IDS,2,FALSE))</f>
        <v/>
      </c>
      <c r="R519" s="5">
        <f>IFERROR((P519*100000)+Q519,"")</f>
        <v/>
      </c>
    </row>
    <row r="520" ht="20.25" customHeight="1" s="106">
      <c r="A520" s="14" t="n"/>
      <c r="B520" s="15" t="n">
        <v>516</v>
      </c>
      <c r="C520" s="15" t="n"/>
      <c r="D520" s="15" t="n"/>
      <c r="E520" s="16" t="n"/>
      <c r="F520" s="15" t="n"/>
      <c r="G520" s="15" t="n"/>
      <c r="H520" s="16" t="n"/>
      <c r="I520" s="15">
        <f>IF(ISBLANK($E520)," ",IF($E520&gt;$H520,$C520,$F520))</f>
        <v/>
      </c>
      <c r="J520" s="15">
        <f>IF(ISBLANK($E520)," ",IF($E520&gt;$H520,$D520,$G520))</f>
        <v/>
      </c>
      <c r="K520" s="15" t="n"/>
      <c r="L520" s="15">
        <f>E520-H520</f>
        <v/>
      </c>
      <c r="M520" s="5">
        <f>IF(ISBLANK($E520),"",VLOOKUP($I520,PLAYERS_IDS,2,FALSE)*VLOOKUP($J520,PLAYERS_IDS,2,FALSE))</f>
        <v/>
      </c>
      <c r="N520" s="25">
        <f>IF(ISBLANK($E520)," ", COUNTIF($M$4:$M520,$M520))</f>
        <v/>
      </c>
      <c r="O520" s="25">
        <f>IF(N520 =" ", " ", IF(N520=1,15,(IF(N520=2,15,(IF(N520=3,15,15))))))</f>
        <v/>
      </c>
      <c r="P520" s="5">
        <f>IF(ISBLANK($F520),"",VLOOKUP($C520,PLAYERS_IDS,2,FALSE)*VLOOKUP($D520,PLAYERS_IDS,2,FALSE))</f>
        <v/>
      </c>
      <c r="Q520" s="5">
        <f>IF(ISBLANK($F520), "",VLOOKUP($F520,PLAYERS_IDS,2,FALSE)*VLOOKUP($G520,PLAYERS_IDS,2,FALSE))</f>
        <v/>
      </c>
      <c r="R520" s="5">
        <f>IFERROR((P520*100000)+Q520,"")</f>
        <v/>
      </c>
    </row>
    <row r="521" ht="20.25" customHeight="1" s="106">
      <c r="A521" s="14" t="n"/>
      <c r="B521" s="15" t="n">
        <v>517</v>
      </c>
      <c r="C521" s="15" t="n"/>
      <c r="D521" s="15" t="n"/>
      <c r="E521" s="16" t="n"/>
      <c r="F521" s="15" t="n"/>
      <c r="G521" s="15" t="n"/>
      <c r="H521" s="16" t="n"/>
      <c r="I521" s="15">
        <f>IF(ISBLANK($E521)," ",IF($E521&gt;$H521,$C521,$F521))</f>
        <v/>
      </c>
      <c r="J521" s="15">
        <f>IF(ISBLANK($E521)," ",IF($E521&gt;$H521,$D521,$G521))</f>
        <v/>
      </c>
      <c r="K521" s="15" t="n"/>
      <c r="L521" s="15">
        <f>E521-H521</f>
        <v/>
      </c>
      <c r="M521" s="5">
        <f>IF(ISBLANK($E521),"",VLOOKUP($I521,PLAYERS_IDS,2,FALSE)*VLOOKUP($J521,PLAYERS_IDS,2,FALSE))</f>
        <v/>
      </c>
      <c r="N521" s="25">
        <f>IF(ISBLANK($E521)," ", COUNTIF($M$4:$M521,$M521))</f>
        <v/>
      </c>
      <c r="O521" s="25">
        <f>IF(N521 =" ", " ", IF(N521=1,15,(IF(N521=2,15,(IF(N521=3,15,15))))))</f>
        <v/>
      </c>
      <c r="P521" s="5">
        <f>IF(ISBLANK($F521),"",VLOOKUP($C521,PLAYERS_IDS,2,FALSE)*VLOOKUP($D521,PLAYERS_IDS,2,FALSE))</f>
        <v/>
      </c>
      <c r="Q521" s="5">
        <f>IF(ISBLANK($F521), "",VLOOKUP($F521,PLAYERS_IDS,2,FALSE)*VLOOKUP($G521,PLAYERS_IDS,2,FALSE))</f>
        <v/>
      </c>
      <c r="R521" s="5">
        <f>IFERROR((P521*100000)+Q521,"")</f>
        <v/>
      </c>
    </row>
    <row r="522" ht="20.25" customHeight="1" s="106">
      <c r="A522" s="14" t="n"/>
      <c r="B522" s="15" t="n">
        <v>518</v>
      </c>
      <c r="C522" s="15" t="n"/>
      <c r="D522" s="15" t="n"/>
      <c r="E522" s="16" t="n"/>
      <c r="F522" s="15" t="n"/>
      <c r="G522" s="15" t="n"/>
      <c r="H522" s="16" t="n"/>
      <c r="I522" s="15">
        <f>IF(ISBLANK($E522)," ",IF($E522&gt;$H522,$C522,$F522))</f>
        <v/>
      </c>
      <c r="J522" s="15">
        <f>IF(ISBLANK($E522)," ",IF($E522&gt;$H522,$D522,$G522))</f>
        <v/>
      </c>
      <c r="K522" s="15" t="n"/>
      <c r="L522" s="15">
        <f>E522-H522</f>
        <v/>
      </c>
      <c r="M522" s="5">
        <f>IF(ISBLANK($E522),"",VLOOKUP($I522,PLAYERS_IDS,2,FALSE)*VLOOKUP($J522,PLAYERS_IDS,2,FALSE))</f>
        <v/>
      </c>
      <c r="N522" s="25">
        <f>IF(ISBLANK($E522)," ", COUNTIF($M$4:$M522,$M522))</f>
        <v/>
      </c>
      <c r="O522" s="25">
        <f>IF(N522 =" ", " ", IF(N522=1,15,(IF(N522=2,15,(IF(N522=3,15,15))))))</f>
        <v/>
      </c>
      <c r="P522" s="5">
        <f>IF(ISBLANK($F522),"",VLOOKUP($C522,PLAYERS_IDS,2,FALSE)*VLOOKUP($D522,PLAYERS_IDS,2,FALSE))</f>
        <v/>
      </c>
      <c r="Q522" s="5">
        <f>IF(ISBLANK($F522), "",VLOOKUP($F522,PLAYERS_IDS,2,FALSE)*VLOOKUP($G522,PLAYERS_IDS,2,FALSE))</f>
        <v/>
      </c>
      <c r="R522" s="5">
        <f>IFERROR((P522*100000)+Q522,"")</f>
        <v/>
      </c>
    </row>
    <row r="523" ht="20.25" customHeight="1" s="106">
      <c r="A523" s="14" t="n"/>
      <c r="B523" s="15" t="n">
        <v>519</v>
      </c>
      <c r="C523" s="15" t="n"/>
      <c r="D523" s="15" t="n"/>
      <c r="E523" s="16" t="n"/>
      <c r="F523" s="15" t="n"/>
      <c r="G523" s="15" t="n"/>
      <c r="H523" s="16" t="n"/>
      <c r="I523" s="15">
        <f>IF(ISBLANK($E523)," ",IF($E523&gt;$H523,$C523,$F523))</f>
        <v/>
      </c>
      <c r="J523" s="15">
        <f>IF(ISBLANK($E523)," ",IF($E523&gt;$H523,$D523,$G523))</f>
        <v/>
      </c>
      <c r="K523" s="15" t="n"/>
      <c r="L523" s="15">
        <f>E523-H523</f>
        <v/>
      </c>
      <c r="M523" s="5">
        <f>IF(ISBLANK($E523),"",VLOOKUP($I523,PLAYERS_IDS,2,FALSE)*VLOOKUP($J523,PLAYERS_IDS,2,FALSE))</f>
        <v/>
      </c>
      <c r="N523" s="25">
        <f>IF(ISBLANK($E523)," ", COUNTIF($M$4:$M523,$M523))</f>
        <v/>
      </c>
      <c r="O523" s="25">
        <f>IF(N523 =" ", " ", IF(N523=1,15,(IF(N523=2,15,(IF(N523=3,15,15))))))</f>
        <v/>
      </c>
      <c r="P523" s="5">
        <f>IF(ISBLANK($F523),"",VLOOKUP($C523,PLAYERS_IDS,2,FALSE)*VLOOKUP($D523,PLAYERS_IDS,2,FALSE))</f>
        <v/>
      </c>
      <c r="Q523" s="5">
        <f>IF(ISBLANK($F523), "",VLOOKUP($F523,PLAYERS_IDS,2,FALSE)*VLOOKUP($G523,PLAYERS_IDS,2,FALSE))</f>
        <v/>
      </c>
      <c r="R523" s="5">
        <f>IFERROR((P523*100000)+Q523,"")</f>
        <v/>
      </c>
    </row>
    <row r="524" ht="20.25" customHeight="1" s="106">
      <c r="A524" s="14" t="n"/>
      <c r="B524" s="15" t="n">
        <v>520</v>
      </c>
      <c r="C524" s="15" t="n"/>
      <c r="D524" s="15" t="n"/>
      <c r="E524" s="16" t="n"/>
      <c r="F524" s="15" t="n"/>
      <c r="G524" s="15" t="n"/>
      <c r="H524" s="16" t="n"/>
      <c r="I524" s="15">
        <f>IF(ISBLANK($E524)," ",IF($E524&gt;$H524,$C524,$F524))</f>
        <v/>
      </c>
      <c r="J524" s="15">
        <f>IF(ISBLANK($E524)," ",IF($E524&gt;$H524,$D524,$G524))</f>
        <v/>
      </c>
      <c r="K524" s="15" t="n"/>
      <c r="L524" s="15">
        <f>E524-H524</f>
        <v/>
      </c>
      <c r="M524" s="5">
        <f>IF(ISBLANK($E524),"",VLOOKUP($I524,PLAYERS_IDS,2,FALSE)*VLOOKUP($J524,PLAYERS_IDS,2,FALSE))</f>
        <v/>
      </c>
      <c r="N524" s="25">
        <f>IF(ISBLANK($E524)," ", COUNTIF($M$4:$M524,$M524))</f>
        <v/>
      </c>
      <c r="O524" s="25">
        <f>IF(N524 =" ", " ", IF(N524=1,15,(IF(N524=2,15,(IF(N524=3,15,15))))))</f>
        <v/>
      </c>
      <c r="P524" s="5">
        <f>IF(ISBLANK($F524),"",VLOOKUP($C524,PLAYERS_IDS,2,FALSE)*VLOOKUP($D524,PLAYERS_IDS,2,FALSE))</f>
        <v/>
      </c>
      <c r="Q524" s="5">
        <f>IF(ISBLANK($F524), "",VLOOKUP($F524,PLAYERS_IDS,2,FALSE)*VLOOKUP($G524,PLAYERS_IDS,2,FALSE))</f>
        <v/>
      </c>
      <c r="R524" s="5">
        <f>IFERROR((P524*100000)+Q524,"")</f>
        <v/>
      </c>
    </row>
    <row r="525" ht="20.25" customHeight="1" s="106">
      <c r="A525" s="14" t="n"/>
      <c r="B525" s="15" t="n">
        <v>521</v>
      </c>
      <c r="C525" s="15" t="n"/>
      <c r="D525" s="15" t="n"/>
      <c r="E525" s="16" t="n"/>
      <c r="F525" s="15" t="n"/>
      <c r="G525" s="15" t="n"/>
      <c r="H525" s="16" t="n"/>
      <c r="I525" s="15">
        <f>IF(ISBLANK($E525)," ",IF($E525&gt;$H525,$C525,$F525))</f>
        <v/>
      </c>
      <c r="J525" s="15">
        <f>IF(ISBLANK($E525)," ",IF($E525&gt;$H525,$D525,$G525))</f>
        <v/>
      </c>
      <c r="K525" s="15" t="n"/>
      <c r="L525" s="15">
        <f>E525-H525</f>
        <v/>
      </c>
      <c r="M525" s="5">
        <f>IF(ISBLANK($E525),"",VLOOKUP($I525,PLAYERS_IDS,2,FALSE)*VLOOKUP($J525,PLAYERS_IDS,2,FALSE))</f>
        <v/>
      </c>
      <c r="N525" s="25">
        <f>IF(ISBLANK($E525)," ", COUNTIF($M$4:$M525,$M525))</f>
        <v/>
      </c>
      <c r="O525" s="25">
        <f>IF(N525 =" ", " ", IF(N525=1,15,(IF(N525=2,15,(IF(N525=3,15,15))))))</f>
        <v/>
      </c>
      <c r="P525" s="5">
        <f>IF(ISBLANK($F525),"",VLOOKUP($C525,PLAYERS_IDS,2,FALSE)*VLOOKUP($D525,PLAYERS_IDS,2,FALSE))</f>
        <v/>
      </c>
      <c r="Q525" s="5">
        <f>IF(ISBLANK($F525), "",VLOOKUP($F525,PLAYERS_IDS,2,FALSE)*VLOOKUP($G525,PLAYERS_IDS,2,FALSE))</f>
        <v/>
      </c>
      <c r="R525" s="5">
        <f>IFERROR((P525*100000)+Q525,"")</f>
        <v/>
      </c>
    </row>
    <row r="526" ht="20.25" customHeight="1" s="106">
      <c r="A526" s="14" t="n"/>
      <c r="B526" s="15" t="n">
        <v>522</v>
      </c>
      <c r="C526" s="15" t="n"/>
      <c r="D526" s="15" t="n"/>
      <c r="E526" s="16" t="n"/>
      <c r="F526" s="15" t="n"/>
      <c r="G526" s="15" t="n"/>
      <c r="H526" s="16" t="n"/>
      <c r="I526" s="15">
        <f>IF(ISBLANK($E526)," ",IF($E526&gt;$H526,$C526,$F526))</f>
        <v/>
      </c>
      <c r="J526" s="15">
        <f>IF(ISBLANK($E526)," ",IF($E526&gt;$H526,$D526,$G526))</f>
        <v/>
      </c>
      <c r="K526" s="15" t="n"/>
      <c r="L526" s="15">
        <f>E526-H526</f>
        <v/>
      </c>
      <c r="M526" s="5">
        <f>IF(ISBLANK($E526),"",VLOOKUP($I526,PLAYERS_IDS,2,FALSE)*VLOOKUP($J526,PLAYERS_IDS,2,FALSE))</f>
        <v/>
      </c>
      <c r="N526" s="25">
        <f>IF(ISBLANK($E526)," ", COUNTIF($M$4:$M526,$M526))</f>
        <v/>
      </c>
      <c r="O526" s="25">
        <f>IF(N526 =" ", " ", IF(N526=1,15,(IF(N526=2,15,(IF(N526=3,15,15))))))</f>
        <v/>
      </c>
      <c r="P526" s="5">
        <f>IF(ISBLANK($F526),"",VLOOKUP($C526,PLAYERS_IDS,2,FALSE)*VLOOKUP($D526,PLAYERS_IDS,2,FALSE))</f>
        <v/>
      </c>
      <c r="Q526" s="5">
        <f>IF(ISBLANK($F526), "",VLOOKUP($F526,PLAYERS_IDS,2,FALSE)*VLOOKUP($G526,PLAYERS_IDS,2,FALSE))</f>
        <v/>
      </c>
      <c r="R526" s="5">
        <f>IFERROR((P526*100000)+Q526,"")</f>
        <v/>
      </c>
    </row>
    <row r="527" ht="20.25" customHeight="1" s="106">
      <c r="A527" s="14" t="n"/>
      <c r="B527" s="15" t="n">
        <v>523</v>
      </c>
      <c r="C527" s="15" t="n"/>
      <c r="D527" s="15" t="n"/>
      <c r="E527" s="16" t="n"/>
      <c r="F527" s="15" t="n"/>
      <c r="G527" s="15" t="n"/>
      <c r="H527" s="16" t="n"/>
      <c r="I527" s="15">
        <f>IF(ISBLANK($E527)," ",IF($E527&gt;$H527,$C527,$F527))</f>
        <v/>
      </c>
      <c r="J527" s="15">
        <f>IF(ISBLANK($E527)," ",IF($E527&gt;$H527,$D527,$G527))</f>
        <v/>
      </c>
      <c r="K527" s="15" t="n"/>
      <c r="L527" s="15">
        <f>E527-H527</f>
        <v/>
      </c>
      <c r="M527" s="5">
        <f>IF(ISBLANK($E527),"",VLOOKUP($I527,PLAYERS_IDS,2,FALSE)*VLOOKUP($J527,PLAYERS_IDS,2,FALSE))</f>
        <v/>
      </c>
      <c r="N527" s="25">
        <f>IF(ISBLANK($E527)," ", COUNTIF($M$4:$M527,$M527))</f>
        <v/>
      </c>
      <c r="O527" s="25">
        <f>IF(N527 =" ", " ", IF(N527=1,15,(IF(N527=2,15,(IF(N527=3,15,15))))))</f>
        <v/>
      </c>
      <c r="P527" s="5">
        <f>IF(ISBLANK($F527),"",VLOOKUP($C527,PLAYERS_IDS,2,FALSE)*VLOOKUP($D527,PLAYERS_IDS,2,FALSE))</f>
        <v/>
      </c>
      <c r="Q527" s="5">
        <f>IF(ISBLANK($F527), "",VLOOKUP($F527,PLAYERS_IDS,2,FALSE)*VLOOKUP($G527,PLAYERS_IDS,2,FALSE))</f>
        <v/>
      </c>
      <c r="R527" s="5">
        <f>IFERROR((P527*100000)+Q527,"")</f>
        <v/>
      </c>
    </row>
    <row r="528" ht="20.25" customHeight="1" s="106">
      <c r="A528" s="14" t="n"/>
      <c r="B528" s="15" t="n">
        <v>524</v>
      </c>
      <c r="C528" s="15" t="n"/>
      <c r="D528" s="15" t="n"/>
      <c r="E528" s="16" t="n"/>
      <c r="F528" s="15" t="n"/>
      <c r="G528" s="15" t="n"/>
      <c r="H528" s="16" t="n"/>
      <c r="I528" s="15">
        <f>IF(ISBLANK($E528)," ",IF($E528&gt;$H528,$C528,$F528))</f>
        <v/>
      </c>
      <c r="J528" s="15">
        <f>IF(ISBLANK($E528)," ",IF($E528&gt;$H528,$D528,$G528))</f>
        <v/>
      </c>
      <c r="K528" s="15" t="n"/>
      <c r="L528" s="15">
        <f>E528-H528</f>
        <v/>
      </c>
      <c r="M528" s="5">
        <f>IF(ISBLANK($E528),"",VLOOKUP($I528,PLAYERS_IDS,2,FALSE)*VLOOKUP($J528,PLAYERS_IDS,2,FALSE))</f>
        <v/>
      </c>
      <c r="N528" s="25">
        <f>IF(ISBLANK($E528)," ", COUNTIF($M$4:$M528,$M528))</f>
        <v/>
      </c>
      <c r="O528" s="25">
        <f>IF(N528 =" ", " ", IF(N528=1,15,(IF(N528=2,15,(IF(N528=3,15,15))))))</f>
        <v/>
      </c>
      <c r="P528" s="5">
        <f>IF(ISBLANK($F528),"",VLOOKUP($C528,PLAYERS_IDS,2,FALSE)*VLOOKUP($D528,PLAYERS_IDS,2,FALSE))</f>
        <v/>
      </c>
      <c r="Q528" s="5">
        <f>IF(ISBLANK($F528), "",VLOOKUP($F528,PLAYERS_IDS,2,FALSE)*VLOOKUP($G528,PLAYERS_IDS,2,FALSE))</f>
        <v/>
      </c>
      <c r="R528" s="5">
        <f>IFERROR((P528*100000)+Q528,"")</f>
        <v/>
      </c>
    </row>
    <row r="529" ht="20.25" customHeight="1" s="106">
      <c r="A529" s="14" t="n"/>
      <c r="B529" s="15" t="n">
        <v>525</v>
      </c>
      <c r="C529" s="15" t="n"/>
      <c r="D529" s="15" t="n"/>
      <c r="E529" s="16" t="n"/>
      <c r="F529" s="15" t="n"/>
      <c r="G529" s="15" t="n"/>
      <c r="H529" s="16" t="n"/>
      <c r="I529" s="15">
        <f>IF(ISBLANK($E529)," ",IF($E529&gt;$H529,$C529,$F529))</f>
        <v/>
      </c>
      <c r="J529" s="15">
        <f>IF(ISBLANK($E529)," ",IF($E529&gt;$H529,$D529,$G529))</f>
        <v/>
      </c>
      <c r="K529" s="15" t="n"/>
      <c r="L529" s="15">
        <f>E529-H529</f>
        <v/>
      </c>
      <c r="M529" s="5">
        <f>IF(ISBLANK($E529),"",VLOOKUP($I529,PLAYERS_IDS,2,FALSE)*VLOOKUP($J529,PLAYERS_IDS,2,FALSE))</f>
        <v/>
      </c>
      <c r="N529" s="25">
        <f>IF(ISBLANK($E529)," ", COUNTIF($M$4:$M529,$M529))</f>
        <v/>
      </c>
      <c r="O529" s="25">
        <f>IF(N529 =" ", " ", IF(N529=1,15,(IF(N529=2,15,(IF(N529=3,15,15))))))</f>
        <v/>
      </c>
      <c r="P529" s="5">
        <f>IF(ISBLANK($F529),"",VLOOKUP($C529,PLAYERS_IDS,2,FALSE)*VLOOKUP($D529,PLAYERS_IDS,2,FALSE))</f>
        <v/>
      </c>
      <c r="Q529" s="5">
        <f>IF(ISBLANK($F529), "",VLOOKUP($F529,PLAYERS_IDS,2,FALSE)*VLOOKUP($G529,PLAYERS_IDS,2,FALSE))</f>
        <v/>
      </c>
      <c r="R529" s="5">
        <f>IFERROR((P529*100000)+Q529,"")</f>
        <v/>
      </c>
    </row>
    <row r="530" ht="20.25" customHeight="1" s="106">
      <c r="A530" s="14" t="n"/>
      <c r="B530" s="15" t="n">
        <v>526</v>
      </c>
      <c r="C530" s="15" t="n"/>
      <c r="D530" s="15" t="n"/>
      <c r="E530" s="16" t="n"/>
      <c r="F530" s="15" t="n"/>
      <c r="G530" s="15" t="n"/>
      <c r="H530" s="16" t="n"/>
      <c r="I530" s="15">
        <f>IF(ISBLANK($E530)," ",IF($E530&gt;$H530,$C530,$F530))</f>
        <v/>
      </c>
      <c r="J530" s="15">
        <f>IF(ISBLANK($E530)," ",IF($E530&gt;$H530,$D530,$G530))</f>
        <v/>
      </c>
      <c r="K530" s="15" t="n"/>
      <c r="L530" s="15">
        <f>E530-H530</f>
        <v/>
      </c>
      <c r="M530" s="5">
        <f>IF(ISBLANK($E530),"",VLOOKUP($I530,PLAYERS_IDS,2,FALSE)*VLOOKUP($J530,PLAYERS_IDS,2,FALSE))</f>
        <v/>
      </c>
      <c r="N530" s="25">
        <f>IF(ISBLANK($E530)," ", COUNTIF($M$4:$M530,$M530))</f>
        <v/>
      </c>
      <c r="O530" s="25">
        <f>IF(N530 =" ", " ", IF(N530=1,15,(IF(N530=2,15,(IF(N530=3,15,15))))))</f>
        <v/>
      </c>
      <c r="P530" s="5">
        <f>IF(ISBLANK($F530),"",VLOOKUP($C530,PLAYERS_IDS,2,FALSE)*VLOOKUP($D530,PLAYERS_IDS,2,FALSE))</f>
        <v/>
      </c>
      <c r="Q530" s="5">
        <f>IF(ISBLANK($F530), "",VLOOKUP($F530,PLAYERS_IDS,2,FALSE)*VLOOKUP($G530,PLAYERS_IDS,2,FALSE))</f>
        <v/>
      </c>
      <c r="R530" s="5">
        <f>IFERROR((P530*100000)+Q530,"")</f>
        <v/>
      </c>
    </row>
    <row r="531" ht="20.25" customHeight="1" s="106">
      <c r="A531" s="14" t="n"/>
      <c r="B531" s="15" t="n">
        <v>527</v>
      </c>
      <c r="C531" s="15" t="n"/>
      <c r="D531" s="15" t="n"/>
      <c r="E531" s="16" t="n"/>
      <c r="F531" s="15" t="n"/>
      <c r="G531" s="15" t="n"/>
      <c r="H531" s="16" t="n"/>
      <c r="I531" s="15">
        <f>IF(ISBLANK($E531)," ",IF($E531&gt;$H531,$C531,$F531))</f>
        <v/>
      </c>
      <c r="J531" s="15">
        <f>IF(ISBLANK($E531)," ",IF($E531&gt;$H531,$D531,$G531))</f>
        <v/>
      </c>
      <c r="K531" s="15" t="n"/>
      <c r="L531" s="15">
        <f>E531-H531</f>
        <v/>
      </c>
      <c r="M531" s="5">
        <f>IF(ISBLANK($E531),"",VLOOKUP($I531,PLAYERS_IDS,2,FALSE)*VLOOKUP($J531,PLAYERS_IDS,2,FALSE))</f>
        <v/>
      </c>
      <c r="N531" s="25">
        <f>IF(ISBLANK($E531)," ", COUNTIF($M$4:$M531,$M531))</f>
        <v/>
      </c>
      <c r="O531" s="25">
        <f>IF(N531 =" ", " ", IF(N531=1,15,(IF(N531=2,15,(IF(N531=3,15,15))))))</f>
        <v/>
      </c>
      <c r="P531" s="5">
        <f>IF(ISBLANK($F531),"",VLOOKUP($C531,PLAYERS_IDS,2,FALSE)*VLOOKUP($D531,PLAYERS_IDS,2,FALSE))</f>
        <v/>
      </c>
      <c r="Q531" s="5">
        <f>IF(ISBLANK($F531), "",VLOOKUP($F531,PLAYERS_IDS,2,FALSE)*VLOOKUP($G531,PLAYERS_IDS,2,FALSE))</f>
        <v/>
      </c>
      <c r="R531" s="5">
        <f>IFERROR((P531*100000)+Q531,"")</f>
        <v/>
      </c>
    </row>
    <row r="532" ht="20.25" customHeight="1" s="106">
      <c r="A532" s="14" t="n"/>
      <c r="B532" s="15" t="n">
        <v>528</v>
      </c>
      <c r="C532" s="15" t="n"/>
      <c r="D532" s="15" t="n"/>
      <c r="E532" s="16" t="n"/>
      <c r="F532" s="15" t="n"/>
      <c r="G532" s="15" t="n"/>
      <c r="H532" s="16" t="n"/>
      <c r="I532" s="15">
        <f>IF(ISBLANK($E532)," ",IF($E532&gt;$H532,$C532,$F532))</f>
        <v/>
      </c>
      <c r="J532" s="15">
        <f>IF(ISBLANK($E532)," ",IF($E532&gt;$H532,$D532,$G532))</f>
        <v/>
      </c>
      <c r="K532" s="15" t="n"/>
      <c r="L532" s="15">
        <f>E532-H532</f>
        <v/>
      </c>
      <c r="M532" s="5">
        <f>IF(ISBLANK($E532),"",VLOOKUP($I532,PLAYERS_IDS,2,FALSE)*VLOOKUP($J532,PLAYERS_IDS,2,FALSE))</f>
        <v/>
      </c>
      <c r="N532" s="25">
        <f>IF(ISBLANK($E532)," ", COUNTIF($M$4:$M532,$M532))</f>
        <v/>
      </c>
      <c r="O532" s="25">
        <f>IF(N532 =" ", " ", IF(N532=1,15,(IF(N532=2,15,(IF(N532=3,15,15))))))</f>
        <v/>
      </c>
      <c r="P532" s="5">
        <f>IF(ISBLANK($F532),"",VLOOKUP($C532,PLAYERS_IDS,2,FALSE)*VLOOKUP($D532,PLAYERS_IDS,2,FALSE))</f>
        <v/>
      </c>
      <c r="Q532" s="5">
        <f>IF(ISBLANK($F532), "",VLOOKUP($F532,PLAYERS_IDS,2,FALSE)*VLOOKUP($G532,PLAYERS_IDS,2,FALSE))</f>
        <v/>
      </c>
      <c r="R532" s="5">
        <f>IFERROR((P532*100000)+Q532,"")</f>
        <v/>
      </c>
    </row>
    <row r="533" ht="20.25" customHeight="1" s="106">
      <c r="A533" s="14" t="n"/>
      <c r="B533" s="15" t="n">
        <v>529</v>
      </c>
      <c r="C533" s="15" t="n"/>
      <c r="D533" s="15" t="n"/>
      <c r="E533" s="16" t="n"/>
      <c r="F533" s="15" t="n"/>
      <c r="G533" s="15" t="n"/>
      <c r="H533" s="16" t="n"/>
      <c r="I533" s="15">
        <f>IF(ISBLANK($E533)," ",IF($E533&gt;$H533,$C533,$F533))</f>
        <v/>
      </c>
      <c r="J533" s="15">
        <f>IF(ISBLANK($E533)," ",IF($E533&gt;$H533,$D533,$G533))</f>
        <v/>
      </c>
      <c r="K533" s="15" t="n"/>
      <c r="L533" s="15">
        <f>E533-H533</f>
        <v/>
      </c>
      <c r="M533" s="5">
        <f>IF(ISBLANK($E533),"",VLOOKUP($I533,PLAYERS_IDS,2,FALSE)*VLOOKUP($J533,PLAYERS_IDS,2,FALSE))</f>
        <v/>
      </c>
      <c r="N533" s="25">
        <f>IF(ISBLANK($E533)," ", COUNTIF($M$4:$M533,$M533))</f>
        <v/>
      </c>
      <c r="O533" s="25">
        <f>IF(N533 =" ", " ", IF(N533=1,15,(IF(N533=2,15,(IF(N533=3,15,15))))))</f>
        <v/>
      </c>
      <c r="P533" s="5">
        <f>IF(ISBLANK($F533),"",VLOOKUP($C533,PLAYERS_IDS,2,FALSE)*VLOOKUP($D533,PLAYERS_IDS,2,FALSE))</f>
        <v/>
      </c>
      <c r="Q533" s="5">
        <f>IF(ISBLANK($F533), "",VLOOKUP($F533,PLAYERS_IDS,2,FALSE)*VLOOKUP($G533,PLAYERS_IDS,2,FALSE))</f>
        <v/>
      </c>
      <c r="R533" s="5">
        <f>IFERROR((P533*100000)+Q533,"")</f>
        <v/>
      </c>
    </row>
    <row r="534" ht="20.25" customHeight="1" s="106">
      <c r="A534" s="14" t="n"/>
      <c r="B534" s="15" t="n">
        <v>530</v>
      </c>
      <c r="C534" s="15" t="n"/>
      <c r="D534" s="15" t="n"/>
      <c r="E534" s="16" t="n"/>
      <c r="F534" s="15" t="n"/>
      <c r="G534" s="15" t="n"/>
      <c r="H534" s="16" t="n"/>
      <c r="I534" s="15">
        <f>IF(ISBLANK($E534)," ",IF($E534&gt;$H534,$C534,$F534))</f>
        <v/>
      </c>
      <c r="J534" s="15">
        <f>IF(ISBLANK($E534)," ",IF($E534&gt;$H534,$D534,$G534))</f>
        <v/>
      </c>
      <c r="K534" s="15" t="n"/>
      <c r="L534" s="15">
        <f>E534-H534</f>
        <v/>
      </c>
      <c r="M534" s="5">
        <f>IF(ISBLANK($E534),"",VLOOKUP($I534,PLAYERS_IDS,2,FALSE)*VLOOKUP($J534,PLAYERS_IDS,2,FALSE))</f>
        <v/>
      </c>
      <c r="N534" s="25">
        <f>IF(ISBLANK($E534)," ", COUNTIF($M$4:$M534,$M534))</f>
        <v/>
      </c>
      <c r="O534" s="25">
        <f>IF(N534 =" ", " ", IF(N534=1,15,(IF(N534=2,15,(IF(N534=3,15,15))))))</f>
        <v/>
      </c>
      <c r="P534" s="5">
        <f>IF(ISBLANK($F534),"",VLOOKUP($C534,PLAYERS_IDS,2,FALSE)*VLOOKUP($D534,PLAYERS_IDS,2,FALSE))</f>
        <v/>
      </c>
      <c r="Q534" s="5">
        <f>IF(ISBLANK($F534), "",VLOOKUP($F534,PLAYERS_IDS,2,FALSE)*VLOOKUP($G534,PLAYERS_IDS,2,FALSE))</f>
        <v/>
      </c>
      <c r="R534" s="5">
        <f>IFERROR((P534*100000)+Q534,"")</f>
        <v/>
      </c>
    </row>
    <row r="535" ht="20.25" customHeight="1" s="106">
      <c r="A535" s="14" t="n"/>
      <c r="B535" s="15" t="n">
        <v>531</v>
      </c>
      <c r="C535" s="15" t="n"/>
      <c r="D535" s="15" t="n"/>
      <c r="E535" s="16" t="n"/>
      <c r="F535" s="15" t="n"/>
      <c r="G535" s="15" t="n"/>
      <c r="H535" s="16" t="n"/>
      <c r="I535" s="15">
        <f>IF(ISBLANK($E535)," ",IF($E535&gt;$H535,$C535,$F535))</f>
        <v/>
      </c>
      <c r="J535" s="15">
        <f>IF(ISBLANK($E535)," ",IF($E535&gt;$H535,$D535,$G535))</f>
        <v/>
      </c>
      <c r="K535" s="15" t="n"/>
      <c r="L535" s="15">
        <f>E535-H535</f>
        <v/>
      </c>
      <c r="M535" s="5">
        <f>IF(ISBLANK($E535),"",VLOOKUP($I535,PLAYERS_IDS,2,FALSE)*VLOOKUP($J535,PLAYERS_IDS,2,FALSE))</f>
        <v/>
      </c>
      <c r="N535" s="25">
        <f>IF(ISBLANK($E535)," ", COUNTIF($M$4:$M535,$M535))</f>
        <v/>
      </c>
      <c r="O535" s="25">
        <f>IF(N535 =" ", " ", IF(N535=1,15,(IF(N535=2,15,(IF(N535=3,15,15))))))</f>
        <v/>
      </c>
      <c r="P535" s="5">
        <f>IF(ISBLANK($F535),"",VLOOKUP($C535,PLAYERS_IDS,2,FALSE)*VLOOKUP($D535,PLAYERS_IDS,2,FALSE))</f>
        <v/>
      </c>
      <c r="Q535" s="5">
        <f>IF(ISBLANK($F535), "",VLOOKUP($F535,PLAYERS_IDS,2,FALSE)*VLOOKUP($G535,PLAYERS_IDS,2,FALSE))</f>
        <v/>
      </c>
      <c r="R535" s="5">
        <f>IFERROR((P535*100000)+Q535,"")</f>
        <v/>
      </c>
    </row>
    <row r="536" ht="20.25" customHeight="1" s="106">
      <c r="A536" s="14" t="n"/>
      <c r="B536" s="15" t="n">
        <v>532</v>
      </c>
      <c r="C536" s="15" t="n"/>
      <c r="D536" s="15" t="n"/>
      <c r="E536" s="16" t="n"/>
      <c r="F536" s="15" t="n"/>
      <c r="G536" s="15" t="n"/>
      <c r="H536" s="16" t="n"/>
      <c r="I536" s="15">
        <f>IF(ISBLANK($E536)," ",IF($E536&gt;$H536,$C536,$F536))</f>
        <v/>
      </c>
      <c r="J536" s="15">
        <f>IF(ISBLANK($E536)," ",IF($E536&gt;$H536,$D536,$G536))</f>
        <v/>
      </c>
      <c r="K536" s="15" t="n"/>
      <c r="L536" s="15">
        <f>E536-H536</f>
        <v/>
      </c>
      <c r="M536" s="5">
        <f>IF(ISBLANK($E536),"",VLOOKUP($I536,PLAYERS_IDS,2,FALSE)*VLOOKUP($J536,PLAYERS_IDS,2,FALSE))</f>
        <v/>
      </c>
      <c r="N536" s="25">
        <f>IF(ISBLANK($E536)," ", COUNTIF($M$4:$M536,$M536))</f>
        <v/>
      </c>
      <c r="O536" s="25">
        <f>IF(N536 =" ", " ", IF(N536=1,15,(IF(N536=2,15,(IF(N536=3,15,15))))))</f>
        <v/>
      </c>
      <c r="P536" s="5">
        <f>IF(ISBLANK($F536),"",VLOOKUP($C536,PLAYERS_IDS,2,FALSE)*VLOOKUP($D536,PLAYERS_IDS,2,FALSE))</f>
        <v/>
      </c>
      <c r="Q536" s="5">
        <f>IF(ISBLANK($F536), "",VLOOKUP($F536,PLAYERS_IDS,2,FALSE)*VLOOKUP($G536,PLAYERS_IDS,2,FALSE))</f>
        <v/>
      </c>
      <c r="R536" s="5">
        <f>IFERROR((P536*100000)+Q536,"")</f>
        <v/>
      </c>
    </row>
    <row r="537" ht="20.25" customHeight="1" s="106">
      <c r="A537" s="14" t="n"/>
      <c r="B537" s="15" t="n">
        <v>533</v>
      </c>
      <c r="C537" s="15" t="n"/>
      <c r="D537" s="15" t="n"/>
      <c r="E537" s="16" t="n"/>
      <c r="F537" s="15" t="n"/>
      <c r="G537" s="15" t="n"/>
      <c r="H537" s="16" t="n"/>
      <c r="I537" s="15">
        <f>IF(ISBLANK($E537)," ",IF($E537&gt;$H537,$C537,$F537))</f>
        <v/>
      </c>
      <c r="J537" s="15">
        <f>IF(ISBLANK($E537)," ",IF($E537&gt;$H537,$D537,$G537))</f>
        <v/>
      </c>
      <c r="K537" s="15" t="n"/>
      <c r="L537" s="15">
        <f>E537-H537</f>
        <v/>
      </c>
      <c r="M537" s="5">
        <f>IF(ISBLANK($E537),"",VLOOKUP($I537,PLAYERS_IDS,2,FALSE)*VLOOKUP($J537,PLAYERS_IDS,2,FALSE))</f>
        <v/>
      </c>
      <c r="N537" s="25">
        <f>IF(ISBLANK($E537)," ", COUNTIF($M$4:$M537,$M537))</f>
        <v/>
      </c>
      <c r="O537" s="25">
        <f>IF(N537 =" ", " ", IF(N537=1,15,(IF(N537=2,15,(IF(N537=3,15,15))))))</f>
        <v/>
      </c>
      <c r="P537" s="5">
        <f>IF(ISBLANK($F537),"",VLOOKUP($C537,PLAYERS_IDS,2,FALSE)*VLOOKUP($D537,PLAYERS_IDS,2,FALSE))</f>
        <v/>
      </c>
      <c r="Q537" s="5">
        <f>IF(ISBLANK($F537), "",VLOOKUP($F537,PLAYERS_IDS,2,FALSE)*VLOOKUP($G537,PLAYERS_IDS,2,FALSE))</f>
        <v/>
      </c>
      <c r="R537" s="5">
        <f>IFERROR((P537*100000)+Q537,"")</f>
        <v/>
      </c>
    </row>
    <row r="538" ht="20.25" customHeight="1" s="106">
      <c r="A538" s="14" t="n"/>
      <c r="B538" s="15" t="n">
        <v>534</v>
      </c>
      <c r="C538" s="15" t="n"/>
      <c r="D538" s="15" t="n"/>
      <c r="E538" s="16" t="n"/>
      <c r="F538" s="15" t="n"/>
      <c r="G538" s="15" t="n"/>
      <c r="H538" s="16" t="n"/>
      <c r="I538" s="15">
        <f>IF(ISBLANK($E538)," ",IF($E538&gt;$H538,$C538,$F538))</f>
        <v/>
      </c>
      <c r="J538" s="15">
        <f>IF(ISBLANK($E538)," ",IF($E538&gt;$H538,$D538,$G538))</f>
        <v/>
      </c>
      <c r="K538" s="15" t="n"/>
      <c r="L538" s="15">
        <f>E538-H538</f>
        <v/>
      </c>
      <c r="M538" s="5">
        <f>IF(ISBLANK($E538),"",VLOOKUP($I538,PLAYERS_IDS,2,FALSE)*VLOOKUP($J538,PLAYERS_IDS,2,FALSE))</f>
        <v/>
      </c>
      <c r="N538" s="25">
        <f>IF(ISBLANK($E538)," ", COUNTIF($M$4:$M538,$M538))</f>
        <v/>
      </c>
      <c r="O538" s="25">
        <f>IF(N538 =" ", " ", IF(N538=1,15,(IF(N538=2,15,(IF(N538=3,15,15))))))</f>
        <v/>
      </c>
      <c r="P538" s="5">
        <f>IF(ISBLANK($F538),"",VLOOKUP($C538,PLAYERS_IDS,2,FALSE)*VLOOKUP($D538,PLAYERS_IDS,2,FALSE))</f>
        <v/>
      </c>
      <c r="Q538" s="5">
        <f>IF(ISBLANK($F538), "",VLOOKUP($F538,PLAYERS_IDS,2,FALSE)*VLOOKUP($G538,PLAYERS_IDS,2,FALSE))</f>
        <v/>
      </c>
      <c r="R538" s="5">
        <f>IFERROR((P538*100000)+Q538,"")</f>
        <v/>
      </c>
    </row>
    <row r="539" ht="20.25" customHeight="1" s="106">
      <c r="A539" s="14" t="n"/>
      <c r="B539" s="15" t="n">
        <v>535</v>
      </c>
      <c r="C539" s="15" t="n"/>
      <c r="D539" s="15" t="n"/>
      <c r="E539" s="16" t="n"/>
      <c r="F539" s="15" t="n"/>
      <c r="G539" s="15" t="n"/>
      <c r="H539" s="16" t="n"/>
      <c r="I539" s="15">
        <f>IF(ISBLANK($E539)," ",IF($E539&gt;$H539,$C539,$F539))</f>
        <v/>
      </c>
      <c r="J539" s="15">
        <f>IF(ISBLANK($E539)," ",IF($E539&gt;$H539,$D539,$G539))</f>
        <v/>
      </c>
      <c r="K539" s="15" t="n"/>
      <c r="L539" s="15">
        <f>E539-H539</f>
        <v/>
      </c>
      <c r="M539" s="5">
        <f>IF(ISBLANK($E539),"",VLOOKUP($I539,PLAYERS_IDS,2,FALSE)*VLOOKUP($J539,PLAYERS_IDS,2,FALSE))</f>
        <v/>
      </c>
      <c r="N539" s="25">
        <f>IF(ISBLANK($E539)," ", COUNTIF($M$4:$M539,$M539))</f>
        <v/>
      </c>
      <c r="O539" s="25">
        <f>IF(N539 =" ", " ", IF(N539=1,15,(IF(N539=2,15,(IF(N539=3,15,15))))))</f>
        <v/>
      </c>
      <c r="P539" s="5">
        <f>IF(ISBLANK($F539),"",VLOOKUP($C539,PLAYERS_IDS,2,FALSE)*VLOOKUP($D539,PLAYERS_IDS,2,FALSE))</f>
        <v/>
      </c>
      <c r="Q539" s="5">
        <f>IF(ISBLANK($F539), "",VLOOKUP($F539,PLAYERS_IDS,2,FALSE)*VLOOKUP($G539,PLAYERS_IDS,2,FALSE))</f>
        <v/>
      </c>
      <c r="R539" s="5">
        <f>IFERROR((P539*100000)+Q539,"")</f>
        <v/>
      </c>
    </row>
    <row r="540" ht="20.25" customHeight="1" s="106">
      <c r="A540" s="14" t="n"/>
      <c r="B540" s="15" t="n">
        <v>536</v>
      </c>
      <c r="C540" s="15" t="n"/>
      <c r="D540" s="15" t="n"/>
      <c r="E540" s="16" t="n"/>
      <c r="F540" s="15" t="n"/>
      <c r="G540" s="15" t="n"/>
      <c r="H540" s="16" t="n"/>
      <c r="I540" s="15">
        <f>IF(ISBLANK($E540)," ",IF($E540&gt;$H540,$C540,$F540))</f>
        <v/>
      </c>
      <c r="J540" s="15">
        <f>IF(ISBLANK($E540)," ",IF($E540&gt;$H540,$D540,$G540))</f>
        <v/>
      </c>
      <c r="K540" s="15" t="n"/>
      <c r="L540" s="15">
        <f>E540-H540</f>
        <v/>
      </c>
      <c r="M540" s="5">
        <f>IF(ISBLANK($E540),"",VLOOKUP($I540,PLAYERS_IDS,2,FALSE)*VLOOKUP($J540,PLAYERS_IDS,2,FALSE))</f>
        <v/>
      </c>
      <c r="N540" s="25">
        <f>IF(ISBLANK($E540)," ", COUNTIF($M$4:$M540,$M540))</f>
        <v/>
      </c>
      <c r="O540" s="25">
        <f>IF(N540 =" ", " ", IF(N540=1,15,(IF(N540=2,15,(IF(N540=3,15,15))))))</f>
        <v/>
      </c>
      <c r="P540" s="5">
        <f>IF(ISBLANK($F540),"",VLOOKUP($C540,PLAYERS_IDS,2,FALSE)*VLOOKUP($D540,PLAYERS_IDS,2,FALSE))</f>
        <v/>
      </c>
      <c r="Q540" s="5">
        <f>IF(ISBLANK($F540), "",VLOOKUP($F540,PLAYERS_IDS,2,FALSE)*VLOOKUP($G540,PLAYERS_IDS,2,FALSE))</f>
        <v/>
      </c>
      <c r="R540" s="5">
        <f>IFERROR((P540*100000)+Q540,"")</f>
        <v/>
      </c>
    </row>
    <row r="541" ht="20.25" customHeight="1" s="106">
      <c r="A541" s="14" t="n"/>
      <c r="B541" s="15" t="n">
        <v>537</v>
      </c>
      <c r="C541" s="15" t="n"/>
      <c r="D541" s="15" t="n"/>
      <c r="E541" s="16" t="n"/>
      <c r="F541" s="15" t="n"/>
      <c r="G541" s="15" t="n"/>
      <c r="H541" s="16" t="n"/>
      <c r="I541" s="15">
        <f>IF(ISBLANK($E541)," ",IF($E541&gt;$H541,$C541,$F541))</f>
        <v/>
      </c>
      <c r="J541" s="15">
        <f>IF(ISBLANK($E541)," ",IF($E541&gt;$H541,$D541,$G541))</f>
        <v/>
      </c>
      <c r="K541" s="15" t="n"/>
      <c r="L541" s="15">
        <f>E541-H541</f>
        <v/>
      </c>
      <c r="M541" s="5">
        <f>IF(ISBLANK($E541),"",VLOOKUP($I541,PLAYERS_IDS,2,FALSE)*VLOOKUP($J541,PLAYERS_IDS,2,FALSE))</f>
        <v/>
      </c>
      <c r="N541" s="25">
        <f>IF(ISBLANK($E541)," ", COUNTIF($M$4:$M541,$M541))</f>
        <v/>
      </c>
      <c r="O541" s="25">
        <f>IF(N541 =" ", " ", IF(N541=1,15,(IF(N541=2,15,(IF(N541=3,15,15))))))</f>
        <v/>
      </c>
      <c r="P541" s="5">
        <f>IF(ISBLANK($F541),"",VLOOKUP($C541,PLAYERS_IDS,2,FALSE)*VLOOKUP($D541,PLAYERS_IDS,2,FALSE))</f>
        <v/>
      </c>
      <c r="Q541" s="5">
        <f>IF(ISBLANK($F541), "",VLOOKUP($F541,PLAYERS_IDS,2,FALSE)*VLOOKUP($G541,PLAYERS_IDS,2,FALSE))</f>
        <v/>
      </c>
      <c r="R541" s="5">
        <f>IFERROR((P541*100000)+Q541,"")</f>
        <v/>
      </c>
    </row>
    <row r="542" ht="20.25" customHeight="1" s="106">
      <c r="A542" s="14" t="n"/>
      <c r="B542" s="15" t="n">
        <v>538</v>
      </c>
      <c r="C542" s="15" t="n"/>
      <c r="D542" s="15" t="n"/>
      <c r="E542" s="16" t="n"/>
      <c r="F542" s="15" t="n"/>
      <c r="G542" s="15" t="n"/>
      <c r="H542" s="16" t="n"/>
      <c r="I542" s="15">
        <f>IF(ISBLANK($E542)," ",IF($E542&gt;$H542,$C542,$F542))</f>
        <v/>
      </c>
      <c r="J542" s="15">
        <f>IF(ISBLANK($E542)," ",IF($E542&gt;$H542,$D542,$G542))</f>
        <v/>
      </c>
      <c r="K542" s="15" t="n"/>
      <c r="L542" s="15">
        <f>E542-H542</f>
        <v/>
      </c>
      <c r="M542" s="5">
        <f>IF(ISBLANK($E542),"",VLOOKUP($I542,PLAYERS_IDS,2,FALSE)*VLOOKUP($J542,PLAYERS_IDS,2,FALSE))</f>
        <v/>
      </c>
      <c r="N542" s="25">
        <f>IF(ISBLANK($E542)," ", COUNTIF($M$4:$M542,$M542))</f>
        <v/>
      </c>
      <c r="O542" s="25">
        <f>IF(N542 =" ", " ", IF(N542=1,15,(IF(N542=2,15,(IF(N542=3,15,15))))))</f>
        <v/>
      </c>
      <c r="P542" s="5">
        <f>IF(ISBLANK($F542),"",VLOOKUP($C542,PLAYERS_IDS,2,FALSE)*VLOOKUP($D542,PLAYERS_IDS,2,FALSE))</f>
        <v/>
      </c>
      <c r="Q542" s="5">
        <f>IF(ISBLANK($F542), "",VLOOKUP($F542,PLAYERS_IDS,2,FALSE)*VLOOKUP($G542,PLAYERS_IDS,2,FALSE))</f>
        <v/>
      </c>
      <c r="R542" s="5">
        <f>IFERROR((P542*100000)+Q542,"")</f>
        <v/>
      </c>
    </row>
    <row r="543" ht="20.25" customHeight="1" s="106">
      <c r="A543" s="14" t="n"/>
      <c r="B543" s="15" t="n">
        <v>539</v>
      </c>
      <c r="C543" s="15" t="n"/>
      <c r="D543" s="15" t="n"/>
      <c r="E543" s="16" t="n"/>
      <c r="F543" s="15" t="n"/>
      <c r="G543" s="15" t="n"/>
      <c r="H543" s="16" t="n"/>
      <c r="I543" s="15">
        <f>IF(ISBLANK($E543)," ",IF($E543&gt;$H543,$C543,$F543))</f>
        <v/>
      </c>
      <c r="J543" s="15">
        <f>IF(ISBLANK($E543)," ",IF($E543&gt;$H543,$D543,$G543))</f>
        <v/>
      </c>
      <c r="K543" s="15" t="n"/>
      <c r="L543" s="15">
        <f>E543-H543</f>
        <v/>
      </c>
      <c r="M543" s="5">
        <f>IF(ISBLANK($E543),"",VLOOKUP($I543,PLAYERS_IDS,2,FALSE)*VLOOKUP($J543,PLAYERS_IDS,2,FALSE))</f>
        <v/>
      </c>
      <c r="N543" s="25">
        <f>IF(ISBLANK($E543)," ", COUNTIF($M$4:$M543,$M543))</f>
        <v/>
      </c>
      <c r="O543" s="25">
        <f>IF(N543 =" ", " ", IF(N543=1,15,(IF(N543=2,15,(IF(N543=3,15,15))))))</f>
        <v/>
      </c>
      <c r="P543" s="5">
        <f>IF(ISBLANK($F543),"",VLOOKUP($C543,PLAYERS_IDS,2,FALSE)*VLOOKUP($D543,PLAYERS_IDS,2,FALSE))</f>
        <v/>
      </c>
      <c r="Q543" s="5">
        <f>IF(ISBLANK($F543), "",VLOOKUP($F543,PLAYERS_IDS,2,FALSE)*VLOOKUP($G543,PLAYERS_IDS,2,FALSE))</f>
        <v/>
      </c>
      <c r="R543" s="5">
        <f>IFERROR((P543*100000)+Q543,"")</f>
        <v/>
      </c>
    </row>
    <row r="544" ht="20.25" customHeight="1" s="106">
      <c r="A544" s="14" t="n"/>
      <c r="B544" s="15" t="n">
        <v>540</v>
      </c>
      <c r="C544" s="15" t="n"/>
      <c r="D544" s="15" t="n"/>
      <c r="E544" s="16" t="n"/>
      <c r="F544" s="15" t="n"/>
      <c r="G544" s="15" t="n"/>
      <c r="H544" s="16" t="n"/>
      <c r="I544" s="15">
        <f>IF(ISBLANK($E544)," ",IF($E544&gt;$H544,$C544,$F544))</f>
        <v/>
      </c>
      <c r="J544" s="15">
        <f>IF(ISBLANK($E544)," ",IF($E544&gt;$H544,$D544,$G544))</f>
        <v/>
      </c>
      <c r="K544" s="15" t="n"/>
      <c r="L544" s="15">
        <f>E544-H544</f>
        <v/>
      </c>
      <c r="M544" s="5">
        <f>IF(ISBLANK($E544),"",VLOOKUP($I544,PLAYERS_IDS,2,FALSE)*VLOOKUP($J544,PLAYERS_IDS,2,FALSE))</f>
        <v/>
      </c>
      <c r="N544" s="25">
        <f>IF(ISBLANK($E544)," ", COUNTIF($M$4:$M544,$M544))</f>
        <v/>
      </c>
      <c r="O544" s="25">
        <f>IF(N544 =" ", " ", IF(N544=1,15,(IF(N544=2,15,(IF(N544=3,15,15))))))</f>
        <v/>
      </c>
      <c r="P544" s="5">
        <f>IF(ISBLANK($F544),"",VLOOKUP($C544,PLAYERS_IDS,2,FALSE)*VLOOKUP($D544,PLAYERS_IDS,2,FALSE))</f>
        <v/>
      </c>
      <c r="Q544" s="5">
        <f>IF(ISBLANK($F544), "",VLOOKUP($F544,PLAYERS_IDS,2,FALSE)*VLOOKUP($G544,PLAYERS_IDS,2,FALSE))</f>
        <v/>
      </c>
      <c r="R544" s="5">
        <f>IFERROR((P544*100000)+Q544,"")</f>
        <v/>
      </c>
    </row>
    <row r="545" ht="20.25" customHeight="1" s="106">
      <c r="A545" s="14" t="n"/>
      <c r="B545" s="15" t="n">
        <v>541</v>
      </c>
      <c r="C545" s="15" t="n"/>
      <c r="D545" s="15" t="n"/>
      <c r="E545" s="16" t="n"/>
      <c r="F545" s="15" t="n"/>
      <c r="G545" s="15" t="n"/>
      <c r="H545" s="16" t="n"/>
      <c r="I545" s="15">
        <f>IF(ISBLANK($E545)," ",IF($E545&gt;$H545,$C545,$F545))</f>
        <v/>
      </c>
      <c r="J545" s="15">
        <f>IF(ISBLANK($E545)," ",IF($E545&gt;$H545,$D545,$G545))</f>
        <v/>
      </c>
      <c r="K545" s="15" t="n"/>
      <c r="L545" s="15">
        <f>E545-H545</f>
        <v/>
      </c>
      <c r="M545" s="5">
        <f>IF(ISBLANK($E545),"",VLOOKUP($I545,PLAYERS_IDS,2,FALSE)*VLOOKUP($J545,PLAYERS_IDS,2,FALSE))</f>
        <v/>
      </c>
      <c r="N545" s="25">
        <f>IF(ISBLANK($E545)," ", COUNTIF($M$4:$M545,$M545))</f>
        <v/>
      </c>
      <c r="O545" s="25">
        <f>IF(N545 =" ", " ", IF(N545=1,15,(IF(N545=2,15,(IF(N545=3,15,15))))))</f>
        <v/>
      </c>
      <c r="P545" s="5">
        <f>IF(ISBLANK($F545),"",VLOOKUP($C545,PLAYERS_IDS,2,FALSE)*VLOOKUP($D545,PLAYERS_IDS,2,FALSE))</f>
        <v/>
      </c>
      <c r="Q545" s="5">
        <f>IF(ISBLANK($F545), "",VLOOKUP($F545,PLAYERS_IDS,2,FALSE)*VLOOKUP($G545,PLAYERS_IDS,2,FALSE))</f>
        <v/>
      </c>
      <c r="R545" s="5">
        <f>IFERROR((P545*100000)+Q545,"")</f>
        <v/>
      </c>
    </row>
    <row r="546" ht="20.25" customHeight="1" s="106">
      <c r="A546" s="14" t="n"/>
      <c r="B546" s="15" t="n">
        <v>542</v>
      </c>
      <c r="C546" s="15" t="n"/>
      <c r="D546" s="15" t="n"/>
      <c r="E546" s="16" t="n"/>
      <c r="F546" s="15" t="n"/>
      <c r="G546" s="15" t="n"/>
      <c r="H546" s="16" t="n"/>
      <c r="I546" s="15">
        <f>IF(ISBLANK($E546)," ",IF($E546&gt;$H546,$C546,$F546))</f>
        <v/>
      </c>
      <c r="J546" s="15">
        <f>IF(ISBLANK($E546)," ",IF($E546&gt;$H546,$D546,$G546))</f>
        <v/>
      </c>
      <c r="K546" s="15" t="n"/>
      <c r="L546" s="15">
        <f>E546-H546</f>
        <v/>
      </c>
      <c r="M546" s="5">
        <f>IF(ISBLANK($E546),"",VLOOKUP($I546,PLAYERS_IDS,2,FALSE)*VLOOKUP($J546,PLAYERS_IDS,2,FALSE))</f>
        <v/>
      </c>
      <c r="N546" s="25">
        <f>IF(ISBLANK($E546)," ", COUNTIF($M$4:$M546,$M546))</f>
        <v/>
      </c>
      <c r="O546" s="25">
        <f>IF(N546 =" ", " ", IF(N546=1,15,(IF(N546=2,15,(IF(N546=3,15,15))))))</f>
        <v/>
      </c>
      <c r="P546" s="5">
        <f>IF(ISBLANK($F546),"",VLOOKUP($C546,PLAYERS_IDS,2,FALSE)*VLOOKUP($D546,PLAYERS_IDS,2,FALSE))</f>
        <v/>
      </c>
      <c r="Q546" s="5">
        <f>IF(ISBLANK($F546), "",VLOOKUP($F546,PLAYERS_IDS,2,FALSE)*VLOOKUP($G546,PLAYERS_IDS,2,FALSE))</f>
        <v/>
      </c>
      <c r="R546" s="5">
        <f>IFERROR((P546*100000)+Q546,"")</f>
        <v/>
      </c>
    </row>
    <row r="547" ht="20.25" customHeight="1" s="106">
      <c r="A547" s="14" t="n"/>
      <c r="B547" s="15" t="n">
        <v>543</v>
      </c>
      <c r="C547" s="15" t="n"/>
      <c r="D547" s="15" t="n"/>
      <c r="E547" s="16" t="n"/>
      <c r="F547" s="15" t="n"/>
      <c r="G547" s="15" t="n"/>
      <c r="H547" s="16" t="n"/>
      <c r="I547" s="15">
        <f>IF(ISBLANK($E547)," ",IF($E547&gt;$H547,$C547,$F547))</f>
        <v/>
      </c>
      <c r="J547" s="15">
        <f>IF(ISBLANK($E547)," ",IF($E547&gt;$H547,$D547,$G547))</f>
        <v/>
      </c>
      <c r="K547" s="15" t="n"/>
      <c r="L547" s="15">
        <f>E547-H547</f>
        <v/>
      </c>
      <c r="M547" s="5">
        <f>IF(ISBLANK($E547),"",VLOOKUP($I547,PLAYERS_IDS,2,FALSE)*VLOOKUP($J547,PLAYERS_IDS,2,FALSE))</f>
        <v/>
      </c>
      <c r="N547" s="25">
        <f>IF(ISBLANK($E547)," ", COUNTIF($M$4:$M547,$M547))</f>
        <v/>
      </c>
      <c r="O547" s="25">
        <f>IF(N547 =" ", " ", IF(N547=1,15,(IF(N547=2,15,(IF(N547=3,15,15))))))</f>
        <v/>
      </c>
      <c r="P547" s="5">
        <f>IF(ISBLANK($F547),"",VLOOKUP($C547,PLAYERS_IDS,2,FALSE)*VLOOKUP($D547,PLAYERS_IDS,2,FALSE))</f>
        <v/>
      </c>
      <c r="Q547" s="5">
        <f>IF(ISBLANK($F547), "",VLOOKUP($F547,PLAYERS_IDS,2,FALSE)*VLOOKUP($G547,PLAYERS_IDS,2,FALSE))</f>
        <v/>
      </c>
      <c r="R547" s="5">
        <f>IFERROR((P547*100000)+Q547,"")</f>
        <v/>
      </c>
    </row>
    <row r="548" ht="20.25" customHeight="1" s="106">
      <c r="A548" s="14" t="n"/>
      <c r="B548" s="15" t="n">
        <v>544</v>
      </c>
      <c r="C548" s="15" t="n"/>
      <c r="D548" s="15" t="n"/>
      <c r="E548" s="16" t="n"/>
      <c r="F548" s="15" t="n"/>
      <c r="G548" s="15" t="n"/>
      <c r="H548" s="16" t="n"/>
      <c r="I548" s="15">
        <f>IF(ISBLANK($E548)," ",IF($E548&gt;$H548,$C548,$F548))</f>
        <v/>
      </c>
      <c r="J548" s="15">
        <f>IF(ISBLANK($E548)," ",IF($E548&gt;$H548,$D548,$G548))</f>
        <v/>
      </c>
      <c r="K548" s="15" t="n"/>
      <c r="L548" s="15">
        <f>E548-H548</f>
        <v/>
      </c>
      <c r="M548" s="5">
        <f>IF(ISBLANK($E548),"",VLOOKUP($I548,PLAYERS_IDS,2,FALSE)*VLOOKUP($J548,PLAYERS_IDS,2,FALSE))</f>
        <v/>
      </c>
      <c r="N548" s="25">
        <f>IF(ISBLANK($E548)," ", COUNTIF($M$4:$M548,$M548))</f>
        <v/>
      </c>
      <c r="O548" s="25">
        <f>IF(N548 =" ", " ", IF(N548=1,15,(IF(N548=2,15,(IF(N548=3,15,15))))))</f>
        <v/>
      </c>
      <c r="P548" s="5">
        <f>IF(ISBLANK($F548),"",VLOOKUP($C548,PLAYERS_IDS,2,FALSE)*VLOOKUP($D548,PLAYERS_IDS,2,FALSE))</f>
        <v/>
      </c>
      <c r="Q548" s="5">
        <f>IF(ISBLANK($F548), "",VLOOKUP($F548,PLAYERS_IDS,2,FALSE)*VLOOKUP($G548,PLAYERS_IDS,2,FALSE))</f>
        <v/>
      </c>
      <c r="R548" s="5">
        <f>IFERROR((P548*100000)+Q548,"")</f>
        <v/>
      </c>
    </row>
    <row r="549" ht="20.25" customHeight="1" s="106">
      <c r="A549" s="14" t="n"/>
      <c r="B549" s="15" t="n">
        <v>545</v>
      </c>
      <c r="C549" s="15" t="n"/>
      <c r="D549" s="15" t="n"/>
      <c r="E549" s="16" t="n"/>
      <c r="F549" s="15" t="n"/>
      <c r="G549" s="15" t="n"/>
      <c r="H549" s="16" t="n"/>
      <c r="I549" s="15">
        <f>IF(ISBLANK($E549)," ",IF($E549&gt;$H549,$C549,$F549))</f>
        <v/>
      </c>
      <c r="J549" s="15">
        <f>IF(ISBLANK($E549)," ",IF($E549&gt;$H549,$D549,$G549))</f>
        <v/>
      </c>
      <c r="K549" s="15" t="n"/>
      <c r="L549" s="15">
        <f>E549-H549</f>
        <v/>
      </c>
      <c r="M549" s="5">
        <f>IF(ISBLANK($E549),"",VLOOKUP($I549,PLAYERS_IDS,2,FALSE)*VLOOKUP($J549,PLAYERS_IDS,2,FALSE))</f>
        <v/>
      </c>
      <c r="N549" s="25">
        <f>IF(ISBLANK($E549)," ", COUNTIF($M$4:$M549,$M549))</f>
        <v/>
      </c>
      <c r="O549" s="25">
        <f>IF(N549 =" ", " ", IF(N549=1,15,(IF(N549=2,15,(IF(N549=3,15,15))))))</f>
        <v/>
      </c>
      <c r="P549" s="5">
        <f>IF(ISBLANK($F549),"",VLOOKUP($C549,PLAYERS_IDS,2,FALSE)*VLOOKUP($D549,PLAYERS_IDS,2,FALSE))</f>
        <v/>
      </c>
      <c r="Q549" s="5">
        <f>IF(ISBLANK($F549), "",VLOOKUP($F549,PLAYERS_IDS,2,FALSE)*VLOOKUP($G549,PLAYERS_IDS,2,FALSE))</f>
        <v/>
      </c>
      <c r="R549" s="5">
        <f>IFERROR((P549*100000)+Q549,"")</f>
        <v/>
      </c>
    </row>
    <row r="550" ht="20.25" customHeight="1" s="106">
      <c r="A550" s="14" t="n"/>
      <c r="B550" s="15" t="n">
        <v>546</v>
      </c>
      <c r="C550" s="15" t="n"/>
      <c r="D550" s="15" t="n"/>
      <c r="E550" s="16" t="n"/>
      <c r="F550" s="15" t="n"/>
      <c r="G550" s="15" t="n"/>
      <c r="H550" s="16" t="n"/>
      <c r="I550" s="15">
        <f>IF(ISBLANK($E550)," ",IF($E550&gt;$H550,$C550,$F550))</f>
        <v/>
      </c>
      <c r="J550" s="15">
        <f>IF(ISBLANK($E550)," ",IF($E550&gt;$H550,$D550,$G550))</f>
        <v/>
      </c>
      <c r="K550" s="15" t="n"/>
      <c r="L550" s="15">
        <f>E550-H550</f>
        <v/>
      </c>
      <c r="M550" s="5">
        <f>IF(ISBLANK($E550),"",VLOOKUP($I550,PLAYERS_IDS,2,FALSE)*VLOOKUP($J550,PLAYERS_IDS,2,FALSE))</f>
        <v/>
      </c>
      <c r="N550" s="25">
        <f>IF(ISBLANK($E550)," ", COUNTIF($M$4:$M550,$M550))</f>
        <v/>
      </c>
      <c r="O550" s="25">
        <f>IF(N550 =" ", " ", IF(N550=1,15,(IF(N550=2,15,(IF(N550=3,15,15))))))</f>
        <v/>
      </c>
      <c r="P550" s="5">
        <f>IF(ISBLANK($F550),"",VLOOKUP($C550,PLAYERS_IDS,2,FALSE)*VLOOKUP($D550,PLAYERS_IDS,2,FALSE))</f>
        <v/>
      </c>
      <c r="Q550" s="5">
        <f>IF(ISBLANK($F550), "",VLOOKUP($F550,PLAYERS_IDS,2,FALSE)*VLOOKUP($G550,PLAYERS_IDS,2,FALSE))</f>
        <v/>
      </c>
      <c r="R550" s="5">
        <f>IFERROR((P550*100000)+Q550,"")</f>
        <v/>
      </c>
    </row>
    <row r="551" ht="20.25" customHeight="1" s="106">
      <c r="A551" s="14" t="n"/>
      <c r="B551" s="15" t="n">
        <v>547</v>
      </c>
      <c r="C551" s="15" t="n"/>
      <c r="D551" s="15" t="n"/>
      <c r="E551" s="16" t="n"/>
      <c r="F551" s="15" t="n"/>
      <c r="G551" s="15" t="n"/>
      <c r="H551" s="16" t="n"/>
      <c r="I551" s="15">
        <f>IF(ISBLANK($E551)," ",IF($E551&gt;$H551,$C551,$F551))</f>
        <v/>
      </c>
      <c r="J551" s="15">
        <f>IF(ISBLANK($E551)," ",IF($E551&gt;$H551,$D551,$G551))</f>
        <v/>
      </c>
      <c r="K551" s="15" t="n"/>
      <c r="L551" s="15">
        <f>E551-H551</f>
        <v/>
      </c>
      <c r="M551" s="5">
        <f>IF(ISBLANK($E551),"",VLOOKUP($I551,PLAYERS_IDS,2,FALSE)*VLOOKUP($J551,PLAYERS_IDS,2,FALSE))</f>
        <v/>
      </c>
      <c r="N551" s="25">
        <f>IF(ISBLANK($E551)," ", COUNTIF($M$4:$M551,$M551))</f>
        <v/>
      </c>
      <c r="O551" s="25">
        <f>IF(N551 =" ", " ", IF(N551=1,15,(IF(N551=2,15,(IF(N551=3,15,15))))))</f>
        <v/>
      </c>
      <c r="P551" s="5">
        <f>IF(ISBLANK($F551),"",VLOOKUP($C551,PLAYERS_IDS,2,FALSE)*VLOOKUP($D551,PLAYERS_IDS,2,FALSE))</f>
        <v/>
      </c>
      <c r="Q551" s="5">
        <f>IF(ISBLANK($F551), "",VLOOKUP($F551,PLAYERS_IDS,2,FALSE)*VLOOKUP($G551,PLAYERS_IDS,2,FALSE))</f>
        <v/>
      </c>
      <c r="R551" s="5">
        <f>IFERROR((P551*100000)+Q551,"")</f>
        <v/>
      </c>
    </row>
    <row r="552" ht="20.25" customHeight="1" s="106">
      <c r="A552" s="14" t="n"/>
      <c r="B552" s="15" t="n">
        <v>548</v>
      </c>
      <c r="C552" s="15" t="n"/>
      <c r="D552" s="15" t="n"/>
      <c r="E552" s="16" t="n"/>
      <c r="F552" s="15" t="n"/>
      <c r="G552" s="15" t="n"/>
      <c r="H552" s="16" t="n"/>
      <c r="I552" s="15">
        <f>IF(ISBLANK($E552)," ",IF($E552&gt;$H552,$C552,$F552))</f>
        <v/>
      </c>
      <c r="J552" s="15">
        <f>IF(ISBLANK($E552)," ",IF($E552&gt;$H552,$D552,$G552))</f>
        <v/>
      </c>
      <c r="K552" s="15" t="n"/>
      <c r="L552" s="15">
        <f>E552-H552</f>
        <v/>
      </c>
      <c r="M552" s="5">
        <f>IF(ISBLANK($E552),"",VLOOKUP($I552,PLAYERS_IDS,2,FALSE)*VLOOKUP($J552,PLAYERS_IDS,2,FALSE))</f>
        <v/>
      </c>
      <c r="N552" s="25">
        <f>IF(ISBLANK($E552)," ", COUNTIF($M$4:$M552,$M552))</f>
        <v/>
      </c>
      <c r="O552" s="25">
        <f>IF(N552 =" ", " ", IF(N552=1,15,(IF(N552=2,15,(IF(N552=3,15,15))))))</f>
        <v/>
      </c>
      <c r="P552" s="5">
        <f>IF(ISBLANK($F552),"",VLOOKUP($C552,PLAYERS_IDS,2,FALSE)*VLOOKUP($D552,PLAYERS_IDS,2,FALSE))</f>
        <v/>
      </c>
      <c r="Q552" s="5">
        <f>IF(ISBLANK($F552), "",VLOOKUP($F552,PLAYERS_IDS,2,FALSE)*VLOOKUP($G552,PLAYERS_IDS,2,FALSE))</f>
        <v/>
      </c>
      <c r="R552" s="5">
        <f>IFERROR((P552*100000)+Q552,"")</f>
        <v/>
      </c>
    </row>
    <row r="553" ht="20.25" customHeight="1" s="106">
      <c r="A553" s="14" t="n"/>
      <c r="B553" s="15" t="n">
        <v>549</v>
      </c>
      <c r="C553" s="15" t="n"/>
      <c r="D553" s="15" t="n"/>
      <c r="E553" s="16" t="n"/>
      <c r="F553" s="15" t="n"/>
      <c r="G553" s="15" t="n"/>
      <c r="H553" s="16" t="n"/>
      <c r="I553" s="15">
        <f>IF(ISBLANK($E553)," ",IF($E553&gt;$H553,$C553,$F553))</f>
        <v/>
      </c>
      <c r="J553" s="15">
        <f>IF(ISBLANK($E553)," ",IF($E553&gt;$H553,$D553,$G553))</f>
        <v/>
      </c>
      <c r="K553" s="15" t="n"/>
      <c r="L553" s="15">
        <f>E553-H553</f>
        <v/>
      </c>
      <c r="M553" s="5">
        <f>IF(ISBLANK($E553),"",VLOOKUP($I553,PLAYERS_IDS,2,FALSE)*VLOOKUP($J553,PLAYERS_IDS,2,FALSE))</f>
        <v/>
      </c>
      <c r="N553" s="25">
        <f>IF(ISBLANK($E553)," ", COUNTIF($M$4:$M553,$M553))</f>
        <v/>
      </c>
      <c r="O553" s="25">
        <f>IF(N553 =" ", " ", IF(N553=1,15,(IF(N553=2,15,(IF(N553=3,15,15))))))</f>
        <v/>
      </c>
      <c r="P553" s="5">
        <f>IF(ISBLANK($F553),"",VLOOKUP($C553,PLAYERS_IDS,2,FALSE)*VLOOKUP($D553,PLAYERS_IDS,2,FALSE))</f>
        <v/>
      </c>
      <c r="Q553" s="5">
        <f>IF(ISBLANK($F553), "",VLOOKUP($F553,PLAYERS_IDS,2,FALSE)*VLOOKUP($G553,PLAYERS_IDS,2,FALSE))</f>
        <v/>
      </c>
      <c r="R553" s="5">
        <f>IFERROR((P553*100000)+Q553,"")</f>
        <v/>
      </c>
    </row>
    <row r="554" ht="20.25" customHeight="1" s="106">
      <c r="A554" s="14" t="n"/>
      <c r="B554" s="15" t="n">
        <v>550</v>
      </c>
      <c r="C554" s="15" t="n"/>
      <c r="D554" s="15" t="n"/>
      <c r="E554" s="16" t="n"/>
      <c r="F554" s="15" t="n"/>
      <c r="G554" s="15" t="n"/>
      <c r="H554" s="16" t="n"/>
      <c r="I554" s="15">
        <f>IF(ISBLANK($E554)," ",IF($E554&gt;$H554,$C554,$F554))</f>
        <v/>
      </c>
      <c r="J554" s="15">
        <f>IF(ISBLANK($E554)," ",IF($E554&gt;$H554,$D554,$G554))</f>
        <v/>
      </c>
      <c r="K554" s="15" t="n"/>
      <c r="L554" s="15">
        <f>E554-H554</f>
        <v/>
      </c>
      <c r="M554" s="5">
        <f>IF(ISBLANK($E554),"",VLOOKUP($I554,PLAYERS_IDS,2,FALSE)*VLOOKUP($J554,PLAYERS_IDS,2,FALSE))</f>
        <v/>
      </c>
      <c r="N554" s="25">
        <f>IF(ISBLANK($E554)," ", COUNTIF($M$4:$M554,$M554))</f>
        <v/>
      </c>
      <c r="O554" s="25">
        <f>IF(N554 =" ", " ", IF(N554=1,15,(IF(N554=2,15,(IF(N554=3,15,15))))))</f>
        <v/>
      </c>
      <c r="P554" s="5">
        <f>IF(ISBLANK($F554),"",VLOOKUP($C554,PLAYERS_IDS,2,FALSE)*VLOOKUP($D554,PLAYERS_IDS,2,FALSE))</f>
        <v/>
      </c>
      <c r="Q554" s="5">
        <f>IF(ISBLANK($F554), "",VLOOKUP($F554,PLAYERS_IDS,2,FALSE)*VLOOKUP($G554,PLAYERS_IDS,2,FALSE))</f>
        <v/>
      </c>
      <c r="R554" s="5">
        <f>IFERROR((P554*100000)+Q554,"")</f>
        <v/>
      </c>
    </row>
    <row r="555" ht="20.25" customHeight="1" s="106">
      <c r="A555" s="14" t="n"/>
      <c r="B555" s="15" t="n">
        <v>551</v>
      </c>
      <c r="C555" s="15" t="n"/>
      <c r="D555" s="15" t="n"/>
      <c r="E555" s="16" t="n"/>
      <c r="F555" s="15" t="n"/>
      <c r="G555" s="15" t="n"/>
      <c r="H555" s="16" t="n"/>
      <c r="I555" s="15">
        <f>IF(ISBLANK($E555)," ",IF($E555&gt;$H555,$C555,$F555))</f>
        <v/>
      </c>
      <c r="J555" s="15">
        <f>IF(ISBLANK($E555)," ",IF($E555&gt;$H555,$D555,$G555))</f>
        <v/>
      </c>
      <c r="K555" s="15" t="n"/>
      <c r="L555" s="15">
        <f>E555-H555</f>
        <v/>
      </c>
      <c r="M555" s="5">
        <f>IF(ISBLANK($E555),"",VLOOKUP($I555,PLAYERS_IDS,2,FALSE)*VLOOKUP($J555,PLAYERS_IDS,2,FALSE))</f>
        <v/>
      </c>
      <c r="N555" s="25">
        <f>IF(ISBLANK($E555)," ", COUNTIF($M$4:$M555,$M555))</f>
        <v/>
      </c>
      <c r="O555" s="25">
        <f>IF(N555 =" ", " ", IF(N555=1,15,(IF(N555=2,15,(IF(N555=3,15,15))))))</f>
        <v/>
      </c>
      <c r="P555" s="5">
        <f>IF(ISBLANK($F555),"",VLOOKUP($C555,PLAYERS_IDS,2,FALSE)*VLOOKUP($D555,PLAYERS_IDS,2,FALSE))</f>
        <v/>
      </c>
      <c r="Q555" s="5">
        <f>IF(ISBLANK($F555), "",VLOOKUP($F555,PLAYERS_IDS,2,FALSE)*VLOOKUP($G555,PLAYERS_IDS,2,FALSE))</f>
        <v/>
      </c>
      <c r="R555" s="5">
        <f>IFERROR((P555*100000)+Q555,"")</f>
        <v/>
      </c>
    </row>
    <row r="556" ht="20.25" customHeight="1" s="106">
      <c r="A556" s="14" t="n"/>
      <c r="B556" s="15" t="n">
        <v>552</v>
      </c>
      <c r="C556" s="15" t="n"/>
      <c r="D556" s="15" t="n"/>
      <c r="E556" s="16" t="n"/>
      <c r="F556" s="15" t="n"/>
      <c r="G556" s="15" t="n"/>
      <c r="H556" s="16" t="n"/>
      <c r="I556" s="15">
        <f>IF(ISBLANK($E556)," ",IF($E556&gt;$H556,$C556,$F556))</f>
        <v/>
      </c>
      <c r="J556" s="15">
        <f>IF(ISBLANK($E556)," ",IF($E556&gt;$H556,$D556,$G556))</f>
        <v/>
      </c>
      <c r="K556" s="15" t="n"/>
      <c r="L556" s="15">
        <f>E556-H556</f>
        <v/>
      </c>
      <c r="M556" s="5">
        <f>IF(ISBLANK($E556),"",VLOOKUP($I556,PLAYERS_IDS,2,FALSE)*VLOOKUP($J556,PLAYERS_IDS,2,FALSE))</f>
        <v/>
      </c>
      <c r="N556" s="25">
        <f>IF(ISBLANK($E556)," ", COUNTIF($M$4:$M556,$M556))</f>
        <v/>
      </c>
      <c r="O556" s="25">
        <f>IF(N556 =" ", " ", IF(N556=1,15,(IF(N556=2,15,(IF(N556=3,15,15))))))</f>
        <v/>
      </c>
      <c r="P556" s="5">
        <f>IF(ISBLANK($F556),"",VLOOKUP($C556,PLAYERS_IDS,2,FALSE)*VLOOKUP($D556,PLAYERS_IDS,2,FALSE))</f>
        <v/>
      </c>
      <c r="Q556" s="5">
        <f>IF(ISBLANK($F556), "",VLOOKUP($F556,PLAYERS_IDS,2,FALSE)*VLOOKUP($G556,PLAYERS_IDS,2,FALSE))</f>
        <v/>
      </c>
      <c r="R556" s="5">
        <f>IFERROR((P556*100000)+Q556,"")</f>
        <v/>
      </c>
    </row>
    <row r="557" ht="20.25" customHeight="1" s="106">
      <c r="A557" s="14" t="n"/>
      <c r="B557" s="15" t="n">
        <v>553</v>
      </c>
      <c r="C557" s="15" t="n"/>
      <c r="D557" s="15" t="n"/>
      <c r="E557" s="16" t="n"/>
      <c r="F557" s="15" t="n"/>
      <c r="G557" s="15" t="n"/>
      <c r="H557" s="16" t="n"/>
      <c r="I557" s="15">
        <f>IF(ISBLANK($E557)," ",IF($E557&gt;$H557,$C557,$F557))</f>
        <v/>
      </c>
      <c r="J557" s="15">
        <f>IF(ISBLANK($E557)," ",IF($E557&gt;$H557,$D557,$G557))</f>
        <v/>
      </c>
      <c r="K557" s="15" t="n"/>
      <c r="L557" s="15">
        <f>E557-H557</f>
        <v/>
      </c>
      <c r="M557" s="5">
        <f>IF(ISBLANK($E557),"",VLOOKUP($I557,PLAYERS_IDS,2,FALSE)*VLOOKUP($J557,PLAYERS_IDS,2,FALSE))</f>
        <v/>
      </c>
      <c r="N557" s="25">
        <f>IF(ISBLANK($E557)," ", COUNTIF($M$4:$M557,$M557))</f>
        <v/>
      </c>
      <c r="O557" s="25">
        <f>IF(N557 =" ", " ", IF(N557=1,15,(IF(N557=2,15,(IF(N557=3,15,15))))))</f>
        <v/>
      </c>
      <c r="P557" s="5">
        <f>IF(ISBLANK($F557),"",VLOOKUP($C557,PLAYERS_IDS,2,FALSE)*VLOOKUP($D557,PLAYERS_IDS,2,FALSE))</f>
        <v/>
      </c>
      <c r="Q557" s="5">
        <f>IF(ISBLANK($F557), "",VLOOKUP($F557,PLAYERS_IDS,2,FALSE)*VLOOKUP($G557,PLAYERS_IDS,2,FALSE))</f>
        <v/>
      </c>
      <c r="R557" s="5">
        <f>IFERROR((P557*100000)+Q557,"")</f>
        <v/>
      </c>
    </row>
    <row r="558" ht="20.25" customHeight="1" s="106">
      <c r="A558" s="14" t="n"/>
      <c r="B558" s="15" t="n">
        <v>554</v>
      </c>
      <c r="C558" s="15" t="n"/>
      <c r="D558" s="15" t="n"/>
      <c r="E558" s="16" t="n"/>
      <c r="F558" s="15" t="n"/>
      <c r="G558" s="15" t="n"/>
      <c r="H558" s="16" t="n"/>
      <c r="I558" s="15">
        <f>IF(ISBLANK($E558)," ",IF($E558&gt;$H558,$C558,$F558))</f>
        <v/>
      </c>
      <c r="J558" s="15">
        <f>IF(ISBLANK($E558)," ",IF($E558&gt;$H558,$D558,$G558))</f>
        <v/>
      </c>
      <c r="K558" s="15" t="n"/>
      <c r="L558" s="15">
        <f>E558-H558</f>
        <v/>
      </c>
      <c r="M558" s="5">
        <f>IF(ISBLANK($E558),"",VLOOKUP($I558,PLAYERS_IDS,2,FALSE)*VLOOKUP($J558,PLAYERS_IDS,2,FALSE))</f>
        <v/>
      </c>
      <c r="N558" s="25">
        <f>IF(ISBLANK($E558)," ", COUNTIF($M$4:$M558,$M558))</f>
        <v/>
      </c>
      <c r="O558" s="25">
        <f>IF(N558 =" ", " ", IF(N558=1,15,(IF(N558=2,15,(IF(N558=3,15,15))))))</f>
        <v/>
      </c>
      <c r="P558" s="5">
        <f>IF(ISBLANK($F558),"",VLOOKUP($C558,PLAYERS_IDS,2,FALSE)*VLOOKUP($D558,PLAYERS_IDS,2,FALSE))</f>
        <v/>
      </c>
      <c r="Q558" s="5">
        <f>IF(ISBLANK($F558), "",VLOOKUP($F558,PLAYERS_IDS,2,FALSE)*VLOOKUP($G558,PLAYERS_IDS,2,FALSE))</f>
        <v/>
      </c>
      <c r="R558" s="5">
        <f>IFERROR((P558*100000)+Q558,"")</f>
        <v/>
      </c>
    </row>
    <row r="559" ht="20.25" customHeight="1" s="106">
      <c r="A559" s="14" t="n"/>
      <c r="B559" s="15" t="n">
        <v>555</v>
      </c>
      <c r="C559" s="15" t="n"/>
      <c r="D559" s="15" t="n"/>
      <c r="E559" s="16" t="n"/>
      <c r="F559" s="15" t="n"/>
      <c r="G559" s="15" t="n"/>
      <c r="H559" s="16" t="n"/>
      <c r="I559" s="15">
        <f>IF(ISBLANK($E559)," ",IF($E559&gt;$H559,$C559,$F559))</f>
        <v/>
      </c>
      <c r="J559" s="15">
        <f>IF(ISBLANK($E559)," ",IF($E559&gt;$H559,$D559,$G559))</f>
        <v/>
      </c>
      <c r="K559" s="15" t="n"/>
      <c r="L559" s="15">
        <f>E559-H559</f>
        <v/>
      </c>
      <c r="M559" s="5">
        <f>IF(ISBLANK($E559),"",VLOOKUP($I559,PLAYERS_IDS,2,FALSE)*VLOOKUP($J559,PLAYERS_IDS,2,FALSE))</f>
        <v/>
      </c>
      <c r="N559" s="25">
        <f>IF(ISBLANK($E559)," ", COUNTIF($M$4:$M559,$M559))</f>
        <v/>
      </c>
      <c r="O559" s="25">
        <f>IF(N559 =" ", " ", IF(N559=1,15,(IF(N559=2,15,(IF(N559=3,15,15))))))</f>
        <v/>
      </c>
      <c r="P559" s="5">
        <f>IF(ISBLANK($F559),"",VLOOKUP($C559,PLAYERS_IDS,2,FALSE)*VLOOKUP($D559,PLAYERS_IDS,2,FALSE))</f>
        <v/>
      </c>
      <c r="Q559" s="5">
        <f>IF(ISBLANK($F559), "",VLOOKUP($F559,PLAYERS_IDS,2,FALSE)*VLOOKUP($G559,PLAYERS_IDS,2,FALSE))</f>
        <v/>
      </c>
      <c r="R559" s="5">
        <f>IFERROR((P559*100000)+Q559,"")</f>
        <v/>
      </c>
    </row>
    <row r="560" ht="20.25" customHeight="1" s="106">
      <c r="A560" s="14" t="n"/>
      <c r="B560" s="15" t="n">
        <v>556</v>
      </c>
      <c r="C560" s="15" t="n"/>
      <c r="D560" s="15" t="n"/>
      <c r="E560" s="16" t="n"/>
      <c r="F560" s="15" t="n"/>
      <c r="G560" s="15" t="n"/>
      <c r="H560" s="16" t="n"/>
      <c r="I560" s="15">
        <f>IF(ISBLANK($E560)," ",IF($E560&gt;$H560,$C560,$F560))</f>
        <v/>
      </c>
      <c r="J560" s="15">
        <f>IF(ISBLANK($E560)," ",IF($E560&gt;$H560,$D560,$G560))</f>
        <v/>
      </c>
      <c r="K560" s="15" t="n"/>
      <c r="L560" s="15">
        <f>E560-H560</f>
        <v/>
      </c>
      <c r="M560" s="5">
        <f>IF(ISBLANK($E560),"",VLOOKUP($I560,PLAYERS_IDS,2,FALSE)*VLOOKUP($J560,PLAYERS_IDS,2,FALSE))</f>
        <v/>
      </c>
      <c r="N560" s="25">
        <f>IF(ISBLANK($E560)," ", COUNTIF($M$4:$M560,$M560))</f>
        <v/>
      </c>
      <c r="O560" s="25">
        <f>IF(N560 =" ", " ", IF(N560=1,15,(IF(N560=2,15,(IF(N560=3,15,15))))))</f>
        <v/>
      </c>
      <c r="P560" s="5">
        <f>IF(ISBLANK($F560),"",VLOOKUP($C560,PLAYERS_IDS,2,FALSE)*VLOOKUP($D560,PLAYERS_IDS,2,FALSE))</f>
        <v/>
      </c>
      <c r="Q560" s="5">
        <f>IF(ISBLANK($F560), "",VLOOKUP($F560,PLAYERS_IDS,2,FALSE)*VLOOKUP($G560,PLAYERS_IDS,2,FALSE))</f>
        <v/>
      </c>
      <c r="R560" s="5">
        <f>IFERROR((P560*100000)+Q560,"")</f>
        <v/>
      </c>
    </row>
    <row r="561" ht="20.25" customHeight="1" s="106">
      <c r="A561" s="14" t="n"/>
      <c r="B561" s="15" t="n">
        <v>557</v>
      </c>
      <c r="C561" s="15" t="n"/>
      <c r="D561" s="15" t="n"/>
      <c r="E561" s="16" t="n"/>
      <c r="F561" s="15" t="n"/>
      <c r="G561" s="15" t="n"/>
      <c r="H561" s="16" t="n"/>
      <c r="I561" s="15">
        <f>IF(ISBLANK($E561)," ",IF($E561&gt;$H561,$C561,$F561))</f>
        <v/>
      </c>
      <c r="J561" s="15">
        <f>IF(ISBLANK($E561)," ",IF($E561&gt;$H561,$D561,$G561))</f>
        <v/>
      </c>
      <c r="K561" s="15" t="n"/>
      <c r="L561" s="15">
        <f>E561-H561</f>
        <v/>
      </c>
      <c r="M561" s="5">
        <f>IF(ISBLANK($E561),"",VLOOKUP($I561,PLAYERS_IDS,2,FALSE)*VLOOKUP($J561,PLAYERS_IDS,2,FALSE))</f>
        <v/>
      </c>
      <c r="N561" s="25">
        <f>IF(ISBLANK($E561)," ", COUNTIF($M$4:$M561,$M561))</f>
        <v/>
      </c>
      <c r="O561" s="25">
        <f>IF(N561 =" ", " ", IF(N561=1,15,(IF(N561=2,15,(IF(N561=3,15,15))))))</f>
        <v/>
      </c>
      <c r="P561" s="5">
        <f>IF(ISBLANK($F561),"",VLOOKUP($C561,PLAYERS_IDS,2,FALSE)*VLOOKUP($D561,PLAYERS_IDS,2,FALSE))</f>
        <v/>
      </c>
      <c r="Q561" s="5">
        <f>IF(ISBLANK($F561), "",VLOOKUP($F561,PLAYERS_IDS,2,FALSE)*VLOOKUP($G561,PLAYERS_IDS,2,FALSE))</f>
        <v/>
      </c>
      <c r="R561" s="5">
        <f>IFERROR((P561*100000)+Q561,"")</f>
        <v/>
      </c>
    </row>
    <row r="562" ht="20.25" customHeight="1" s="106">
      <c r="A562" s="14" t="n"/>
      <c r="B562" s="15" t="n">
        <v>558</v>
      </c>
      <c r="C562" s="15" t="n"/>
      <c r="D562" s="15" t="n"/>
      <c r="E562" s="16" t="n"/>
      <c r="F562" s="15" t="n"/>
      <c r="G562" s="15" t="n"/>
      <c r="H562" s="16" t="n"/>
      <c r="I562" s="15">
        <f>IF(ISBLANK($E562)," ",IF($E562&gt;$H562,$C562,$F562))</f>
        <v/>
      </c>
      <c r="J562" s="15">
        <f>IF(ISBLANK($E562)," ",IF($E562&gt;$H562,$D562,$G562))</f>
        <v/>
      </c>
      <c r="K562" s="15" t="n"/>
      <c r="L562" s="15">
        <f>E562-H562</f>
        <v/>
      </c>
      <c r="M562" s="5">
        <f>IF(ISBLANK($E562),"",VLOOKUP($I562,PLAYERS_IDS,2,FALSE)*VLOOKUP($J562,PLAYERS_IDS,2,FALSE))</f>
        <v/>
      </c>
      <c r="N562" s="25">
        <f>IF(ISBLANK($E562)," ", COUNTIF($M$4:$M562,$M562))</f>
        <v/>
      </c>
      <c r="O562" s="25">
        <f>IF(N562 =" ", " ", IF(N562=1,15,(IF(N562=2,15,(IF(N562=3,15,15))))))</f>
        <v/>
      </c>
      <c r="P562" s="5">
        <f>IF(ISBLANK($F562),"",VLOOKUP($C562,PLAYERS_IDS,2,FALSE)*VLOOKUP($D562,PLAYERS_IDS,2,FALSE))</f>
        <v/>
      </c>
      <c r="Q562" s="5">
        <f>IF(ISBLANK($F562), "",VLOOKUP($F562,PLAYERS_IDS,2,FALSE)*VLOOKUP($G562,PLAYERS_IDS,2,FALSE))</f>
        <v/>
      </c>
      <c r="R562" s="5">
        <f>IFERROR((P562*100000)+Q562,"")</f>
        <v/>
      </c>
    </row>
    <row r="563" ht="20.25" customHeight="1" s="106">
      <c r="A563" s="14" t="n"/>
      <c r="B563" s="15" t="n">
        <v>559</v>
      </c>
      <c r="C563" s="15" t="n"/>
      <c r="D563" s="15" t="n"/>
      <c r="E563" s="16" t="n"/>
      <c r="F563" s="15" t="n"/>
      <c r="G563" s="15" t="n"/>
      <c r="H563" s="16" t="n"/>
      <c r="I563" s="15">
        <f>IF(ISBLANK($E563)," ",IF($E563&gt;$H563,$C563,$F563))</f>
        <v/>
      </c>
      <c r="J563" s="15">
        <f>IF(ISBLANK($E563)," ",IF($E563&gt;$H563,$D563,$G563))</f>
        <v/>
      </c>
      <c r="K563" s="15" t="n"/>
      <c r="L563" s="15">
        <f>E563-H563</f>
        <v/>
      </c>
      <c r="M563" s="5">
        <f>IF(ISBLANK($E563),"",VLOOKUP($I563,PLAYERS_IDS,2,FALSE)*VLOOKUP($J563,PLAYERS_IDS,2,FALSE))</f>
        <v/>
      </c>
      <c r="N563" s="25">
        <f>IF(ISBLANK($E563)," ", COUNTIF($M$4:$M563,$M563))</f>
        <v/>
      </c>
      <c r="O563" s="25">
        <f>IF(N563 =" ", " ", IF(N563=1,15,(IF(N563=2,15,(IF(N563=3,15,15))))))</f>
        <v/>
      </c>
      <c r="P563" s="5">
        <f>IF(ISBLANK($F563),"",VLOOKUP($C563,PLAYERS_IDS,2,FALSE)*VLOOKUP($D563,PLAYERS_IDS,2,FALSE))</f>
        <v/>
      </c>
      <c r="Q563" s="5">
        <f>IF(ISBLANK($F563), "",VLOOKUP($F563,PLAYERS_IDS,2,FALSE)*VLOOKUP($G563,PLAYERS_IDS,2,FALSE))</f>
        <v/>
      </c>
      <c r="R563" s="5">
        <f>IFERROR((P563*100000)+Q563,"")</f>
        <v/>
      </c>
    </row>
    <row r="564" ht="20.25" customHeight="1" s="106">
      <c r="A564" s="14" t="n"/>
      <c r="B564" s="15" t="n">
        <v>560</v>
      </c>
      <c r="C564" s="15" t="n"/>
      <c r="D564" s="15" t="n"/>
      <c r="E564" s="16" t="n"/>
      <c r="F564" s="15" t="n"/>
      <c r="G564" s="15" t="n"/>
      <c r="H564" s="16" t="n"/>
      <c r="I564" s="15">
        <f>IF(ISBLANK($E564)," ",IF($E564&gt;$H564,$C564,$F564))</f>
        <v/>
      </c>
      <c r="J564" s="15">
        <f>IF(ISBLANK($E564)," ",IF($E564&gt;$H564,$D564,$G564))</f>
        <v/>
      </c>
      <c r="K564" s="15" t="n"/>
      <c r="L564" s="15">
        <f>E564-H564</f>
        <v/>
      </c>
      <c r="M564" s="5">
        <f>IF(ISBLANK($E564),"",VLOOKUP($I564,PLAYERS_IDS,2,FALSE)*VLOOKUP($J564,PLAYERS_IDS,2,FALSE))</f>
        <v/>
      </c>
      <c r="N564" s="25">
        <f>IF(ISBLANK($E564)," ", COUNTIF($M$4:$M564,$M564))</f>
        <v/>
      </c>
      <c r="O564" s="25">
        <f>IF(N564 =" ", " ", IF(N564=1,15,(IF(N564=2,15,(IF(N564=3,15,15))))))</f>
        <v/>
      </c>
      <c r="P564" s="5">
        <f>IF(ISBLANK($F564),"",VLOOKUP($C564,PLAYERS_IDS,2,FALSE)*VLOOKUP($D564,PLAYERS_IDS,2,FALSE))</f>
        <v/>
      </c>
      <c r="Q564" s="5">
        <f>IF(ISBLANK($F564), "",VLOOKUP($F564,PLAYERS_IDS,2,FALSE)*VLOOKUP($G564,PLAYERS_IDS,2,FALSE))</f>
        <v/>
      </c>
      <c r="R564" s="5">
        <f>IFERROR((P564*100000)+Q564,"")</f>
        <v/>
      </c>
    </row>
    <row r="565" ht="20.25" customHeight="1" s="106">
      <c r="A565" s="14" t="n"/>
      <c r="B565" s="15" t="n">
        <v>561</v>
      </c>
      <c r="C565" s="15" t="n"/>
      <c r="D565" s="15" t="n"/>
      <c r="E565" s="16" t="n"/>
      <c r="F565" s="15" t="n"/>
      <c r="G565" s="15" t="n"/>
      <c r="H565" s="16" t="n"/>
      <c r="I565" s="15">
        <f>IF(ISBLANK($E565)," ",IF($E565&gt;$H565,$C565,$F565))</f>
        <v/>
      </c>
      <c r="J565" s="15">
        <f>IF(ISBLANK($E565)," ",IF($E565&gt;$H565,$D565,$G565))</f>
        <v/>
      </c>
      <c r="K565" s="15" t="n"/>
      <c r="L565" s="15">
        <f>E565-H565</f>
        <v/>
      </c>
      <c r="M565" s="5">
        <f>IF(ISBLANK($E565),"",VLOOKUP($I565,PLAYERS_IDS,2,FALSE)*VLOOKUP($J565,PLAYERS_IDS,2,FALSE))</f>
        <v/>
      </c>
      <c r="N565" s="25">
        <f>IF(ISBLANK($E565)," ", COUNTIF($M$4:$M565,$M565))</f>
        <v/>
      </c>
      <c r="O565" s="25">
        <f>IF(N565 =" ", " ", IF(N565=1,15,(IF(N565=2,15,(IF(N565=3,15,15))))))</f>
        <v/>
      </c>
      <c r="P565" s="5">
        <f>IF(ISBLANK($F565),"",VLOOKUP($C565,PLAYERS_IDS,2,FALSE)*VLOOKUP($D565,PLAYERS_IDS,2,FALSE))</f>
        <v/>
      </c>
      <c r="Q565" s="5">
        <f>IF(ISBLANK($F565), "",VLOOKUP($F565,PLAYERS_IDS,2,FALSE)*VLOOKUP($G565,PLAYERS_IDS,2,FALSE))</f>
        <v/>
      </c>
      <c r="R565" s="5">
        <f>IFERROR((P565*100000)+Q565,"")</f>
        <v/>
      </c>
    </row>
    <row r="566" ht="20.25" customHeight="1" s="106">
      <c r="A566" s="14" t="n"/>
      <c r="B566" s="15" t="n">
        <v>562</v>
      </c>
      <c r="C566" s="15" t="n"/>
      <c r="D566" s="15" t="n"/>
      <c r="E566" s="16" t="n"/>
      <c r="F566" s="15" t="n"/>
      <c r="G566" s="15" t="n"/>
      <c r="H566" s="16" t="n"/>
      <c r="I566" s="15">
        <f>IF(ISBLANK($E566)," ",IF($E566&gt;$H566,$C566,$F566))</f>
        <v/>
      </c>
      <c r="J566" s="15">
        <f>IF(ISBLANK($E566)," ",IF($E566&gt;$H566,$D566,$G566))</f>
        <v/>
      </c>
      <c r="K566" s="15" t="n"/>
      <c r="L566" s="15">
        <f>E566-H566</f>
        <v/>
      </c>
      <c r="M566" s="5">
        <f>IF(ISBLANK($E566),"",VLOOKUP($I566,PLAYERS_IDS,2,FALSE)*VLOOKUP($J566,PLAYERS_IDS,2,FALSE))</f>
        <v/>
      </c>
      <c r="N566" s="25">
        <f>IF(ISBLANK($E566)," ", COUNTIF($M$4:$M566,$M566))</f>
        <v/>
      </c>
      <c r="O566" s="25">
        <f>IF(N566 =" ", " ", IF(N566=1,15,(IF(N566=2,15,(IF(N566=3,15,15))))))</f>
        <v/>
      </c>
      <c r="P566" s="5">
        <f>IF(ISBLANK($F566),"",VLOOKUP($C566,PLAYERS_IDS,2,FALSE)*VLOOKUP($D566,PLAYERS_IDS,2,FALSE))</f>
        <v/>
      </c>
      <c r="Q566" s="5">
        <f>IF(ISBLANK($F566), "",VLOOKUP($F566,PLAYERS_IDS,2,FALSE)*VLOOKUP($G566,PLAYERS_IDS,2,FALSE))</f>
        <v/>
      </c>
      <c r="R566" s="5">
        <f>IFERROR((P566*100000)+Q566,"")</f>
        <v/>
      </c>
    </row>
    <row r="567" ht="20.25" customHeight="1" s="106">
      <c r="A567" s="14" t="n"/>
      <c r="B567" s="15" t="n">
        <v>563</v>
      </c>
      <c r="C567" s="15" t="n"/>
      <c r="D567" s="15" t="n"/>
      <c r="E567" s="16" t="n"/>
      <c r="F567" s="15" t="n"/>
      <c r="G567" s="15" t="n"/>
      <c r="H567" s="16" t="n"/>
      <c r="I567" s="15">
        <f>IF(ISBLANK($E567)," ",IF($E567&gt;$H567,$C567,$F567))</f>
        <v/>
      </c>
      <c r="J567" s="15">
        <f>IF(ISBLANK($E567)," ",IF($E567&gt;$H567,$D567,$G567))</f>
        <v/>
      </c>
      <c r="K567" s="15" t="n"/>
      <c r="L567" s="15">
        <f>E567-H567</f>
        <v/>
      </c>
      <c r="M567" s="5">
        <f>IF(ISBLANK($E567),"",VLOOKUP($I567,PLAYERS_IDS,2,FALSE)*VLOOKUP($J567,PLAYERS_IDS,2,FALSE))</f>
        <v/>
      </c>
      <c r="N567" s="25">
        <f>IF(ISBLANK($E567)," ", COUNTIF($M$4:$M567,$M567))</f>
        <v/>
      </c>
      <c r="O567" s="25">
        <f>IF(N567 =" ", " ", IF(N567=1,15,(IF(N567=2,15,(IF(N567=3,15,15))))))</f>
        <v/>
      </c>
      <c r="P567" s="5">
        <f>IF(ISBLANK($F567),"",VLOOKUP($C567,PLAYERS_IDS,2,FALSE)*VLOOKUP($D567,PLAYERS_IDS,2,FALSE))</f>
        <v/>
      </c>
      <c r="Q567" s="5">
        <f>IF(ISBLANK($F567), "",VLOOKUP($F567,PLAYERS_IDS,2,FALSE)*VLOOKUP($G567,PLAYERS_IDS,2,FALSE))</f>
        <v/>
      </c>
      <c r="R567" s="5">
        <f>IFERROR((P567*100000)+Q567,"")</f>
        <v/>
      </c>
    </row>
    <row r="568" ht="20.25" customHeight="1" s="106">
      <c r="A568" s="14" t="n"/>
      <c r="B568" s="15" t="n">
        <v>564</v>
      </c>
      <c r="C568" s="15" t="n"/>
      <c r="D568" s="15" t="n"/>
      <c r="E568" s="16" t="n"/>
      <c r="F568" s="15" t="n"/>
      <c r="G568" s="15" t="n"/>
      <c r="H568" s="16" t="n"/>
      <c r="I568" s="15">
        <f>IF(ISBLANK($E568)," ",IF($E568&gt;$H568,$C568,$F568))</f>
        <v/>
      </c>
      <c r="J568" s="15">
        <f>IF(ISBLANK($E568)," ",IF($E568&gt;$H568,$D568,$G568))</f>
        <v/>
      </c>
      <c r="K568" s="15" t="n"/>
      <c r="L568" s="15">
        <f>E568-H568</f>
        <v/>
      </c>
      <c r="M568" s="5">
        <f>IF(ISBLANK($E568),"",VLOOKUP($I568,PLAYERS_IDS,2,FALSE)*VLOOKUP($J568,PLAYERS_IDS,2,FALSE))</f>
        <v/>
      </c>
      <c r="N568" s="25">
        <f>IF(ISBLANK($E568)," ", COUNTIF($M$4:$M568,$M568))</f>
        <v/>
      </c>
      <c r="O568" s="25">
        <f>IF(N568 =" ", " ", IF(N568=1,15,(IF(N568=2,15,(IF(N568=3,15,15))))))</f>
        <v/>
      </c>
      <c r="P568" s="5">
        <f>IF(ISBLANK($F568),"",VLOOKUP($C568,PLAYERS_IDS,2,FALSE)*VLOOKUP($D568,PLAYERS_IDS,2,FALSE))</f>
        <v/>
      </c>
      <c r="Q568" s="5">
        <f>IF(ISBLANK($F568), "",VLOOKUP($F568,PLAYERS_IDS,2,FALSE)*VLOOKUP($G568,PLAYERS_IDS,2,FALSE))</f>
        <v/>
      </c>
      <c r="R568" s="5">
        <f>IFERROR((P568*100000)+Q568,"")</f>
        <v/>
      </c>
    </row>
    <row r="569" ht="20.25" customHeight="1" s="106">
      <c r="A569" s="14" t="n"/>
      <c r="B569" s="15" t="n">
        <v>565</v>
      </c>
      <c r="C569" s="15" t="n"/>
      <c r="D569" s="15" t="n"/>
      <c r="E569" s="16" t="n"/>
      <c r="F569" s="15" t="n"/>
      <c r="G569" s="15" t="n"/>
      <c r="H569" s="16" t="n"/>
      <c r="I569" s="15">
        <f>IF(ISBLANK($E569)," ",IF($E569&gt;$H569,$C569,$F569))</f>
        <v/>
      </c>
      <c r="J569" s="15">
        <f>IF(ISBLANK($E569)," ",IF($E569&gt;$H569,$D569,$G569))</f>
        <v/>
      </c>
      <c r="K569" s="15" t="n"/>
      <c r="L569" s="15">
        <f>E569-H569</f>
        <v/>
      </c>
      <c r="M569" s="5">
        <f>IF(ISBLANK($E569),"",VLOOKUP($I569,PLAYERS_IDS,2,FALSE)*VLOOKUP($J569,PLAYERS_IDS,2,FALSE))</f>
        <v/>
      </c>
      <c r="N569" s="25">
        <f>IF(ISBLANK($E569)," ", COUNTIF($M$4:$M569,$M569))</f>
        <v/>
      </c>
      <c r="O569" s="25">
        <f>IF(N569 =" ", " ", IF(N569=1,15,(IF(N569=2,15,(IF(N569=3,15,15))))))</f>
        <v/>
      </c>
      <c r="P569" s="5">
        <f>IF(ISBLANK($F569),"",VLOOKUP($C569,PLAYERS_IDS,2,FALSE)*VLOOKUP($D569,PLAYERS_IDS,2,FALSE))</f>
        <v/>
      </c>
      <c r="Q569" s="5">
        <f>IF(ISBLANK($F569), "",VLOOKUP($F569,PLAYERS_IDS,2,FALSE)*VLOOKUP($G569,PLAYERS_IDS,2,FALSE))</f>
        <v/>
      </c>
      <c r="R569" s="5">
        <f>IFERROR((P569*100000)+Q569,"")</f>
        <v/>
      </c>
    </row>
    <row r="570" ht="20.25" customHeight="1" s="106">
      <c r="A570" s="14" t="n"/>
      <c r="B570" s="15" t="n">
        <v>566</v>
      </c>
      <c r="C570" s="15" t="n"/>
      <c r="D570" s="15" t="n"/>
      <c r="E570" s="16" t="n"/>
      <c r="F570" s="15" t="n"/>
      <c r="G570" s="15" t="n"/>
      <c r="H570" s="16" t="n"/>
      <c r="I570" s="15">
        <f>IF(ISBLANK($E570)," ",IF($E570&gt;$H570,$C570,$F570))</f>
        <v/>
      </c>
      <c r="J570" s="15">
        <f>IF(ISBLANK($E570)," ",IF($E570&gt;$H570,$D570,$G570))</f>
        <v/>
      </c>
      <c r="K570" s="15" t="n"/>
      <c r="L570" s="15">
        <f>E570-H570</f>
        <v/>
      </c>
      <c r="M570" s="5">
        <f>IF(ISBLANK($E570),"",VLOOKUP($I570,PLAYERS_IDS,2,FALSE)*VLOOKUP($J570,PLAYERS_IDS,2,FALSE))</f>
        <v/>
      </c>
      <c r="N570" s="25">
        <f>IF(ISBLANK($E570)," ", COUNTIF($M$4:$M570,$M570))</f>
        <v/>
      </c>
      <c r="O570" s="25">
        <f>IF(N570 =" ", " ", IF(N570=1,15,(IF(N570=2,15,(IF(N570=3,15,15))))))</f>
        <v/>
      </c>
      <c r="P570" s="5">
        <f>IF(ISBLANK($F570),"",VLOOKUP($C570,PLAYERS_IDS,2,FALSE)*VLOOKUP($D570,PLAYERS_IDS,2,FALSE))</f>
        <v/>
      </c>
      <c r="Q570" s="5">
        <f>IF(ISBLANK($F570), "",VLOOKUP($F570,PLAYERS_IDS,2,FALSE)*VLOOKUP($G570,PLAYERS_IDS,2,FALSE))</f>
        <v/>
      </c>
      <c r="R570" s="5">
        <f>IFERROR((P570*100000)+Q570,"")</f>
        <v/>
      </c>
    </row>
    <row r="571" ht="20.25" customHeight="1" s="106">
      <c r="A571" s="14" t="n"/>
      <c r="B571" s="15" t="n">
        <v>567</v>
      </c>
      <c r="C571" s="15" t="n"/>
      <c r="D571" s="15" t="n"/>
      <c r="E571" s="16" t="n"/>
      <c r="F571" s="15" t="n"/>
      <c r="G571" s="15" t="n"/>
      <c r="H571" s="16" t="n"/>
      <c r="I571" s="15">
        <f>IF(ISBLANK($E571)," ",IF($E571&gt;$H571,$C571,$F571))</f>
        <v/>
      </c>
      <c r="J571" s="15">
        <f>IF(ISBLANK($E571)," ",IF($E571&gt;$H571,$D571,$G571))</f>
        <v/>
      </c>
      <c r="K571" s="15" t="n"/>
      <c r="L571" s="15">
        <f>E571-H571</f>
        <v/>
      </c>
      <c r="M571" s="5">
        <f>IF(ISBLANK($E571),"",VLOOKUP($I571,PLAYERS_IDS,2,FALSE)*VLOOKUP($J571,PLAYERS_IDS,2,FALSE))</f>
        <v/>
      </c>
      <c r="N571" s="25">
        <f>IF(ISBLANK($E571)," ", COUNTIF($M$4:$M571,$M571))</f>
        <v/>
      </c>
      <c r="O571" s="25">
        <f>IF(N571 =" ", " ", IF(N571=1,15,(IF(N571=2,15,(IF(N571=3,15,15))))))</f>
        <v/>
      </c>
      <c r="P571" s="5">
        <f>IF(ISBLANK($F571),"",VLOOKUP($C571,PLAYERS_IDS,2,FALSE)*VLOOKUP($D571,PLAYERS_IDS,2,FALSE))</f>
        <v/>
      </c>
      <c r="Q571" s="5">
        <f>IF(ISBLANK($F571), "",VLOOKUP($F571,PLAYERS_IDS,2,FALSE)*VLOOKUP($G571,PLAYERS_IDS,2,FALSE))</f>
        <v/>
      </c>
      <c r="R571" s="5">
        <f>IFERROR((P571*100000)+Q571,"")</f>
        <v/>
      </c>
    </row>
    <row r="572" ht="20.25" customHeight="1" s="106">
      <c r="A572" s="14" t="n"/>
      <c r="B572" s="15" t="n">
        <v>568</v>
      </c>
      <c r="C572" s="15" t="n"/>
      <c r="D572" s="15" t="n"/>
      <c r="E572" s="16" t="n"/>
      <c r="F572" s="15" t="n"/>
      <c r="G572" s="15" t="n"/>
      <c r="H572" s="16" t="n"/>
      <c r="I572" s="15">
        <f>IF(ISBLANK($E572)," ",IF($E572&gt;$H572,$C572,$F572))</f>
        <v/>
      </c>
      <c r="J572" s="15">
        <f>IF(ISBLANK($E572)," ",IF($E572&gt;$H572,$D572,$G572))</f>
        <v/>
      </c>
      <c r="K572" s="15" t="n"/>
      <c r="L572" s="15">
        <f>E572-H572</f>
        <v/>
      </c>
      <c r="M572" s="5">
        <f>IF(ISBLANK($E572),"",VLOOKUP($I572,PLAYERS_IDS,2,FALSE)*VLOOKUP($J572,PLAYERS_IDS,2,FALSE))</f>
        <v/>
      </c>
      <c r="N572" s="25">
        <f>IF(ISBLANK($E572)," ", COUNTIF($M$4:$M572,$M572))</f>
        <v/>
      </c>
      <c r="O572" s="25">
        <f>IF(N572 =" ", " ", IF(N572=1,15,(IF(N572=2,15,(IF(N572=3,15,15))))))</f>
        <v/>
      </c>
      <c r="P572" s="5">
        <f>IF(ISBLANK($F572),"",VLOOKUP($C572,PLAYERS_IDS,2,FALSE)*VLOOKUP($D572,PLAYERS_IDS,2,FALSE))</f>
        <v/>
      </c>
      <c r="Q572" s="5">
        <f>IF(ISBLANK($F572), "",VLOOKUP($F572,PLAYERS_IDS,2,FALSE)*VLOOKUP($G572,PLAYERS_IDS,2,FALSE))</f>
        <v/>
      </c>
      <c r="R572" s="5">
        <f>IFERROR((P572*100000)+Q572,"")</f>
        <v/>
      </c>
    </row>
    <row r="573" ht="20.25" customHeight="1" s="106">
      <c r="A573" s="14" t="n"/>
      <c r="B573" s="15" t="n">
        <v>569</v>
      </c>
      <c r="C573" s="15" t="n"/>
      <c r="D573" s="15" t="n"/>
      <c r="E573" s="16" t="n"/>
      <c r="F573" s="15" t="n"/>
      <c r="G573" s="15" t="n"/>
      <c r="H573" s="16" t="n"/>
      <c r="I573" s="15">
        <f>IF(ISBLANK($E573)," ",IF($E573&gt;$H573,$C573,$F573))</f>
        <v/>
      </c>
      <c r="J573" s="15">
        <f>IF(ISBLANK($E573)," ",IF($E573&gt;$H573,$D573,$G573))</f>
        <v/>
      </c>
      <c r="K573" s="15" t="n"/>
      <c r="L573" s="15">
        <f>E573-H573</f>
        <v/>
      </c>
      <c r="M573" s="5">
        <f>IF(ISBLANK($E573),"",VLOOKUP($I573,PLAYERS_IDS,2,FALSE)*VLOOKUP($J573,PLAYERS_IDS,2,FALSE))</f>
        <v/>
      </c>
      <c r="N573" s="25">
        <f>IF(ISBLANK($E573)," ", COUNTIF($M$4:$M573,$M573))</f>
        <v/>
      </c>
      <c r="O573" s="25">
        <f>IF(N573 =" ", " ", IF(N573=1,15,(IF(N573=2,15,(IF(N573=3,15,15))))))</f>
        <v/>
      </c>
      <c r="P573" s="5">
        <f>IF(ISBLANK($F573),"",VLOOKUP($C573,PLAYERS_IDS,2,FALSE)*VLOOKUP($D573,PLAYERS_IDS,2,FALSE))</f>
        <v/>
      </c>
      <c r="Q573" s="5">
        <f>IF(ISBLANK($F573), "",VLOOKUP($F573,PLAYERS_IDS,2,FALSE)*VLOOKUP($G573,PLAYERS_IDS,2,FALSE))</f>
        <v/>
      </c>
      <c r="R573" s="5">
        <f>IFERROR((P573*100000)+Q573,"")</f>
        <v/>
      </c>
    </row>
    <row r="574" ht="20.25" customHeight="1" s="106">
      <c r="A574" s="14" t="n"/>
      <c r="B574" s="15" t="n">
        <v>570</v>
      </c>
      <c r="C574" s="15" t="n"/>
      <c r="D574" s="15" t="n"/>
      <c r="E574" s="16" t="n"/>
      <c r="F574" s="15" t="n"/>
      <c r="G574" s="15" t="n"/>
      <c r="H574" s="16" t="n"/>
      <c r="I574" s="15">
        <f>IF(ISBLANK($E574)," ",IF($E574&gt;$H574,$C574,$F574))</f>
        <v/>
      </c>
      <c r="J574" s="15">
        <f>IF(ISBLANK($E574)," ",IF($E574&gt;$H574,$D574,$G574))</f>
        <v/>
      </c>
      <c r="K574" s="15" t="n"/>
      <c r="L574" s="15">
        <f>E574-H574</f>
        <v/>
      </c>
      <c r="M574" s="5">
        <f>IF(ISBLANK($E574),"",VLOOKUP($I574,PLAYERS_IDS,2,FALSE)*VLOOKUP($J574,PLAYERS_IDS,2,FALSE))</f>
        <v/>
      </c>
      <c r="N574" s="25">
        <f>IF(ISBLANK($E574)," ", COUNTIF($M$4:$M574,$M574))</f>
        <v/>
      </c>
      <c r="O574" s="25">
        <f>IF(N574 =" ", " ", IF(N574=1,15,(IF(N574=2,15,(IF(N574=3,15,15))))))</f>
        <v/>
      </c>
      <c r="P574" s="5">
        <f>IF(ISBLANK($F574),"",VLOOKUP($C574,PLAYERS_IDS,2,FALSE)*VLOOKUP($D574,PLAYERS_IDS,2,FALSE))</f>
        <v/>
      </c>
      <c r="Q574" s="5">
        <f>IF(ISBLANK($F574), "",VLOOKUP($F574,PLAYERS_IDS,2,FALSE)*VLOOKUP($G574,PLAYERS_IDS,2,FALSE))</f>
        <v/>
      </c>
      <c r="R574" s="5">
        <f>IFERROR((P574*100000)+Q574,"")</f>
        <v/>
      </c>
    </row>
    <row r="575" ht="20.25" customHeight="1" s="106">
      <c r="A575" s="14" t="n"/>
      <c r="B575" s="15" t="n">
        <v>571</v>
      </c>
      <c r="C575" s="15" t="n"/>
      <c r="D575" s="15" t="n"/>
      <c r="E575" s="16" t="n"/>
      <c r="F575" s="15" t="n"/>
      <c r="G575" s="15" t="n"/>
      <c r="H575" s="16" t="n"/>
      <c r="I575" s="15">
        <f>IF(ISBLANK($E575)," ",IF($E575&gt;$H575,$C575,$F575))</f>
        <v/>
      </c>
      <c r="J575" s="15">
        <f>IF(ISBLANK($E575)," ",IF($E575&gt;$H575,$D575,$G575))</f>
        <v/>
      </c>
      <c r="K575" s="15" t="n"/>
      <c r="L575" s="15">
        <f>E575-H575</f>
        <v/>
      </c>
      <c r="M575" s="5">
        <f>IF(ISBLANK($E575),"",VLOOKUP($I575,PLAYERS_IDS,2,FALSE)*VLOOKUP($J575,PLAYERS_IDS,2,FALSE))</f>
        <v/>
      </c>
      <c r="N575" s="25">
        <f>IF(ISBLANK($E575)," ", COUNTIF($M$4:$M575,$M575))</f>
        <v/>
      </c>
      <c r="O575" s="25">
        <f>IF(N575 =" ", " ", IF(N575=1,15,(IF(N575=2,15,(IF(N575=3,15,15))))))</f>
        <v/>
      </c>
      <c r="P575" s="5">
        <f>IF(ISBLANK($F575),"",VLOOKUP($C575,PLAYERS_IDS,2,FALSE)*VLOOKUP($D575,PLAYERS_IDS,2,FALSE))</f>
        <v/>
      </c>
      <c r="Q575" s="5">
        <f>IF(ISBLANK($F575), "",VLOOKUP($F575,PLAYERS_IDS,2,FALSE)*VLOOKUP($G575,PLAYERS_IDS,2,FALSE))</f>
        <v/>
      </c>
      <c r="R575" s="5">
        <f>IFERROR((P575*100000)+Q575,"")</f>
        <v/>
      </c>
    </row>
    <row r="576" ht="20.25" customHeight="1" s="106">
      <c r="A576" s="14" t="n"/>
      <c r="B576" s="15" t="n">
        <v>572</v>
      </c>
      <c r="C576" s="15" t="n"/>
      <c r="D576" s="15" t="n"/>
      <c r="E576" s="16" t="n"/>
      <c r="F576" s="15" t="n"/>
      <c r="G576" s="15" t="n"/>
      <c r="H576" s="16" t="n"/>
      <c r="I576" s="15">
        <f>IF(ISBLANK($E576)," ",IF($E576&gt;$H576,$C576,$F576))</f>
        <v/>
      </c>
      <c r="J576" s="15">
        <f>IF(ISBLANK($E576)," ",IF($E576&gt;$H576,$D576,$G576))</f>
        <v/>
      </c>
      <c r="K576" s="15" t="n"/>
      <c r="L576" s="15">
        <f>E576-H576</f>
        <v/>
      </c>
      <c r="M576" s="5">
        <f>IF(ISBLANK($E576),"",VLOOKUP($I576,PLAYERS_IDS,2,FALSE)*VLOOKUP($J576,PLAYERS_IDS,2,FALSE))</f>
        <v/>
      </c>
      <c r="N576" s="25">
        <f>IF(ISBLANK($E576)," ", COUNTIF($M$4:$M576,$M576))</f>
        <v/>
      </c>
      <c r="O576" s="25">
        <f>IF(N576 =" ", " ", IF(N576=1,15,(IF(N576=2,15,(IF(N576=3,15,15))))))</f>
        <v/>
      </c>
      <c r="P576" s="5">
        <f>IF(ISBLANK($F576),"",VLOOKUP($C576,PLAYERS_IDS,2,FALSE)*VLOOKUP($D576,PLAYERS_IDS,2,FALSE))</f>
        <v/>
      </c>
      <c r="Q576" s="5">
        <f>IF(ISBLANK($F576), "",VLOOKUP($F576,PLAYERS_IDS,2,FALSE)*VLOOKUP($G576,PLAYERS_IDS,2,FALSE))</f>
        <v/>
      </c>
      <c r="R576" s="5">
        <f>IFERROR((P576*100000)+Q576,"")</f>
        <v/>
      </c>
    </row>
    <row r="577" ht="20.25" customHeight="1" s="106">
      <c r="A577" s="14" t="n"/>
      <c r="B577" s="15" t="n">
        <v>573</v>
      </c>
      <c r="C577" s="15" t="n"/>
      <c r="D577" s="15" t="n"/>
      <c r="E577" s="16" t="n"/>
      <c r="F577" s="15" t="n"/>
      <c r="G577" s="15" t="n"/>
      <c r="H577" s="16" t="n"/>
      <c r="I577" s="15">
        <f>IF(ISBLANK($E577)," ",IF($E577&gt;$H577,$C577,$F577))</f>
        <v/>
      </c>
      <c r="J577" s="15">
        <f>IF(ISBLANK($E577)," ",IF($E577&gt;$H577,$D577,$G577))</f>
        <v/>
      </c>
      <c r="K577" s="15" t="n"/>
      <c r="L577" s="15">
        <f>E577-H577</f>
        <v/>
      </c>
      <c r="M577" s="5">
        <f>IF(ISBLANK($E577),"",VLOOKUP($I577,PLAYERS_IDS,2,FALSE)*VLOOKUP($J577,PLAYERS_IDS,2,FALSE))</f>
        <v/>
      </c>
      <c r="N577" s="25">
        <f>IF(ISBLANK($E577)," ", COUNTIF($M$4:$M577,$M577))</f>
        <v/>
      </c>
      <c r="O577" s="25">
        <f>IF(N577 =" ", " ", IF(N577=1,15,(IF(N577=2,15,(IF(N577=3,15,15))))))</f>
        <v/>
      </c>
      <c r="P577" s="5">
        <f>IF(ISBLANK($F577),"",VLOOKUP($C577,PLAYERS_IDS,2,FALSE)*VLOOKUP($D577,PLAYERS_IDS,2,FALSE))</f>
        <v/>
      </c>
      <c r="Q577" s="5">
        <f>IF(ISBLANK($F577), "",VLOOKUP($F577,PLAYERS_IDS,2,FALSE)*VLOOKUP($G577,PLAYERS_IDS,2,FALSE))</f>
        <v/>
      </c>
      <c r="R577" s="5">
        <f>IFERROR((P577*100000)+Q577,"")</f>
        <v/>
      </c>
    </row>
    <row r="578" ht="20.25" customHeight="1" s="106">
      <c r="A578" s="14" t="n"/>
      <c r="B578" s="15" t="n">
        <v>574</v>
      </c>
      <c r="C578" s="15" t="n"/>
      <c r="D578" s="15" t="n"/>
      <c r="E578" s="16" t="n"/>
      <c r="F578" s="15" t="n"/>
      <c r="G578" s="15" t="n"/>
      <c r="H578" s="16" t="n"/>
      <c r="I578" s="15">
        <f>IF(ISBLANK($E578)," ",IF($E578&gt;$H578,$C578,$F578))</f>
        <v/>
      </c>
      <c r="J578" s="15">
        <f>IF(ISBLANK($E578)," ",IF($E578&gt;$H578,$D578,$G578))</f>
        <v/>
      </c>
      <c r="K578" s="15" t="n"/>
      <c r="L578" s="15">
        <f>E578-H578</f>
        <v/>
      </c>
      <c r="M578" s="5">
        <f>IF(ISBLANK($E578),"",VLOOKUP($I578,PLAYERS_IDS,2,FALSE)*VLOOKUP($J578,PLAYERS_IDS,2,FALSE))</f>
        <v/>
      </c>
      <c r="N578" s="25">
        <f>IF(ISBLANK($E578)," ", COUNTIF($M$4:$M578,$M578))</f>
        <v/>
      </c>
      <c r="O578" s="25">
        <f>IF(N578 =" ", " ", IF(N578=1,15,(IF(N578=2,15,(IF(N578=3,15,15))))))</f>
        <v/>
      </c>
      <c r="P578" s="5">
        <f>IF(ISBLANK($F578),"",VLOOKUP($C578,PLAYERS_IDS,2,FALSE)*VLOOKUP($D578,PLAYERS_IDS,2,FALSE))</f>
        <v/>
      </c>
      <c r="Q578" s="5">
        <f>IF(ISBLANK($F578), "",VLOOKUP($F578,PLAYERS_IDS,2,FALSE)*VLOOKUP($G578,PLAYERS_IDS,2,FALSE))</f>
        <v/>
      </c>
      <c r="R578" s="5">
        <f>IFERROR((P578*100000)+Q578,"")</f>
        <v/>
      </c>
    </row>
    <row r="579" ht="20.25" customHeight="1" s="106">
      <c r="A579" s="14" t="n"/>
      <c r="B579" s="15" t="n">
        <v>575</v>
      </c>
      <c r="C579" s="15" t="n"/>
      <c r="D579" s="15" t="n"/>
      <c r="E579" s="16" t="n"/>
      <c r="F579" s="15" t="n"/>
      <c r="G579" s="15" t="n"/>
      <c r="H579" s="16" t="n"/>
      <c r="I579" s="15">
        <f>IF(ISBLANK($E579)," ",IF($E579&gt;$H579,$C579,$F579))</f>
        <v/>
      </c>
      <c r="J579" s="15">
        <f>IF(ISBLANK($E579)," ",IF($E579&gt;$H579,$D579,$G579))</f>
        <v/>
      </c>
      <c r="K579" s="15" t="n"/>
      <c r="L579" s="15">
        <f>E579-H579</f>
        <v/>
      </c>
      <c r="M579" s="5">
        <f>IF(ISBLANK($E579),"",VLOOKUP($I579,PLAYERS_IDS,2,FALSE)*VLOOKUP($J579,PLAYERS_IDS,2,FALSE))</f>
        <v/>
      </c>
      <c r="N579" s="25">
        <f>IF(ISBLANK($E579)," ", COUNTIF($M$4:$M579,$M579))</f>
        <v/>
      </c>
      <c r="O579" s="25">
        <f>IF(N579 =" ", " ", IF(N579=1,15,(IF(N579=2,15,(IF(N579=3,15,15))))))</f>
        <v/>
      </c>
      <c r="P579" s="5">
        <f>IF(ISBLANK($F579),"",VLOOKUP($C579,PLAYERS_IDS,2,FALSE)*VLOOKUP($D579,PLAYERS_IDS,2,FALSE))</f>
        <v/>
      </c>
      <c r="Q579" s="5">
        <f>IF(ISBLANK($F579), "",VLOOKUP($F579,PLAYERS_IDS,2,FALSE)*VLOOKUP($G579,PLAYERS_IDS,2,FALSE))</f>
        <v/>
      </c>
      <c r="R579" s="5">
        <f>IFERROR((P579*100000)+Q579,"")</f>
        <v/>
      </c>
    </row>
    <row r="580" ht="20.25" customHeight="1" s="106">
      <c r="A580" s="14" t="n"/>
      <c r="B580" s="15" t="n">
        <v>576</v>
      </c>
      <c r="C580" s="15" t="n"/>
      <c r="D580" s="15" t="n"/>
      <c r="E580" s="16" t="n"/>
      <c r="F580" s="15" t="n"/>
      <c r="G580" s="15" t="n"/>
      <c r="H580" s="16" t="n"/>
      <c r="I580" s="15">
        <f>IF(ISBLANK($E580)," ",IF($E580&gt;$H580,$C580,$F580))</f>
        <v/>
      </c>
      <c r="J580" s="15">
        <f>IF(ISBLANK($E580)," ",IF($E580&gt;$H580,$D580,$G580))</f>
        <v/>
      </c>
      <c r="K580" s="15" t="n"/>
      <c r="L580" s="15">
        <f>E580-H580</f>
        <v/>
      </c>
      <c r="M580" s="5">
        <f>IF(ISBLANK($E580),"",VLOOKUP($I580,PLAYERS_IDS,2,FALSE)*VLOOKUP($J580,PLAYERS_IDS,2,FALSE))</f>
        <v/>
      </c>
      <c r="N580" s="25">
        <f>IF(ISBLANK($E580)," ", COUNTIF($M$4:$M580,$M580))</f>
        <v/>
      </c>
      <c r="O580" s="25">
        <f>IF(N580 =" ", " ", IF(N580=1,15,(IF(N580=2,15,(IF(N580=3,15,15))))))</f>
        <v/>
      </c>
      <c r="P580" s="5">
        <f>IF(ISBLANK($F580),"",VLOOKUP($C580,PLAYERS_IDS,2,FALSE)*VLOOKUP($D580,PLAYERS_IDS,2,FALSE))</f>
        <v/>
      </c>
      <c r="Q580" s="5">
        <f>IF(ISBLANK($F580), "",VLOOKUP($F580,PLAYERS_IDS,2,FALSE)*VLOOKUP($G580,PLAYERS_IDS,2,FALSE))</f>
        <v/>
      </c>
      <c r="R580" s="5">
        <f>IFERROR((P580*100000)+Q580,"")</f>
        <v/>
      </c>
    </row>
    <row r="581" ht="20.25" customHeight="1" s="106">
      <c r="A581" s="14" t="n"/>
      <c r="B581" s="15" t="n">
        <v>577</v>
      </c>
      <c r="C581" s="15" t="n"/>
      <c r="D581" s="15" t="n"/>
      <c r="E581" s="16" t="n"/>
      <c r="F581" s="15" t="n"/>
      <c r="G581" s="15" t="n"/>
      <c r="H581" s="16" t="n"/>
      <c r="I581" s="15">
        <f>IF(ISBLANK($E581)," ",IF($E581&gt;$H581,$C581,$F581))</f>
        <v/>
      </c>
      <c r="J581" s="15">
        <f>IF(ISBLANK($E581)," ",IF($E581&gt;$H581,$D581,$G581))</f>
        <v/>
      </c>
      <c r="K581" s="15" t="n"/>
      <c r="L581" s="15">
        <f>E581-H581</f>
        <v/>
      </c>
      <c r="M581" s="5">
        <f>IF(ISBLANK($E581),"",VLOOKUP($I581,PLAYERS_IDS,2,FALSE)*VLOOKUP($J581,PLAYERS_IDS,2,FALSE))</f>
        <v/>
      </c>
      <c r="N581" s="25">
        <f>IF(ISBLANK($E581)," ", COUNTIF($M$4:$M581,$M581))</f>
        <v/>
      </c>
      <c r="O581" s="25">
        <f>IF(N581 =" ", " ", IF(N581=1,15,(IF(N581=2,15,(IF(N581=3,15,15))))))</f>
        <v/>
      </c>
      <c r="P581" s="5">
        <f>IF(ISBLANK($F581),"",VLOOKUP($C581,PLAYERS_IDS,2,FALSE)*VLOOKUP($D581,PLAYERS_IDS,2,FALSE))</f>
        <v/>
      </c>
      <c r="Q581" s="5">
        <f>IF(ISBLANK($F581), "",VLOOKUP($F581,PLAYERS_IDS,2,FALSE)*VLOOKUP($G581,PLAYERS_IDS,2,FALSE))</f>
        <v/>
      </c>
      <c r="R581" s="5">
        <f>IFERROR((P581*100000)+Q581,"")</f>
        <v/>
      </c>
    </row>
    <row r="582" ht="20.25" customHeight="1" s="106">
      <c r="A582" s="14" t="n"/>
      <c r="B582" s="15" t="n">
        <v>578</v>
      </c>
      <c r="C582" s="15" t="n"/>
      <c r="D582" s="15" t="n"/>
      <c r="E582" s="16" t="n"/>
      <c r="F582" s="15" t="n"/>
      <c r="G582" s="15" t="n"/>
      <c r="H582" s="16" t="n"/>
      <c r="I582" s="15">
        <f>IF(ISBLANK($E582)," ",IF($E582&gt;$H582,$C582,$F582))</f>
        <v/>
      </c>
      <c r="J582" s="15">
        <f>IF(ISBLANK($E582)," ",IF($E582&gt;$H582,$D582,$G582))</f>
        <v/>
      </c>
      <c r="K582" s="15" t="n"/>
      <c r="L582" s="15">
        <f>E582-H582</f>
        <v/>
      </c>
      <c r="M582" s="5">
        <f>IF(ISBLANK($E582),"",VLOOKUP($I582,PLAYERS_IDS,2,FALSE)*VLOOKUP($J582,PLAYERS_IDS,2,FALSE))</f>
        <v/>
      </c>
      <c r="N582" s="25">
        <f>IF(ISBLANK($E582)," ", COUNTIF($M$4:$M582,$M582))</f>
        <v/>
      </c>
      <c r="O582" s="25">
        <f>IF(N582 =" ", " ", IF(N582=1,15,(IF(N582=2,15,(IF(N582=3,15,15))))))</f>
        <v/>
      </c>
      <c r="P582" s="5">
        <f>IF(ISBLANK($F582),"",VLOOKUP($C582,PLAYERS_IDS,2,FALSE)*VLOOKUP($D582,PLAYERS_IDS,2,FALSE))</f>
        <v/>
      </c>
      <c r="Q582" s="5">
        <f>IF(ISBLANK($F582), "",VLOOKUP($F582,PLAYERS_IDS,2,FALSE)*VLOOKUP($G582,PLAYERS_IDS,2,FALSE))</f>
        <v/>
      </c>
      <c r="R582" s="5">
        <f>IFERROR((P582*100000)+Q582,"")</f>
        <v/>
      </c>
    </row>
    <row r="583" ht="20.25" customHeight="1" s="106">
      <c r="A583" s="14" t="n"/>
      <c r="B583" s="15" t="n">
        <v>579</v>
      </c>
      <c r="C583" s="15" t="n"/>
      <c r="D583" s="15" t="n"/>
      <c r="E583" s="16" t="n"/>
      <c r="F583" s="15" t="n"/>
      <c r="G583" s="15" t="n"/>
      <c r="H583" s="16" t="n"/>
      <c r="I583" s="15">
        <f>IF(ISBLANK($E583)," ",IF($E583&gt;$H583,$C583,$F583))</f>
        <v/>
      </c>
      <c r="J583" s="15">
        <f>IF(ISBLANK($E583)," ",IF($E583&gt;$H583,$D583,$G583))</f>
        <v/>
      </c>
      <c r="K583" s="15" t="n"/>
      <c r="L583" s="15">
        <f>E583-H583</f>
        <v/>
      </c>
      <c r="M583" s="5">
        <f>IF(ISBLANK($E583),"",VLOOKUP($I583,PLAYERS_IDS,2,FALSE)*VLOOKUP($J583,PLAYERS_IDS,2,FALSE))</f>
        <v/>
      </c>
      <c r="N583" s="25">
        <f>IF(ISBLANK($E583)," ", COUNTIF($M$4:$M583,$M583))</f>
        <v/>
      </c>
      <c r="O583" s="25">
        <f>IF(N583 =" ", " ", IF(N583=1,15,(IF(N583=2,15,(IF(N583=3,15,15))))))</f>
        <v/>
      </c>
      <c r="P583" s="5">
        <f>IF(ISBLANK($F583),"",VLOOKUP($C583,PLAYERS_IDS,2,FALSE)*VLOOKUP($D583,PLAYERS_IDS,2,FALSE))</f>
        <v/>
      </c>
      <c r="Q583" s="5">
        <f>IF(ISBLANK($F583), "",VLOOKUP($F583,PLAYERS_IDS,2,FALSE)*VLOOKUP($G583,PLAYERS_IDS,2,FALSE))</f>
        <v/>
      </c>
      <c r="R583" s="5">
        <f>IFERROR((P583*100000)+Q583,"")</f>
        <v/>
      </c>
    </row>
    <row r="584" ht="20.25" customHeight="1" s="106">
      <c r="A584" s="14" t="n"/>
      <c r="B584" s="15" t="n">
        <v>580</v>
      </c>
      <c r="C584" s="15" t="n"/>
      <c r="D584" s="15" t="n"/>
      <c r="E584" s="16" t="n"/>
      <c r="F584" s="15" t="n"/>
      <c r="G584" s="15" t="n"/>
      <c r="H584" s="16" t="n"/>
      <c r="I584" s="15">
        <f>IF(ISBLANK($E584)," ",IF($E584&gt;$H584,$C584,$F584))</f>
        <v/>
      </c>
      <c r="J584" s="15">
        <f>IF(ISBLANK($E584)," ",IF($E584&gt;$H584,$D584,$G584))</f>
        <v/>
      </c>
      <c r="K584" s="15" t="n"/>
      <c r="L584" s="15">
        <f>E584-H584</f>
        <v/>
      </c>
      <c r="M584" s="5">
        <f>IF(ISBLANK($E584),"",VLOOKUP($I584,PLAYERS_IDS,2,FALSE)*VLOOKUP($J584,PLAYERS_IDS,2,FALSE))</f>
        <v/>
      </c>
      <c r="N584" s="25">
        <f>IF(ISBLANK($E584)," ", COUNTIF($M$4:$M584,$M584))</f>
        <v/>
      </c>
      <c r="O584" s="25">
        <f>IF(N584 =" ", " ", IF(N584=1,15,(IF(N584=2,15,(IF(N584=3,15,15))))))</f>
        <v/>
      </c>
      <c r="P584" s="5">
        <f>IF(ISBLANK($F584),"",VLOOKUP($C584,PLAYERS_IDS,2,FALSE)*VLOOKUP($D584,PLAYERS_IDS,2,FALSE))</f>
        <v/>
      </c>
      <c r="Q584" s="5">
        <f>IF(ISBLANK($F584), "",VLOOKUP($F584,PLAYERS_IDS,2,FALSE)*VLOOKUP($G584,PLAYERS_IDS,2,FALSE))</f>
        <v/>
      </c>
      <c r="R584" s="5">
        <f>IFERROR((P584*100000)+Q584,"")</f>
        <v/>
      </c>
    </row>
    <row r="585" ht="20.25" customHeight="1" s="106">
      <c r="A585" s="14" t="n"/>
      <c r="B585" s="15" t="n">
        <v>581</v>
      </c>
      <c r="C585" s="15" t="n"/>
      <c r="D585" s="15" t="n"/>
      <c r="E585" s="16" t="n"/>
      <c r="F585" s="15" t="n"/>
      <c r="G585" s="15" t="n"/>
      <c r="H585" s="16" t="n"/>
      <c r="I585" s="15">
        <f>IF(ISBLANK($E585)," ",IF($E585&gt;$H585,$C585,$F585))</f>
        <v/>
      </c>
      <c r="J585" s="15">
        <f>IF(ISBLANK($E585)," ",IF($E585&gt;$H585,$D585,$G585))</f>
        <v/>
      </c>
      <c r="K585" s="15" t="n"/>
      <c r="L585" s="15">
        <f>E585-H585</f>
        <v/>
      </c>
      <c r="M585" s="5">
        <f>IF(ISBLANK($E585),"",VLOOKUP($I585,PLAYERS_IDS,2,FALSE)*VLOOKUP($J585,PLAYERS_IDS,2,FALSE))</f>
        <v/>
      </c>
      <c r="N585" s="25">
        <f>IF(ISBLANK($E585)," ", COUNTIF($M$4:$M585,$M585))</f>
        <v/>
      </c>
      <c r="O585" s="25">
        <f>IF(N585 =" ", " ", IF(N585=1,15,(IF(N585=2,15,(IF(N585=3,15,15))))))</f>
        <v/>
      </c>
      <c r="P585" s="5">
        <f>IF(ISBLANK($F585),"",VLOOKUP($C585,PLAYERS_IDS,2,FALSE)*VLOOKUP($D585,PLAYERS_IDS,2,FALSE))</f>
        <v/>
      </c>
      <c r="Q585" s="5">
        <f>IF(ISBLANK($F585), "",VLOOKUP($F585,PLAYERS_IDS,2,FALSE)*VLOOKUP($G585,PLAYERS_IDS,2,FALSE))</f>
        <v/>
      </c>
      <c r="R585" s="5">
        <f>IFERROR((P585*100000)+Q585,"")</f>
        <v/>
      </c>
    </row>
    <row r="586" ht="20.25" customHeight="1" s="106">
      <c r="A586" s="14" t="n"/>
      <c r="B586" s="15" t="n">
        <v>582</v>
      </c>
      <c r="C586" s="15" t="n"/>
      <c r="D586" s="15" t="n"/>
      <c r="E586" s="16" t="n"/>
      <c r="F586" s="15" t="n"/>
      <c r="G586" s="15" t="n"/>
      <c r="H586" s="16" t="n"/>
      <c r="I586" s="15">
        <f>IF(ISBLANK($E586)," ",IF($E586&gt;$H586,$C586,$F586))</f>
        <v/>
      </c>
      <c r="J586" s="15">
        <f>IF(ISBLANK($E586)," ",IF($E586&gt;$H586,$D586,$G586))</f>
        <v/>
      </c>
      <c r="K586" s="15" t="n"/>
      <c r="L586" s="15">
        <f>E586-H586</f>
        <v/>
      </c>
      <c r="M586" s="5">
        <f>IF(ISBLANK($E586),"",VLOOKUP($I586,PLAYERS_IDS,2,FALSE)*VLOOKUP($J586,PLAYERS_IDS,2,FALSE))</f>
        <v/>
      </c>
      <c r="N586" s="25">
        <f>IF(ISBLANK($E586)," ", COUNTIF($M$4:$M586,$M586))</f>
        <v/>
      </c>
      <c r="O586" s="25">
        <f>IF(N586 =" ", " ", IF(N586=1,15,(IF(N586=2,15,(IF(N586=3,15,15))))))</f>
        <v/>
      </c>
      <c r="P586" s="5">
        <f>IF(ISBLANK($F586),"",VLOOKUP($C586,PLAYERS_IDS,2,FALSE)*VLOOKUP($D586,PLAYERS_IDS,2,FALSE))</f>
        <v/>
      </c>
      <c r="Q586" s="5">
        <f>IF(ISBLANK($F586), "",VLOOKUP($F586,PLAYERS_IDS,2,FALSE)*VLOOKUP($G586,PLAYERS_IDS,2,FALSE))</f>
        <v/>
      </c>
      <c r="R586" s="5">
        <f>IFERROR((P586*100000)+Q586,"")</f>
        <v/>
      </c>
    </row>
    <row r="587" ht="20.25" customHeight="1" s="106">
      <c r="A587" s="14" t="n"/>
      <c r="B587" s="15" t="n">
        <v>583</v>
      </c>
      <c r="C587" s="15" t="n"/>
      <c r="D587" s="15" t="n"/>
      <c r="E587" s="16" t="n"/>
      <c r="F587" s="15" t="n"/>
      <c r="G587" s="15" t="n"/>
      <c r="H587" s="16" t="n"/>
      <c r="I587" s="15">
        <f>IF(ISBLANK($E587)," ",IF($E587&gt;$H587,$C587,$F587))</f>
        <v/>
      </c>
      <c r="J587" s="15">
        <f>IF(ISBLANK($E587)," ",IF($E587&gt;$H587,$D587,$G587))</f>
        <v/>
      </c>
      <c r="K587" s="15" t="n"/>
      <c r="L587" s="15">
        <f>E587-H587</f>
        <v/>
      </c>
      <c r="M587" s="5">
        <f>IF(ISBLANK($E587),"",VLOOKUP($I587,PLAYERS_IDS,2,FALSE)*VLOOKUP($J587,PLAYERS_IDS,2,FALSE))</f>
        <v/>
      </c>
      <c r="N587" s="25">
        <f>IF(ISBLANK($E587)," ", COUNTIF($M$4:$M587,$M587))</f>
        <v/>
      </c>
      <c r="O587" s="25">
        <f>IF(N587 =" ", " ", IF(N587=1,15,(IF(N587=2,15,(IF(N587=3,15,15))))))</f>
        <v/>
      </c>
      <c r="P587" s="5">
        <f>IF(ISBLANK($F587),"",VLOOKUP($C587,PLAYERS_IDS,2,FALSE)*VLOOKUP($D587,PLAYERS_IDS,2,FALSE))</f>
        <v/>
      </c>
      <c r="Q587" s="5">
        <f>IF(ISBLANK($F587), "",VLOOKUP($F587,PLAYERS_IDS,2,FALSE)*VLOOKUP($G587,PLAYERS_IDS,2,FALSE))</f>
        <v/>
      </c>
      <c r="R587" s="5">
        <f>IFERROR((P587*100000)+Q587,"")</f>
        <v/>
      </c>
    </row>
    <row r="588" ht="20.25" customHeight="1" s="106">
      <c r="A588" s="14" t="n"/>
      <c r="B588" s="15" t="n">
        <v>584</v>
      </c>
      <c r="C588" s="15" t="n"/>
      <c r="D588" s="15" t="n"/>
      <c r="E588" s="16" t="n"/>
      <c r="F588" s="15" t="n"/>
      <c r="G588" s="15" t="n"/>
      <c r="H588" s="16" t="n"/>
      <c r="I588" s="15">
        <f>IF(ISBLANK($E588)," ",IF($E588&gt;$H588,$C588,$F588))</f>
        <v/>
      </c>
      <c r="J588" s="15">
        <f>IF(ISBLANK($E588)," ",IF($E588&gt;$H588,$D588,$G588))</f>
        <v/>
      </c>
      <c r="K588" s="15" t="n"/>
      <c r="L588" s="15">
        <f>E588-H588</f>
        <v/>
      </c>
      <c r="M588" s="5">
        <f>IF(ISBLANK($E588),"",VLOOKUP($I588,PLAYERS_IDS,2,FALSE)*VLOOKUP($J588,PLAYERS_IDS,2,FALSE))</f>
        <v/>
      </c>
      <c r="N588" s="25">
        <f>IF(ISBLANK($E588)," ", COUNTIF($M$4:$M588,$M588))</f>
        <v/>
      </c>
      <c r="O588" s="25">
        <f>IF(N588 =" ", " ", IF(N588=1,15,(IF(N588=2,15,(IF(N588=3,15,15))))))</f>
        <v/>
      </c>
      <c r="P588" s="5">
        <f>IF(ISBLANK($F588),"",VLOOKUP($C588,PLAYERS_IDS,2,FALSE)*VLOOKUP($D588,PLAYERS_IDS,2,FALSE))</f>
        <v/>
      </c>
      <c r="Q588" s="5">
        <f>IF(ISBLANK($F588), "",VLOOKUP($F588,PLAYERS_IDS,2,FALSE)*VLOOKUP($G588,PLAYERS_IDS,2,FALSE))</f>
        <v/>
      </c>
      <c r="R588" s="5">
        <f>IFERROR((P588*100000)+Q588,"")</f>
        <v/>
      </c>
    </row>
    <row r="589" ht="20.25" customHeight="1" s="106">
      <c r="A589" s="14" t="n"/>
      <c r="B589" s="15" t="n">
        <v>585</v>
      </c>
      <c r="C589" s="15" t="n"/>
      <c r="D589" s="15" t="n"/>
      <c r="E589" s="16" t="n"/>
      <c r="F589" s="15" t="n"/>
      <c r="G589" s="15" t="n"/>
      <c r="H589" s="16" t="n"/>
      <c r="I589" s="15">
        <f>IF(ISBLANK($E589)," ",IF($E589&gt;$H589,$C589,$F589))</f>
        <v/>
      </c>
      <c r="J589" s="15">
        <f>IF(ISBLANK($E589)," ",IF($E589&gt;$H589,$D589,$G589))</f>
        <v/>
      </c>
      <c r="K589" s="15" t="n"/>
      <c r="L589" s="15">
        <f>E589-H589</f>
        <v/>
      </c>
      <c r="M589" s="5">
        <f>IF(ISBLANK($E589),"",VLOOKUP($I589,PLAYERS_IDS,2,FALSE)*VLOOKUP($J589,PLAYERS_IDS,2,FALSE))</f>
        <v/>
      </c>
      <c r="N589" s="25">
        <f>IF(ISBLANK($E589)," ", COUNTIF($M$4:$M589,$M589))</f>
        <v/>
      </c>
      <c r="O589" s="25">
        <f>IF(N589 =" ", " ", IF(N589=1,15,(IF(N589=2,15,(IF(N589=3,15,15))))))</f>
        <v/>
      </c>
      <c r="P589" s="5">
        <f>IF(ISBLANK($F589),"",VLOOKUP($C589,PLAYERS_IDS,2,FALSE)*VLOOKUP($D589,PLAYERS_IDS,2,FALSE))</f>
        <v/>
      </c>
      <c r="Q589" s="5">
        <f>IF(ISBLANK($F589), "",VLOOKUP($F589,PLAYERS_IDS,2,FALSE)*VLOOKUP($G589,PLAYERS_IDS,2,FALSE))</f>
        <v/>
      </c>
      <c r="R589" s="5">
        <f>IFERROR((P589*100000)+Q589,"")</f>
        <v/>
      </c>
    </row>
    <row r="590" ht="20.25" customHeight="1" s="106">
      <c r="A590" s="14" t="n"/>
      <c r="B590" s="15" t="n">
        <v>586</v>
      </c>
      <c r="C590" s="15" t="n"/>
      <c r="D590" s="15" t="n"/>
      <c r="E590" s="16" t="n"/>
      <c r="F590" s="15" t="n"/>
      <c r="G590" s="15" t="n"/>
      <c r="H590" s="16" t="n"/>
      <c r="I590" s="15">
        <f>IF(ISBLANK($E590)," ",IF($E590&gt;$H590,$C590,$F590))</f>
        <v/>
      </c>
      <c r="J590" s="15">
        <f>IF(ISBLANK($E590)," ",IF($E590&gt;$H590,$D590,$G590))</f>
        <v/>
      </c>
      <c r="K590" s="15" t="n"/>
      <c r="L590" s="15">
        <f>E590-H590</f>
        <v/>
      </c>
      <c r="M590" s="5">
        <f>IF(ISBLANK($E590),"",VLOOKUP($I590,PLAYERS_IDS,2,FALSE)*VLOOKUP($J590,PLAYERS_IDS,2,FALSE))</f>
        <v/>
      </c>
      <c r="N590" s="25">
        <f>IF(ISBLANK($E590)," ", COUNTIF($M$4:$M590,$M590))</f>
        <v/>
      </c>
      <c r="O590" s="25">
        <f>IF(N590 =" ", " ", IF(N590=1,15,(IF(N590=2,15,(IF(N590=3,15,15))))))</f>
        <v/>
      </c>
      <c r="P590" s="5">
        <f>IF(ISBLANK($F590),"",VLOOKUP($C590,PLAYERS_IDS,2,FALSE)*VLOOKUP($D590,PLAYERS_IDS,2,FALSE))</f>
        <v/>
      </c>
      <c r="Q590" s="5">
        <f>IF(ISBLANK($F590), "",VLOOKUP($F590,PLAYERS_IDS,2,FALSE)*VLOOKUP($G590,PLAYERS_IDS,2,FALSE))</f>
        <v/>
      </c>
      <c r="R590" s="5">
        <f>IFERROR((P590*100000)+Q590,"")</f>
        <v/>
      </c>
    </row>
    <row r="591" ht="20.25" customHeight="1" s="106">
      <c r="A591" s="14" t="n"/>
      <c r="B591" s="15" t="n">
        <v>587</v>
      </c>
      <c r="C591" s="15" t="n"/>
      <c r="D591" s="15" t="n"/>
      <c r="E591" s="16" t="n"/>
      <c r="F591" s="15" t="n"/>
      <c r="G591" s="15" t="n"/>
      <c r="H591" s="16" t="n"/>
      <c r="I591" s="15">
        <f>IF(ISBLANK($E591)," ",IF($E591&gt;$H591,$C591,$F591))</f>
        <v/>
      </c>
      <c r="J591" s="15">
        <f>IF(ISBLANK($E591)," ",IF($E591&gt;$H591,$D591,$G591))</f>
        <v/>
      </c>
      <c r="K591" s="15" t="n"/>
      <c r="L591" s="15">
        <f>E591-H591</f>
        <v/>
      </c>
      <c r="M591" s="5">
        <f>IF(ISBLANK($E591),"",VLOOKUP($I591,PLAYERS_IDS,2,FALSE)*VLOOKUP($J591,PLAYERS_IDS,2,FALSE))</f>
        <v/>
      </c>
      <c r="N591" s="25">
        <f>IF(ISBLANK($E591)," ", COUNTIF($M$4:$M591,$M591))</f>
        <v/>
      </c>
      <c r="O591" s="25">
        <f>IF(N591 =" ", " ", IF(N591=1,15,(IF(N591=2,15,(IF(N591=3,15,15))))))</f>
        <v/>
      </c>
      <c r="P591" s="5">
        <f>IF(ISBLANK($F591),"",VLOOKUP($C591,PLAYERS_IDS,2,FALSE)*VLOOKUP($D591,PLAYERS_IDS,2,FALSE))</f>
        <v/>
      </c>
      <c r="Q591" s="5">
        <f>IF(ISBLANK($F591), "",VLOOKUP($F591,PLAYERS_IDS,2,FALSE)*VLOOKUP($G591,PLAYERS_IDS,2,FALSE))</f>
        <v/>
      </c>
      <c r="R591" s="5">
        <f>IFERROR((P591*100000)+Q591,"")</f>
        <v/>
      </c>
    </row>
    <row r="592" ht="20.25" customHeight="1" s="106">
      <c r="A592" s="14" t="n"/>
      <c r="B592" s="15" t="n">
        <v>588</v>
      </c>
      <c r="C592" s="15" t="n"/>
      <c r="D592" s="15" t="n"/>
      <c r="E592" s="16" t="n"/>
      <c r="F592" s="15" t="n"/>
      <c r="G592" s="15" t="n"/>
      <c r="H592" s="16" t="n"/>
      <c r="I592" s="15">
        <f>IF(ISBLANK($E592)," ",IF($E592&gt;$H592,$C592,$F592))</f>
        <v/>
      </c>
      <c r="J592" s="15">
        <f>IF(ISBLANK($E592)," ",IF($E592&gt;$H592,$D592,$G592))</f>
        <v/>
      </c>
      <c r="K592" s="15" t="n"/>
      <c r="L592" s="15">
        <f>E592-H592</f>
        <v/>
      </c>
      <c r="M592" s="5">
        <f>IF(ISBLANK($E592),"",VLOOKUP($I592,PLAYERS_IDS,2,FALSE)*VLOOKUP($J592,PLAYERS_IDS,2,FALSE))</f>
        <v/>
      </c>
      <c r="N592" s="25">
        <f>IF(ISBLANK($E592)," ", COUNTIF($M$4:$M592,$M592))</f>
        <v/>
      </c>
      <c r="O592" s="25">
        <f>IF(N592 =" ", " ", IF(N592=1,15,(IF(N592=2,15,(IF(N592=3,15,15))))))</f>
        <v/>
      </c>
      <c r="P592" s="5">
        <f>IF(ISBLANK($F592),"",VLOOKUP($C592,PLAYERS_IDS,2,FALSE)*VLOOKUP($D592,PLAYERS_IDS,2,FALSE))</f>
        <v/>
      </c>
      <c r="Q592" s="5">
        <f>IF(ISBLANK($F592), "",VLOOKUP($F592,PLAYERS_IDS,2,FALSE)*VLOOKUP($G592,PLAYERS_IDS,2,FALSE))</f>
        <v/>
      </c>
      <c r="R592" s="5">
        <f>IFERROR((P592*100000)+Q592,"")</f>
        <v/>
      </c>
    </row>
    <row r="593" ht="20.25" customHeight="1" s="106">
      <c r="A593" s="14" t="n"/>
      <c r="B593" s="15" t="n">
        <v>589</v>
      </c>
      <c r="C593" s="15" t="n"/>
      <c r="D593" s="15" t="n"/>
      <c r="E593" s="16" t="n"/>
      <c r="F593" s="15" t="n"/>
      <c r="G593" s="15" t="n"/>
      <c r="H593" s="16" t="n"/>
      <c r="I593" s="15">
        <f>IF(ISBLANK($E593)," ",IF($E593&gt;$H593,$C593,$F593))</f>
        <v/>
      </c>
      <c r="J593" s="15">
        <f>IF(ISBLANK($E593)," ",IF($E593&gt;$H593,$D593,$G593))</f>
        <v/>
      </c>
      <c r="K593" s="15" t="n"/>
      <c r="L593" s="15">
        <f>E593-H593</f>
        <v/>
      </c>
      <c r="M593" s="5">
        <f>IF(ISBLANK($E593),"",VLOOKUP($I593,PLAYERS_IDS,2,FALSE)*VLOOKUP($J593,PLAYERS_IDS,2,FALSE))</f>
        <v/>
      </c>
      <c r="N593" s="25">
        <f>IF(ISBLANK($E593)," ", COUNTIF($M$4:$M593,$M593))</f>
        <v/>
      </c>
      <c r="O593" s="25">
        <f>IF(N593 =" ", " ", IF(N593=1,15,(IF(N593=2,15,(IF(N593=3,15,15))))))</f>
        <v/>
      </c>
      <c r="P593" s="5">
        <f>IF(ISBLANK($F593),"",VLOOKUP($C593,PLAYERS_IDS,2,FALSE)*VLOOKUP($D593,PLAYERS_IDS,2,FALSE))</f>
        <v/>
      </c>
      <c r="Q593" s="5">
        <f>IF(ISBLANK($F593), "",VLOOKUP($F593,PLAYERS_IDS,2,FALSE)*VLOOKUP($G593,PLAYERS_IDS,2,FALSE))</f>
        <v/>
      </c>
      <c r="R593" s="5">
        <f>IFERROR((P593*100000)+Q593,"")</f>
        <v/>
      </c>
    </row>
    <row r="594" ht="20.25" customHeight="1" s="106">
      <c r="A594" s="14" t="n"/>
      <c r="B594" s="15" t="n">
        <v>590</v>
      </c>
      <c r="C594" s="15" t="n"/>
      <c r="D594" s="15" t="n"/>
      <c r="E594" s="16" t="n"/>
      <c r="F594" s="15" t="n"/>
      <c r="G594" s="15" t="n"/>
      <c r="H594" s="16" t="n"/>
      <c r="I594" s="15">
        <f>IF(ISBLANK($E594)," ",IF($E594&gt;$H594,$C594,$F594))</f>
        <v/>
      </c>
      <c r="J594" s="15">
        <f>IF(ISBLANK($E594)," ",IF($E594&gt;$H594,$D594,$G594))</f>
        <v/>
      </c>
      <c r="K594" s="15" t="n"/>
      <c r="L594" s="15">
        <f>E594-H594</f>
        <v/>
      </c>
      <c r="M594" s="5">
        <f>IF(ISBLANK($E594),"",VLOOKUP($I594,PLAYERS_IDS,2,FALSE)*VLOOKUP($J594,PLAYERS_IDS,2,FALSE))</f>
        <v/>
      </c>
      <c r="N594" s="25">
        <f>IF(ISBLANK($E594)," ", COUNTIF($M$4:$M594,$M594))</f>
        <v/>
      </c>
      <c r="O594" s="25">
        <f>IF(N594 =" ", " ", IF(N594=1,15,(IF(N594=2,15,(IF(N594=3,15,15))))))</f>
        <v/>
      </c>
      <c r="P594" s="5">
        <f>IF(ISBLANK($F594),"",VLOOKUP($C594,PLAYERS_IDS,2,FALSE)*VLOOKUP($D594,PLAYERS_IDS,2,FALSE))</f>
        <v/>
      </c>
      <c r="Q594" s="5">
        <f>IF(ISBLANK($F594), "",VLOOKUP($F594,PLAYERS_IDS,2,FALSE)*VLOOKUP($G594,PLAYERS_IDS,2,FALSE))</f>
        <v/>
      </c>
      <c r="R594" s="5">
        <f>IFERROR((P594*100000)+Q594,"")</f>
        <v/>
      </c>
    </row>
    <row r="595" ht="20.25" customHeight="1" s="106">
      <c r="A595" s="14" t="n"/>
      <c r="B595" s="15" t="n">
        <v>591</v>
      </c>
      <c r="C595" s="15" t="n"/>
      <c r="D595" s="15" t="n"/>
      <c r="E595" s="16" t="n"/>
      <c r="F595" s="15" t="n"/>
      <c r="G595" s="15" t="n"/>
      <c r="H595" s="16" t="n"/>
      <c r="I595" s="15">
        <f>IF(ISBLANK($E595)," ",IF($E595&gt;$H595,$C595,$F595))</f>
        <v/>
      </c>
      <c r="J595" s="15">
        <f>IF(ISBLANK($E595)," ",IF($E595&gt;$H595,$D595,$G595))</f>
        <v/>
      </c>
      <c r="K595" s="15" t="n"/>
      <c r="L595" s="15">
        <f>E595-H595</f>
        <v/>
      </c>
      <c r="M595" s="5">
        <f>IF(ISBLANK($E595),"",VLOOKUP($I595,PLAYERS_IDS,2,FALSE)*VLOOKUP($J595,PLAYERS_IDS,2,FALSE))</f>
        <v/>
      </c>
      <c r="N595" s="25">
        <f>IF(ISBLANK($E595)," ", COUNTIF($M$4:$M595,$M595))</f>
        <v/>
      </c>
      <c r="O595" s="25">
        <f>IF(N595 =" ", " ", IF(N595=1,15,(IF(N595=2,15,(IF(N595=3,15,15))))))</f>
        <v/>
      </c>
      <c r="P595" s="5">
        <f>IF(ISBLANK($F595),"",VLOOKUP($C595,PLAYERS_IDS,2,FALSE)*VLOOKUP($D595,PLAYERS_IDS,2,FALSE))</f>
        <v/>
      </c>
      <c r="Q595" s="5">
        <f>IF(ISBLANK($F595), "",VLOOKUP($F595,PLAYERS_IDS,2,FALSE)*VLOOKUP($G595,PLAYERS_IDS,2,FALSE))</f>
        <v/>
      </c>
      <c r="R595" s="5">
        <f>IFERROR((P595*100000)+Q595,"")</f>
        <v/>
      </c>
    </row>
    <row r="596" ht="20.25" customHeight="1" s="106">
      <c r="A596" s="14" t="n"/>
      <c r="B596" s="15" t="n">
        <v>592</v>
      </c>
      <c r="C596" s="15" t="n"/>
      <c r="D596" s="15" t="n"/>
      <c r="E596" s="16" t="n"/>
      <c r="F596" s="15" t="n"/>
      <c r="G596" s="15" t="n"/>
      <c r="H596" s="16" t="n"/>
      <c r="I596" s="15">
        <f>IF(ISBLANK($E596)," ",IF($E596&gt;$H596,$C596,$F596))</f>
        <v/>
      </c>
      <c r="J596" s="15">
        <f>IF(ISBLANK($E596)," ",IF($E596&gt;$H596,$D596,$G596))</f>
        <v/>
      </c>
      <c r="K596" s="15" t="n"/>
      <c r="L596" s="15">
        <f>E596-H596</f>
        <v/>
      </c>
      <c r="M596" s="5">
        <f>IF(ISBLANK($E596),"",VLOOKUP($I596,PLAYERS_IDS,2,FALSE)*VLOOKUP($J596,PLAYERS_IDS,2,FALSE))</f>
        <v/>
      </c>
      <c r="N596" s="25">
        <f>IF(ISBLANK($E596)," ", COUNTIF($M$4:$M596,$M596))</f>
        <v/>
      </c>
      <c r="O596" s="25">
        <f>IF(N596 =" ", " ", IF(N596=1,15,(IF(N596=2,15,(IF(N596=3,15,15))))))</f>
        <v/>
      </c>
      <c r="P596" s="5">
        <f>IF(ISBLANK($F596),"",VLOOKUP($C596,PLAYERS_IDS,2,FALSE)*VLOOKUP($D596,PLAYERS_IDS,2,FALSE))</f>
        <v/>
      </c>
      <c r="Q596" s="5">
        <f>IF(ISBLANK($F596), "",VLOOKUP($F596,PLAYERS_IDS,2,FALSE)*VLOOKUP($G596,PLAYERS_IDS,2,FALSE))</f>
        <v/>
      </c>
      <c r="R596" s="5">
        <f>IFERROR((P596*100000)+Q596,"")</f>
        <v/>
      </c>
    </row>
    <row r="597" ht="20.25" customHeight="1" s="106">
      <c r="A597" s="14" t="n"/>
      <c r="B597" s="15" t="n">
        <v>593</v>
      </c>
      <c r="C597" s="15" t="n"/>
      <c r="D597" s="15" t="n"/>
      <c r="E597" s="16" t="n"/>
      <c r="F597" s="15" t="n"/>
      <c r="G597" s="15" t="n"/>
      <c r="H597" s="16" t="n"/>
      <c r="I597" s="15">
        <f>IF(ISBLANK($E597)," ",IF($E597&gt;$H597,$C597,$F597))</f>
        <v/>
      </c>
      <c r="J597" s="15">
        <f>IF(ISBLANK($E597)," ",IF($E597&gt;$H597,$D597,$G597))</f>
        <v/>
      </c>
      <c r="K597" s="15" t="n"/>
      <c r="L597" s="15">
        <f>E597-H597</f>
        <v/>
      </c>
      <c r="M597" s="5">
        <f>IF(ISBLANK($E597),"",VLOOKUP($I597,PLAYERS_IDS,2,FALSE)*VLOOKUP($J597,PLAYERS_IDS,2,FALSE))</f>
        <v/>
      </c>
      <c r="N597" s="25">
        <f>IF(ISBLANK($E597)," ", COUNTIF($M$4:$M597,$M597))</f>
        <v/>
      </c>
      <c r="O597" s="25">
        <f>IF(N597 =" ", " ", IF(N597=1,15,(IF(N597=2,15,(IF(N597=3,15,15))))))</f>
        <v/>
      </c>
      <c r="P597" s="5">
        <f>IF(ISBLANK($F597),"",VLOOKUP($C597,PLAYERS_IDS,2,FALSE)*VLOOKUP($D597,PLAYERS_IDS,2,FALSE))</f>
        <v/>
      </c>
      <c r="Q597" s="5">
        <f>IF(ISBLANK($F597), "",VLOOKUP($F597,PLAYERS_IDS,2,FALSE)*VLOOKUP($G597,PLAYERS_IDS,2,FALSE))</f>
        <v/>
      </c>
      <c r="R597" s="5">
        <f>IFERROR((P597*100000)+Q597,"")</f>
        <v/>
      </c>
    </row>
    <row r="598" ht="20.25" customHeight="1" s="106">
      <c r="A598" s="14" t="n"/>
      <c r="B598" s="15" t="n">
        <v>594</v>
      </c>
      <c r="C598" s="15" t="n"/>
      <c r="D598" s="15" t="n"/>
      <c r="E598" s="16" t="n"/>
      <c r="F598" s="15" t="n"/>
      <c r="G598" s="15" t="n"/>
      <c r="H598" s="16" t="n"/>
      <c r="I598" s="15">
        <f>IF(ISBLANK($E598)," ",IF($E598&gt;$H598,$C598,$F598))</f>
        <v/>
      </c>
      <c r="J598" s="15">
        <f>IF(ISBLANK($E598)," ",IF($E598&gt;$H598,$D598,$G598))</f>
        <v/>
      </c>
      <c r="K598" s="15" t="n"/>
      <c r="L598" s="15">
        <f>E598-H598</f>
        <v/>
      </c>
      <c r="M598" s="5">
        <f>IF(ISBLANK($E598),"",VLOOKUP($I598,PLAYERS_IDS,2,FALSE)*VLOOKUP($J598,PLAYERS_IDS,2,FALSE))</f>
        <v/>
      </c>
      <c r="N598" s="25">
        <f>IF(ISBLANK($E598)," ", COUNTIF($M$4:$M598,$M598))</f>
        <v/>
      </c>
      <c r="O598" s="25">
        <f>IF(N598 =" ", " ", IF(N598=1,15,(IF(N598=2,15,(IF(N598=3,15,15))))))</f>
        <v/>
      </c>
      <c r="P598" s="5">
        <f>IF(ISBLANK($F598),"",VLOOKUP($C598,PLAYERS_IDS,2,FALSE)*VLOOKUP($D598,PLAYERS_IDS,2,FALSE))</f>
        <v/>
      </c>
      <c r="Q598" s="5">
        <f>IF(ISBLANK($F598), "",VLOOKUP($F598,PLAYERS_IDS,2,FALSE)*VLOOKUP($G598,PLAYERS_IDS,2,FALSE))</f>
        <v/>
      </c>
      <c r="R598" s="5">
        <f>IFERROR((P598*100000)+Q598,"")</f>
        <v/>
      </c>
    </row>
    <row r="599" ht="20.25" customHeight="1" s="106">
      <c r="A599" s="14" t="n"/>
      <c r="B599" s="15" t="n">
        <v>595</v>
      </c>
      <c r="C599" s="15" t="n"/>
      <c r="D599" s="15" t="n"/>
      <c r="E599" s="16" t="n"/>
      <c r="F599" s="15" t="n"/>
      <c r="G599" s="15" t="n"/>
      <c r="H599" s="16" t="n"/>
      <c r="I599" s="15">
        <f>IF(ISBLANK($E599)," ",IF($E599&gt;$H599,$C599,$F599))</f>
        <v/>
      </c>
      <c r="J599" s="15">
        <f>IF(ISBLANK($E599)," ",IF($E599&gt;$H599,$D599,$G599))</f>
        <v/>
      </c>
      <c r="K599" s="15" t="n"/>
      <c r="L599" s="15">
        <f>E599-H599</f>
        <v/>
      </c>
      <c r="M599" s="5">
        <f>IF(ISBLANK($E599),"",VLOOKUP($I599,PLAYERS_IDS,2,FALSE)*VLOOKUP($J599,PLAYERS_IDS,2,FALSE))</f>
        <v/>
      </c>
      <c r="N599" s="25">
        <f>IF(ISBLANK($E599)," ", COUNTIF($M$4:$M599,$M599))</f>
        <v/>
      </c>
      <c r="O599" s="25">
        <f>IF(N599 =" ", " ", IF(N599=1,15,(IF(N599=2,15,(IF(N599=3,15,15))))))</f>
        <v/>
      </c>
      <c r="P599" s="5">
        <f>IF(ISBLANK($F599),"",VLOOKUP($C599,PLAYERS_IDS,2,FALSE)*VLOOKUP($D599,PLAYERS_IDS,2,FALSE))</f>
        <v/>
      </c>
      <c r="Q599" s="5">
        <f>IF(ISBLANK($F599), "",VLOOKUP($F599,PLAYERS_IDS,2,FALSE)*VLOOKUP($G599,PLAYERS_IDS,2,FALSE))</f>
        <v/>
      </c>
      <c r="R599" s="5">
        <f>IFERROR((P599*100000)+Q599,"")</f>
        <v/>
      </c>
    </row>
    <row r="600" ht="20.25" customHeight="1" s="106">
      <c r="A600" s="14" t="n"/>
      <c r="B600" s="15" t="n">
        <v>596</v>
      </c>
      <c r="C600" s="15" t="n"/>
      <c r="D600" s="15" t="n"/>
      <c r="E600" s="16" t="n"/>
      <c r="F600" s="15" t="n"/>
      <c r="G600" s="15" t="n"/>
      <c r="H600" s="16" t="n"/>
      <c r="I600" s="15">
        <f>IF(ISBLANK($E600)," ",IF($E600&gt;$H600,$C600,$F600))</f>
        <v/>
      </c>
      <c r="J600" s="15">
        <f>IF(ISBLANK($E600)," ",IF($E600&gt;$H600,$D600,$G600))</f>
        <v/>
      </c>
      <c r="K600" s="15" t="n"/>
      <c r="L600" s="15">
        <f>E600-H600</f>
        <v/>
      </c>
      <c r="M600" s="5">
        <f>IF(ISBLANK($E600),"",VLOOKUP($I600,PLAYERS_IDS,2,FALSE)*VLOOKUP($J600,PLAYERS_IDS,2,FALSE))</f>
        <v/>
      </c>
      <c r="N600" s="25">
        <f>IF(ISBLANK($E600)," ", COUNTIF($M$4:$M600,$M600))</f>
        <v/>
      </c>
      <c r="O600" s="25">
        <f>IF(N600 =" ", " ", IF(N600=1,15,(IF(N600=2,15,(IF(N600=3,15,15))))))</f>
        <v/>
      </c>
      <c r="P600" s="5">
        <f>IF(ISBLANK($F600),"",VLOOKUP($C600,PLAYERS_IDS,2,FALSE)*VLOOKUP($D600,PLAYERS_IDS,2,FALSE))</f>
        <v/>
      </c>
      <c r="Q600" s="5">
        <f>IF(ISBLANK($F600), "",VLOOKUP($F600,PLAYERS_IDS,2,FALSE)*VLOOKUP($G600,PLAYERS_IDS,2,FALSE))</f>
        <v/>
      </c>
      <c r="R600" s="5">
        <f>IFERROR((P600*100000)+Q600,"")</f>
        <v/>
      </c>
    </row>
    <row r="601" ht="20.25" customHeight="1" s="106">
      <c r="A601" s="14" t="n"/>
      <c r="B601" s="15" t="n">
        <v>597</v>
      </c>
      <c r="C601" s="15" t="n"/>
      <c r="D601" s="15" t="n"/>
      <c r="E601" s="16" t="n"/>
      <c r="F601" s="15" t="n"/>
      <c r="G601" s="15" t="n"/>
      <c r="H601" s="16" t="n"/>
      <c r="I601" s="15">
        <f>IF(ISBLANK($E601)," ",IF($E601&gt;$H601,$C601,$F601))</f>
        <v/>
      </c>
      <c r="J601" s="15">
        <f>IF(ISBLANK($E601)," ",IF($E601&gt;$H601,$D601,$G601))</f>
        <v/>
      </c>
      <c r="K601" s="15" t="n"/>
      <c r="L601" s="15">
        <f>E601-H601</f>
        <v/>
      </c>
      <c r="M601" s="5">
        <f>IF(ISBLANK($E601),"",VLOOKUP($I601,PLAYERS_IDS,2,FALSE)*VLOOKUP($J601,PLAYERS_IDS,2,FALSE))</f>
        <v/>
      </c>
      <c r="N601" s="25">
        <f>IF(ISBLANK($E601)," ", COUNTIF($M$4:$M601,$M601))</f>
        <v/>
      </c>
      <c r="O601" s="25">
        <f>IF(N601 =" ", " ", IF(N601=1,15,(IF(N601=2,15,(IF(N601=3,15,15))))))</f>
        <v/>
      </c>
      <c r="P601" s="5">
        <f>IF(ISBLANK($F601),"",VLOOKUP($C601,PLAYERS_IDS,2,FALSE)*VLOOKUP($D601,PLAYERS_IDS,2,FALSE))</f>
        <v/>
      </c>
      <c r="Q601" s="5">
        <f>IF(ISBLANK($F601), "",VLOOKUP($F601,PLAYERS_IDS,2,FALSE)*VLOOKUP($G601,PLAYERS_IDS,2,FALSE))</f>
        <v/>
      </c>
      <c r="R601" s="5">
        <f>IFERROR((P601*100000)+Q601,"")</f>
        <v/>
      </c>
    </row>
    <row r="602" ht="20.25" customHeight="1" s="106">
      <c r="A602" s="14" t="n"/>
      <c r="B602" s="15" t="n">
        <v>598</v>
      </c>
      <c r="C602" s="15" t="n"/>
      <c r="D602" s="15" t="n"/>
      <c r="E602" s="16" t="n"/>
      <c r="F602" s="15" t="n"/>
      <c r="G602" s="15" t="n"/>
      <c r="H602" s="16" t="n"/>
      <c r="I602" s="15">
        <f>IF(ISBLANK($E602)," ",IF($E602&gt;$H602,$C602,$F602))</f>
        <v/>
      </c>
      <c r="J602" s="15">
        <f>IF(ISBLANK($E602)," ",IF($E602&gt;$H602,$D602,$G602))</f>
        <v/>
      </c>
      <c r="K602" s="15" t="n"/>
      <c r="L602" s="15">
        <f>E602-H602</f>
        <v/>
      </c>
      <c r="M602" s="5">
        <f>IF(ISBLANK($E602),"",VLOOKUP($I602,PLAYERS_IDS,2,FALSE)*VLOOKUP($J602,PLAYERS_IDS,2,FALSE))</f>
        <v/>
      </c>
      <c r="N602" s="25">
        <f>IF(ISBLANK($E602)," ", COUNTIF($M$4:$M602,$M602))</f>
        <v/>
      </c>
      <c r="O602" s="25">
        <f>IF(N602 =" ", " ", IF(N602=1,15,(IF(N602=2,15,(IF(N602=3,15,15))))))</f>
        <v/>
      </c>
      <c r="P602" s="5">
        <f>IF(ISBLANK($F602),"",VLOOKUP($C602,PLAYERS_IDS,2,FALSE)*VLOOKUP($D602,PLAYERS_IDS,2,FALSE))</f>
        <v/>
      </c>
      <c r="Q602" s="5">
        <f>IF(ISBLANK($F602), "",VLOOKUP($F602,PLAYERS_IDS,2,FALSE)*VLOOKUP($G602,PLAYERS_IDS,2,FALSE))</f>
        <v/>
      </c>
      <c r="R602" s="5">
        <f>IFERROR((P602*100000)+Q602,"")</f>
        <v/>
      </c>
    </row>
    <row r="603" ht="20.25" customHeight="1" s="106">
      <c r="A603" s="14" t="n"/>
      <c r="B603" s="15" t="n">
        <v>599</v>
      </c>
      <c r="C603" s="15" t="n"/>
      <c r="D603" s="15" t="n"/>
      <c r="E603" s="16" t="n"/>
      <c r="F603" s="15" t="n"/>
      <c r="G603" s="15" t="n"/>
      <c r="H603" s="16" t="n"/>
      <c r="I603" s="15">
        <f>IF(ISBLANK($E603)," ",IF($E603&gt;$H603,$C603,$F603))</f>
        <v/>
      </c>
      <c r="J603" s="15">
        <f>IF(ISBLANK($E603)," ",IF($E603&gt;$H603,$D603,$G603))</f>
        <v/>
      </c>
      <c r="K603" s="15" t="n"/>
      <c r="L603" s="15">
        <f>E603-H603</f>
        <v/>
      </c>
      <c r="M603" s="5">
        <f>IF(ISBLANK($E603),"",VLOOKUP($I603,PLAYERS_IDS,2,FALSE)*VLOOKUP($J603,PLAYERS_IDS,2,FALSE))</f>
        <v/>
      </c>
      <c r="N603" s="25">
        <f>IF(ISBLANK($E603)," ", COUNTIF($M$4:$M603,$M603))</f>
        <v/>
      </c>
      <c r="O603" s="25">
        <f>IF(N603 =" ", " ", IF(N603=1,15,(IF(N603=2,15,(IF(N603=3,15,15))))))</f>
        <v/>
      </c>
      <c r="P603" s="5">
        <f>IF(ISBLANK($F603),"",VLOOKUP($C603,PLAYERS_IDS,2,FALSE)*VLOOKUP($D603,PLAYERS_IDS,2,FALSE))</f>
        <v/>
      </c>
      <c r="Q603" s="5">
        <f>IF(ISBLANK($F603), "",VLOOKUP($F603,PLAYERS_IDS,2,FALSE)*VLOOKUP($G603,PLAYERS_IDS,2,FALSE))</f>
        <v/>
      </c>
      <c r="R603" s="5">
        <f>IFERROR((P603*100000)+Q603,"")</f>
        <v/>
      </c>
    </row>
    <row r="604" ht="20.25" customHeight="1" s="106">
      <c r="A604" s="14" t="n"/>
      <c r="B604" s="15" t="n">
        <v>600</v>
      </c>
      <c r="C604" s="15" t="n"/>
      <c r="D604" s="15" t="n"/>
      <c r="E604" s="16" t="n"/>
      <c r="F604" s="15" t="n"/>
      <c r="G604" s="15" t="n"/>
      <c r="H604" s="16" t="n"/>
      <c r="I604" s="15">
        <f>IF(ISBLANK($E604)," ",IF($E604&gt;$H604,$C604,$F604))</f>
        <v/>
      </c>
      <c r="J604" s="15">
        <f>IF(ISBLANK($E604)," ",IF($E604&gt;$H604,$D604,$G604))</f>
        <v/>
      </c>
      <c r="K604" s="15" t="n"/>
      <c r="L604" s="15">
        <f>E604-H604</f>
        <v/>
      </c>
      <c r="M604" s="5">
        <f>IF(ISBLANK($E604),"",VLOOKUP($I604,PLAYERS_IDS,2,FALSE)*VLOOKUP($J604,PLAYERS_IDS,2,FALSE))</f>
        <v/>
      </c>
      <c r="N604" s="25">
        <f>IF(ISBLANK($E604)," ", COUNTIF($M$4:$M604,$M604))</f>
        <v/>
      </c>
      <c r="O604" s="25">
        <f>IF(N604 =" ", " ", IF(N604=1,15,(IF(N604=2,15,(IF(N604=3,15,15))))))</f>
        <v/>
      </c>
      <c r="P604" s="5">
        <f>IF(ISBLANK($F604),"",VLOOKUP($C604,PLAYERS_IDS,2,FALSE)*VLOOKUP($D604,PLAYERS_IDS,2,FALSE))</f>
        <v/>
      </c>
      <c r="Q604" s="5">
        <f>IF(ISBLANK($F604), "",VLOOKUP($F604,PLAYERS_IDS,2,FALSE)*VLOOKUP($G604,PLAYERS_IDS,2,FALSE))</f>
        <v/>
      </c>
      <c r="R604" s="5">
        <f>IFERROR((P604*100000)+Q604,"")</f>
        <v/>
      </c>
    </row>
    <row r="605" ht="20.25" customHeight="1" s="106">
      <c r="A605" s="14" t="n"/>
      <c r="B605" s="15" t="n">
        <v>601</v>
      </c>
      <c r="C605" s="15" t="n"/>
      <c r="D605" s="15" t="n"/>
      <c r="E605" s="16" t="n"/>
      <c r="F605" s="15" t="n"/>
      <c r="G605" s="15" t="n"/>
      <c r="H605" s="16" t="n"/>
      <c r="I605" s="15">
        <f>IF(ISBLANK($E605)," ",IF($E605&gt;$H605,$C605,$F605))</f>
        <v/>
      </c>
      <c r="J605" s="15">
        <f>IF(ISBLANK($E605)," ",IF($E605&gt;$H605,$D605,$G605))</f>
        <v/>
      </c>
      <c r="K605" s="15" t="n"/>
      <c r="L605" s="15">
        <f>E605-H605</f>
        <v/>
      </c>
      <c r="M605" s="5">
        <f>IF(ISBLANK($E605),"",VLOOKUP($I605,PLAYERS_IDS,2,FALSE)*VLOOKUP($J605,PLAYERS_IDS,2,FALSE))</f>
        <v/>
      </c>
      <c r="N605" s="25">
        <f>IF(ISBLANK($E605)," ", COUNTIF($M$4:$M605,$M605))</f>
        <v/>
      </c>
      <c r="O605" s="25">
        <f>IF(N605 =" ", " ", IF(N605=1,15,(IF(N605=2,15,(IF(N605=3,15,15))))))</f>
        <v/>
      </c>
      <c r="P605" s="5">
        <f>IF(ISBLANK($F605),"",VLOOKUP($C605,PLAYERS_IDS,2,FALSE)*VLOOKUP($D605,PLAYERS_IDS,2,FALSE))</f>
        <v/>
      </c>
      <c r="Q605" s="5">
        <f>IF(ISBLANK($F605), "",VLOOKUP($F605,PLAYERS_IDS,2,FALSE)*VLOOKUP($G605,PLAYERS_IDS,2,FALSE))</f>
        <v/>
      </c>
      <c r="R605" s="5">
        <f>IFERROR((P605*100000)+Q605,"")</f>
        <v/>
      </c>
    </row>
    <row r="606" ht="20.25" customHeight="1" s="106">
      <c r="A606" s="14" t="n"/>
      <c r="B606" s="15" t="n">
        <v>602</v>
      </c>
      <c r="C606" s="15" t="n"/>
      <c r="D606" s="15" t="n"/>
      <c r="E606" s="16" t="n"/>
      <c r="F606" s="15" t="n"/>
      <c r="G606" s="15" t="n"/>
      <c r="H606" s="16" t="n"/>
      <c r="I606" s="15">
        <f>IF(ISBLANK($E606)," ",IF($E606&gt;$H606,$C606,$F606))</f>
        <v/>
      </c>
      <c r="J606" s="15">
        <f>IF(ISBLANK($E606)," ",IF($E606&gt;$H606,$D606,$G606))</f>
        <v/>
      </c>
      <c r="K606" s="15" t="n"/>
      <c r="L606" s="15">
        <f>E606-H606</f>
        <v/>
      </c>
      <c r="M606" s="5">
        <f>IF(ISBLANK($E606),"",VLOOKUP($I606,PLAYERS_IDS,2,FALSE)*VLOOKUP($J606,PLAYERS_IDS,2,FALSE))</f>
        <v/>
      </c>
      <c r="N606" s="25">
        <f>IF(ISBLANK($E606)," ", COUNTIF($M$4:$M606,$M606))</f>
        <v/>
      </c>
      <c r="O606" s="25">
        <f>IF(N606 =" ", " ", IF(N606=1,15,(IF(N606=2,15,(IF(N606=3,15,15))))))</f>
        <v/>
      </c>
      <c r="P606" s="5">
        <f>IF(ISBLANK($F606),"",VLOOKUP($C606,PLAYERS_IDS,2,FALSE)*VLOOKUP($D606,PLAYERS_IDS,2,FALSE))</f>
        <v/>
      </c>
      <c r="Q606" s="5">
        <f>IF(ISBLANK($F606), "",VLOOKUP($F606,PLAYERS_IDS,2,FALSE)*VLOOKUP($G606,PLAYERS_IDS,2,FALSE))</f>
        <v/>
      </c>
      <c r="R606" s="5">
        <f>IFERROR((P606*100000)+Q606,"")</f>
        <v/>
      </c>
    </row>
    <row r="607" ht="20.25" customHeight="1" s="106">
      <c r="A607" s="14" t="n"/>
      <c r="B607" s="15" t="n">
        <v>603</v>
      </c>
      <c r="C607" s="15" t="n"/>
      <c r="D607" s="15" t="n"/>
      <c r="E607" s="16" t="n"/>
      <c r="F607" s="15" t="n"/>
      <c r="G607" s="15" t="n"/>
      <c r="H607" s="16" t="n"/>
      <c r="I607" s="15">
        <f>IF(ISBLANK($E607)," ",IF($E607&gt;$H607,$C607,$F607))</f>
        <v/>
      </c>
      <c r="J607" s="15">
        <f>IF(ISBLANK($E607)," ",IF($E607&gt;$H607,$D607,$G607))</f>
        <v/>
      </c>
      <c r="K607" s="15" t="n"/>
      <c r="L607" s="15">
        <f>E607-H607</f>
        <v/>
      </c>
      <c r="M607" s="5">
        <f>IF(ISBLANK($E607),"",VLOOKUP($I607,PLAYERS_IDS,2,FALSE)*VLOOKUP($J607,PLAYERS_IDS,2,FALSE))</f>
        <v/>
      </c>
      <c r="N607" s="25">
        <f>IF(ISBLANK($E607)," ", COUNTIF($M$4:$M607,$M607))</f>
        <v/>
      </c>
      <c r="O607" s="25">
        <f>IF(N607 =" ", " ", IF(N607=1,15,(IF(N607=2,15,(IF(N607=3,15,15))))))</f>
        <v/>
      </c>
      <c r="P607" s="5">
        <f>IF(ISBLANK($F607),"",VLOOKUP($C607,PLAYERS_IDS,2,FALSE)*VLOOKUP($D607,PLAYERS_IDS,2,FALSE))</f>
        <v/>
      </c>
      <c r="Q607" s="5">
        <f>IF(ISBLANK($F607), "",VLOOKUP($F607,PLAYERS_IDS,2,FALSE)*VLOOKUP($G607,PLAYERS_IDS,2,FALSE))</f>
        <v/>
      </c>
      <c r="R607" s="5">
        <f>IFERROR((P607*100000)+Q607,"")</f>
        <v/>
      </c>
    </row>
    <row r="608" ht="20.25" customHeight="1" s="106">
      <c r="A608" s="14" t="n"/>
      <c r="B608" s="15" t="n">
        <v>604</v>
      </c>
      <c r="C608" s="15" t="n"/>
      <c r="D608" s="15" t="n"/>
      <c r="E608" s="16" t="n"/>
      <c r="F608" s="15" t="n"/>
      <c r="G608" s="15" t="n"/>
      <c r="H608" s="16" t="n"/>
      <c r="I608" s="15">
        <f>IF(ISBLANK($E608)," ",IF($E608&gt;$H608,$C608,$F608))</f>
        <v/>
      </c>
      <c r="J608" s="15">
        <f>IF(ISBLANK($E608)," ",IF($E608&gt;$H608,$D608,$G608))</f>
        <v/>
      </c>
      <c r="K608" s="15" t="n"/>
      <c r="L608" s="15">
        <f>E608-H608</f>
        <v/>
      </c>
      <c r="M608" s="5">
        <f>IF(ISBLANK($E608),"",VLOOKUP($I608,PLAYERS_IDS,2,FALSE)*VLOOKUP($J608,PLAYERS_IDS,2,FALSE))</f>
        <v/>
      </c>
      <c r="N608" s="25">
        <f>IF(ISBLANK($E608)," ", COUNTIF($M$4:$M608,$M608))</f>
        <v/>
      </c>
      <c r="O608" s="25">
        <f>IF(N608 =" ", " ", IF(N608=1,15,(IF(N608=2,15,(IF(N608=3,15,15))))))</f>
        <v/>
      </c>
      <c r="P608" s="5">
        <f>IF(ISBLANK($F608),"",VLOOKUP($C608,PLAYERS_IDS,2,FALSE)*VLOOKUP($D608,PLAYERS_IDS,2,FALSE))</f>
        <v/>
      </c>
      <c r="Q608" s="5">
        <f>IF(ISBLANK($F608), "",VLOOKUP($F608,PLAYERS_IDS,2,FALSE)*VLOOKUP($G608,PLAYERS_IDS,2,FALSE))</f>
        <v/>
      </c>
      <c r="R608" s="5">
        <f>IFERROR((P608*100000)+Q608,"")</f>
        <v/>
      </c>
    </row>
    <row r="609" ht="20.25" customHeight="1" s="106">
      <c r="A609" s="14" t="n"/>
      <c r="B609" s="15" t="n">
        <v>605</v>
      </c>
      <c r="C609" s="15" t="n"/>
      <c r="D609" s="15" t="n"/>
      <c r="E609" s="16" t="n"/>
      <c r="F609" s="15" t="n"/>
      <c r="G609" s="15" t="n"/>
      <c r="H609" s="16" t="n"/>
      <c r="I609" s="15">
        <f>IF(ISBLANK($E609)," ",IF($E609&gt;$H609,$C609,$F609))</f>
        <v/>
      </c>
      <c r="J609" s="15">
        <f>IF(ISBLANK($E609)," ",IF($E609&gt;$H609,$D609,$G609))</f>
        <v/>
      </c>
      <c r="K609" s="15" t="n"/>
      <c r="L609" s="15">
        <f>E609-H609</f>
        <v/>
      </c>
      <c r="M609" s="5">
        <f>IF(ISBLANK($E609),"",VLOOKUP($I609,PLAYERS_IDS,2,FALSE)*VLOOKUP($J609,PLAYERS_IDS,2,FALSE))</f>
        <v/>
      </c>
      <c r="N609" s="25">
        <f>IF(ISBLANK($E609)," ", COUNTIF($M$4:$M609,$M609))</f>
        <v/>
      </c>
      <c r="O609" s="25">
        <f>IF(N609 =" ", " ", IF(N609=1,15,(IF(N609=2,15,(IF(N609=3,15,15))))))</f>
        <v/>
      </c>
      <c r="P609" s="5">
        <f>IF(ISBLANK($F609),"",VLOOKUP($C609,PLAYERS_IDS,2,FALSE)*VLOOKUP($D609,PLAYERS_IDS,2,FALSE))</f>
        <v/>
      </c>
      <c r="Q609" s="5">
        <f>IF(ISBLANK($F609), "",VLOOKUP($F609,PLAYERS_IDS,2,FALSE)*VLOOKUP($G609,PLAYERS_IDS,2,FALSE))</f>
        <v/>
      </c>
      <c r="R609" s="5">
        <f>IFERROR((P609*100000)+Q609,"")</f>
        <v/>
      </c>
    </row>
    <row r="610" ht="20.25" customHeight="1" s="106">
      <c r="A610" s="14" t="n"/>
      <c r="B610" s="15" t="n">
        <v>606</v>
      </c>
      <c r="C610" s="15" t="n"/>
      <c r="D610" s="15" t="n"/>
      <c r="E610" s="16" t="n"/>
      <c r="F610" s="15" t="n"/>
      <c r="G610" s="15" t="n"/>
      <c r="H610" s="16" t="n"/>
      <c r="I610" s="15">
        <f>IF(ISBLANK($E610)," ",IF($E610&gt;$H610,$C610,$F610))</f>
        <v/>
      </c>
      <c r="J610" s="15">
        <f>IF(ISBLANK($E610)," ",IF($E610&gt;$H610,$D610,$G610))</f>
        <v/>
      </c>
      <c r="K610" s="15" t="n"/>
      <c r="L610" s="15">
        <f>E610-H610</f>
        <v/>
      </c>
      <c r="M610" s="5">
        <f>IF(ISBLANK($E610),"",VLOOKUP($I610,PLAYERS_IDS,2,FALSE)*VLOOKUP($J610,PLAYERS_IDS,2,FALSE))</f>
        <v/>
      </c>
      <c r="N610" s="25">
        <f>IF(ISBLANK($E610)," ", COUNTIF($M$4:$M610,$M610))</f>
        <v/>
      </c>
      <c r="O610" s="25">
        <f>IF(N610 =" ", " ", IF(N610=1,15,(IF(N610=2,15,(IF(N610=3,15,15))))))</f>
        <v/>
      </c>
      <c r="P610" s="5">
        <f>IF(ISBLANK($F610),"",VLOOKUP($C610,PLAYERS_IDS,2,FALSE)*VLOOKUP($D610,PLAYERS_IDS,2,FALSE))</f>
        <v/>
      </c>
      <c r="Q610" s="5">
        <f>IF(ISBLANK($F610), "",VLOOKUP($F610,PLAYERS_IDS,2,FALSE)*VLOOKUP($G610,PLAYERS_IDS,2,FALSE))</f>
        <v/>
      </c>
      <c r="R610" s="5">
        <f>IFERROR((P610*100000)+Q610,"")</f>
        <v/>
      </c>
    </row>
    <row r="611" ht="20.25" customHeight="1" s="106">
      <c r="A611" s="14" t="n"/>
      <c r="B611" s="15" t="n">
        <v>607</v>
      </c>
      <c r="C611" s="15" t="n"/>
      <c r="D611" s="15" t="n"/>
      <c r="E611" s="16" t="n"/>
      <c r="F611" s="15" t="n"/>
      <c r="G611" s="15" t="n"/>
      <c r="H611" s="16" t="n"/>
      <c r="I611" s="15">
        <f>IF(ISBLANK($E611)," ",IF($E611&gt;$H611,$C611,$F611))</f>
        <v/>
      </c>
      <c r="J611" s="15">
        <f>IF(ISBLANK($E611)," ",IF($E611&gt;$H611,$D611,$G611))</f>
        <v/>
      </c>
      <c r="K611" s="15" t="n"/>
      <c r="L611" s="15">
        <f>E611-H611</f>
        <v/>
      </c>
      <c r="M611" s="5">
        <f>IF(ISBLANK($E611),"",VLOOKUP($I611,PLAYERS_IDS,2,FALSE)*VLOOKUP($J611,PLAYERS_IDS,2,FALSE))</f>
        <v/>
      </c>
      <c r="N611" s="25">
        <f>IF(ISBLANK($E611)," ", COUNTIF($M$4:$M611,$M611))</f>
        <v/>
      </c>
      <c r="O611" s="25">
        <f>IF(N611 =" ", " ", IF(N611=1,15,(IF(N611=2,15,(IF(N611=3,15,15))))))</f>
        <v/>
      </c>
      <c r="P611" s="5">
        <f>IF(ISBLANK($F611),"",VLOOKUP($C611,PLAYERS_IDS,2,FALSE)*VLOOKUP($D611,PLAYERS_IDS,2,FALSE))</f>
        <v/>
      </c>
      <c r="Q611" s="5">
        <f>IF(ISBLANK($F611), "",VLOOKUP($F611,PLAYERS_IDS,2,FALSE)*VLOOKUP($G611,PLAYERS_IDS,2,FALSE))</f>
        <v/>
      </c>
      <c r="R611" s="5">
        <f>IFERROR((P611*100000)+Q611,"")</f>
        <v/>
      </c>
    </row>
    <row r="612" ht="20.25" customHeight="1" s="106">
      <c r="A612" s="14" t="n"/>
      <c r="B612" s="15" t="n">
        <v>608</v>
      </c>
      <c r="C612" s="15" t="n"/>
      <c r="D612" s="15" t="n"/>
      <c r="E612" s="16" t="n"/>
      <c r="F612" s="15" t="n"/>
      <c r="G612" s="15" t="n"/>
      <c r="H612" s="16" t="n"/>
      <c r="I612" s="15">
        <f>IF(ISBLANK($E612)," ",IF($E612&gt;$H612,$C612,$F612))</f>
        <v/>
      </c>
      <c r="J612" s="15">
        <f>IF(ISBLANK($E612)," ",IF($E612&gt;$H612,$D612,$G612))</f>
        <v/>
      </c>
      <c r="K612" s="15" t="n"/>
      <c r="L612" s="15">
        <f>E612-H612</f>
        <v/>
      </c>
      <c r="M612" s="5">
        <f>IF(ISBLANK($E612),"",VLOOKUP($I612,PLAYERS_IDS,2,FALSE)*VLOOKUP($J612,PLAYERS_IDS,2,FALSE))</f>
        <v/>
      </c>
      <c r="N612" s="25">
        <f>IF(ISBLANK($E612)," ", COUNTIF($M$4:$M612,$M612))</f>
        <v/>
      </c>
      <c r="O612" s="25">
        <f>IF(N612 =" ", " ", IF(N612=1,15,(IF(N612=2,15,(IF(N612=3,15,15))))))</f>
        <v/>
      </c>
      <c r="P612" s="5">
        <f>IF(ISBLANK($F612),"",VLOOKUP($C612,PLAYERS_IDS,2,FALSE)*VLOOKUP($D612,PLAYERS_IDS,2,FALSE))</f>
        <v/>
      </c>
      <c r="Q612" s="5">
        <f>IF(ISBLANK($F612), "",VLOOKUP($F612,PLAYERS_IDS,2,FALSE)*VLOOKUP($G612,PLAYERS_IDS,2,FALSE))</f>
        <v/>
      </c>
      <c r="R612" s="5">
        <f>IFERROR((P612*100000)+Q612,"")</f>
        <v/>
      </c>
    </row>
    <row r="613" ht="20.25" customHeight="1" s="106">
      <c r="A613" s="14" t="n"/>
      <c r="B613" s="15" t="n">
        <v>609</v>
      </c>
      <c r="C613" s="15" t="n"/>
      <c r="D613" s="15" t="n"/>
      <c r="E613" s="16" t="n"/>
      <c r="F613" s="15" t="n"/>
      <c r="G613" s="15" t="n"/>
      <c r="H613" s="16" t="n"/>
      <c r="I613" s="15">
        <f>IF(ISBLANK($E613)," ",IF($E613&gt;$H613,$C613,$F613))</f>
        <v/>
      </c>
      <c r="J613" s="15">
        <f>IF(ISBLANK($E613)," ",IF($E613&gt;$H613,$D613,$G613))</f>
        <v/>
      </c>
      <c r="K613" s="15" t="n"/>
      <c r="L613" s="15">
        <f>E613-H613</f>
        <v/>
      </c>
      <c r="M613" s="5">
        <f>IF(ISBLANK($E613),"",VLOOKUP($I613,PLAYERS_IDS,2,FALSE)*VLOOKUP($J613,PLAYERS_IDS,2,FALSE))</f>
        <v/>
      </c>
      <c r="N613" s="25">
        <f>IF(ISBLANK($E613)," ", COUNTIF($M$4:$M613,$M613))</f>
        <v/>
      </c>
      <c r="O613" s="25">
        <f>IF(N613 =" ", " ", IF(N613=1,15,(IF(N613=2,15,(IF(N613=3,15,15))))))</f>
        <v/>
      </c>
      <c r="P613" s="5">
        <f>IF(ISBLANK($F613),"",VLOOKUP($C613,PLAYERS_IDS,2,FALSE)*VLOOKUP($D613,PLAYERS_IDS,2,FALSE))</f>
        <v/>
      </c>
      <c r="Q613" s="5">
        <f>IF(ISBLANK($F613), "",VLOOKUP($F613,PLAYERS_IDS,2,FALSE)*VLOOKUP($G613,PLAYERS_IDS,2,FALSE))</f>
        <v/>
      </c>
      <c r="R613" s="5">
        <f>IFERROR((P613*100000)+Q613,"")</f>
        <v/>
      </c>
    </row>
    <row r="614" ht="20.25" customHeight="1" s="106">
      <c r="A614" s="14" t="n"/>
      <c r="B614" s="15" t="n">
        <v>610</v>
      </c>
      <c r="C614" s="15" t="n"/>
      <c r="D614" s="15" t="n"/>
      <c r="E614" s="16" t="n"/>
      <c r="F614" s="15" t="n"/>
      <c r="G614" s="15" t="n"/>
      <c r="H614" s="16" t="n"/>
      <c r="I614" s="15">
        <f>IF(ISBLANK($E614)," ",IF($E614&gt;$H614,$C614,$F614))</f>
        <v/>
      </c>
      <c r="J614" s="15">
        <f>IF(ISBLANK($E614)," ",IF($E614&gt;$H614,$D614,$G614))</f>
        <v/>
      </c>
      <c r="K614" s="15" t="n"/>
      <c r="L614" s="15">
        <f>E614-H614</f>
        <v/>
      </c>
      <c r="M614" s="5">
        <f>IF(ISBLANK($E614),"",VLOOKUP($I614,PLAYERS_IDS,2,FALSE)*VLOOKUP($J614,PLAYERS_IDS,2,FALSE))</f>
        <v/>
      </c>
      <c r="N614" s="25">
        <f>IF(ISBLANK($E614)," ", COUNTIF($M$4:$M614,$M614))</f>
        <v/>
      </c>
      <c r="O614" s="25">
        <f>IF(N614 =" ", " ", IF(N614=1,15,(IF(N614=2,15,(IF(N614=3,15,15))))))</f>
        <v/>
      </c>
      <c r="P614" s="5">
        <f>IF(ISBLANK($F614),"",VLOOKUP($C614,PLAYERS_IDS,2,FALSE)*VLOOKUP($D614,PLAYERS_IDS,2,FALSE))</f>
        <v/>
      </c>
      <c r="Q614" s="5">
        <f>IF(ISBLANK($F614), "",VLOOKUP($F614,PLAYERS_IDS,2,FALSE)*VLOOKUP($G614,PLAYERS_IDS,2,FALSE))</f>
        <v/>
      </c>
      <c r="R614" s="5">
        <f>IFERROR((P614*100000)+Q614,"")</f>
        <v/>
      </c>
    </row>
    <row r="615" ht="20.25" customHeight="1" s="106">
      <c r="A615" s="14" t="n"/>
      <c r="B615" s="15" t="n">
        <v>611</v>
      </c>
      <c r="C615" s="15" t="n"/>
      <c r="D615" s="15" t="n"/>
      <c r="E615" s="16" t="n"/>
      <c r="F615" s="15" t="n"/>
      <c r="G615" s="15" t="n"/>
      <c r="H615" s="16" t="n"/>
      <c r="I615" s="15">
        <f>IF(ISBLANK($E615)," ",IF($E615&gt;$H615,$C615,$F615))</f>
        <v/>
      </c>
      <c r="J615" s="15">
        <f>IF(ISBLANK($E615)," ",IF($E615&gt;$H615,$D615,$G615))</f>
        <v/>
      </c>
      <c r="K615" s="15" t="n"/>
      <c r="L615" s="15">
        <f>E615-H615</f>
        <v/>
      </c>
      <c r="M615" s="5">
        <f>IF(ISBLANK($E615),"",VLOOKUP($I615,PLAYERS_IDS,2,FALSE)*VLOOKUP($J615,PLAYERS_IDS,2,FALSE))</f>
        <v/>
      </c>
      <c r="N615" s="25">
        <f>IF(ISBLANK($E615)," ", COUNTIF($M$4:$M615,$M615))</f>
        <v/>
      </c>
      <c r="O615" s="25">
        <f>IF(N615 =" ", " ", IF(N615=1,15,(IF(N615=2,15,(IF(N615=3,15,15))))))</f>
        <v/>
      </c>
      <c r="P615" s="5">
        <f>IF(ISBLANK($F615),"",VLOOKUP($C615,PLAYERS_IDS,2,FALSE)*VLOOKUP($D615,PLAYERS_IDS,2,FALSE))</f>
        <v/>
      </c>
      <c r="Q615" s="5">
        <f>IF(ISBLANK($F615), "",VLOOKUP($F615,PLAYERS_IDS,2,FALSE)*VLOOKUP($G615,PLAYERS_IDS,2,FALSE))</f>
        <v/>
      </c>
      <c r="R615" s="5">
        <f>IFERROR((P615*100000)+Q615,"")</f>
        <v/>
      </c>
    </row>
    <row r="616" ht="20.25" customHeight="1" s="106">
      <c r="A616" s="14" t="n"/>
      <c r="B616" s="15" t="n">
        <v>612</v>
      </c>
      <c r="C616" s="15" t="n"/>
      <c r="D616" s="15" t="n"/>
      <c r="E616" s="16" t="n"/>
      <c r="F616" s="15" t="n"/>
      <c r="G616" s="15" t="n"/>
      <c r="H616" s="16" t="n"/>
      <c r="I616" s="15">
        <f>IF(ISBLANK($E616)," ",IF($E616&gt;$H616,$C616,$F616))</f>
        <v/>
      </c>
      <c r="J616" s="15">
        <f>IF(ISBLANK($E616)," ",IF($E616&gt;$H616,$D616,$G616))</f>
        <v/>
      </c>
      <c r="K616" s="15" t="n"/>
      <c r="L616" s="15">
        <f>E616-H616</f>
        <v/>
      </c>
      <c r="M616" s="5">
        <f>IF(ISBLANK($E616),"",VLOOKUP($I616,PLAYERS_IDS,2,FALSE)*VLOOKUP($J616,PLAYERS_IDS,2,FALSE))</f>
        <v/>
      </c>
      <c r="N616" s="25">
        <f>IF(ISBLANK($E616)," ", COUNTIF($M$4:$M616,$M616))</f>
        <v/>
      </c>
      <c r="O616" s="25">
        <f>IF(N616 =" ", " ", IF(N616=1,15,(IF(N616=2,15,(IF(N616=3,15,15))))))</f>
        <v/>
      </c>
      <c r="P616" s="5">
        <f>IF(ISBLANK($F616),"",VLOOKUP($C616,PLAYERS_IDS,2,FALSE)*VLOOKUP($D616,PLAYERS_IDS,2,FALSE))</f>
        <v/>
      </c>
      <c r="Q616" s="5">
        <f>IF(ISBLANK($F616), "",VLOOKUP($F616,PLAYERS_IDS,2,FALSE)*VLOOKUP($G616,PLAYERS_IDS,2,FALSE))</f>
        <v/>
      </c>
      <c r="R616" s="5">
        <f>IFERROR((P616*100000)+Q616,"")</f>
        <v/>
      </c>
    </row>
    <row r="617" ht="20.25" customHeight="1" s="106">
      <c r="A617" s="14" t="n"/>
      <c r="B617" s="15" t="n">
        <v>613</v>
      </c>
      <c r="C617" s="15" t="n"/>
      <c r="D617" s="15" t="n"/>
      <c r="E617" s="16" t="n"/>
      <c r="F617" s="15" t="n"/>
      <c r="G617" s="15" t="n"/>
      <c r="H617" s="16" t="n"/>
      <c r="I617" s="15">
        <f>IF(ISBLANK($E617)," ",IF($E617&gt;$H617,$C617,$F617))</f>
        <v/>
      </c>
      <c r="J617" s="15">
        <f>IF(ISBLANK($E617)," ",IF($E617&gt;$H617,$D617,$G617))</f>
        <v/>
      </c>
      <c r="K617" s="15" t="n"/>
      <c r="L617" s="15">
        <f>E617-H617</f>
        <v/>
      </c>
      <c r="M617" s="5">
        <f>IF(ISBLANK($E617),"",VLOOKUP($I617,PLAYERS_IDS,2,FALSE)*VLOOKUP($J617,PLAYERS_IDS,2,FALSE))</f>
        <v/>
      </c>
      <c r="N617" s="25">
        <f>IF(ISBLANK($E617)," ", COUNTIF($M$4:$M617,$M617))</f>
        <v/>
      </c>
      <c r="O617" s="25">
        <f>IF(N617 =" ", " ", IF(N617=1,15,(IF(N617=2,15,(IF(N617=3,15,15))))))</f>
        <v/>
      </c>
      <c r="P617" s="5">
        <f>IF(ISBLANK($F617),"",VLOOKUP($C617,PLAYERS_IDS,2,FALSE)*VLOOKUP($D617,PLAYERS_IDS,2,FALSE))</f>
        <v/>
      </c>
      <c r="Q617" s="5">
        <f>IF(ISBLANK($F617), "",VLOOKUP($F617,PLAYERS_IDS,2,FALSE)*VLOOKUP($G617,PLAYERS_IDS,2,FALSE))</f>
        <v/>
      </c>
      <c r="R617" s="5">
        <f>IFERROR((P617*100000)+Q617,"")</f>
        <v/>
      </c>
    </row>
    <row r="618" ht="20.25" customHeight="1" s="106">
      <c r="A618" s="14" t="n"/>
      <c r="B618" s="15" t="n">
        <v>614</v>
      </c>
      <c r="C618" s="15" t="n"/>
      <c r="D618" s="15" t="n"/>
      <c r="E618" s="16" t="n"/>
      <c r="F618" s="15" t="n"/>
      <c r="G618" s="15" t="n"/>
      <c r="H618" s="16" t="n"/>
      <c r="I618" s="15">
        <f>IF(ISBLANK($E618)," ",IF($E618&gt;$H618,$C618,$F618))</f>
        <v/>
      </c>
      <c r="J618" s="15">
        <f>IF(ISBLANK($E618)," ",IF($E618&gt;$H618,$D618,$G618))</f>
        <v/>
      </c>
      <c r="K618" s="15" t="n"/>
      <c r="L618" s="15">
        <f>E618-H618</f>
        <v/>
      </c>
      <c r="M618" s="5">
        <f>IF(ISBLANK($E618),"",VLOOKUP($I618,PLAYERS_IDS,2,FALSE)*VLOOKUP($J618,PLAYERS_IDS,2,FALSE))</f>
        <v/>
      </c>
      <c r="N618" s="25">
        <f>IF(ISBLANK($E618)," ", COUNTIF($M$4:$M618,$M618))</f>
        <v/>
      </c>
      <c r="O618" s="25">
        <f>IF(N618 =" ", " ", IF(N618=1,15,(IF(N618=2,15,(IF(N618=3,15,15))))))</f>
        <v/>
      </c>
      <c r="P618" s="5">
        <f>IF(ISBLANK($F618),"",VLOOKUP($C618,PLAYERS_IDS,2,FALSE)*VLOOKUP($D618,PLAYERS_IDS,2,FALSE))</f>
        <v/>
      </c>
      <c r="Q618" s="5">
        <f>IF(ISBLANK($F618), "",VLOOKUP($F618,PLAYERS_IDS,2,FALSE)*VLOOKUP($G618,PLAYERS_IDS,2,FALSE))</f>
        <v/>
      </c>
      <c r="R618" s="5">
        <f>IFERROR((P618*100000)+Q618,"")</f>
        <v/>
      </c>
    </row>
    <row r="619" ht="20.25" customHeight="1" s="106">
      <c r="A619" s="14" t="n"/>
      <c r="B619" s="15" t="n">
        <v>615</v>
      </c>
      <c r="C619" s="15" t="n"/>
      <c r="D619" s="15" t="n"/>
      <c r="E619" s="16" t="n"/>
      <c r="F619" s="15" t="n"/>
      <c r="G619" s="15" t="n"/>
      <c r="H619" s="16" t="n"/>
      <c r="I619" s="15">
        <f>IF(ISBLANK($E619)," ",IF($E619&gt;$H619,$C619,$F619))</f>
        <v/>
      </c>
      <c r="J619" s="15">
        <f>IF(ISBLANK($E619)," ",IF($E619&gt;$H619,$D619,$G619))</f>
        <v/>
      </c>
      <c r="K619" s="15" t="n"/>
      <c r="L619" s="15">
        <f>E619-H619</f>
        <v/>
      </c>
      <c r="M619" s="5">
        <f>IF(ISBLANK($E619),"",VLOOKUP($I619,PLAYERS_IDS,2,FALSE)*VLOOKUP($J619,PLAYERS_IDS,2,FALSE))</f>
        <v/>
      </c>
      <c r="N619" s="25">
        <f>IF(ISBLANK($E619)," ", COUNTIF($M$4:$M619,$M619))</f>
        <v/>
      </c>
      <c r="O619" s="25">
        <f>IF(N619 =" ", " ", IF(N619=1,15,(IF(N619=2,15,(IF(N619=3,15,15))))))</f>
        <v/>
      </c>
      <c r="P619" s="5">
        <f>IF(ISBLANK($F619),"",VLOOKUP($C619,PLAYERS_IDS,2,FALSE)*VLOOKUP($D619,PLAYERS_IDS,2,FALSE))</f>
        <v/>
      </c>
      <c r="Q619" s="5">
        <f>IF(ISBLANK($F619), "",VLOOKUP($F619,PLAYERS_IDS,2,FALSE)*VLOOKUP($G619,PLAYERS_IDS,2,FALSE))</f>
        <v/>
      </c>
      <c r="R619" s="5">
        <f>IFERROR((P619*100000)+Q619,"")</f>
        <v/>
      </c>
    </row>
    <row r="620" ht="20.25" customHeight="1" s="106">
      <c r="A620" s="14" t="n"/>
      <c r="B620" s="15" t="n">
        <v>616</v>
      </c>
      <c r="C620" s="15" t="n"/>
      <c r="D620" s="15" t="n"/>
      <c r="E620" s="16" t="n"/>
      <c r="F620" s="15" t="n"/>
      <c r="G620" s="15" t="n"/>
      <c r="H620" s="16" t="n"/>
      <c r="I620" s="15">
        <f>IF(ISBLANK($E620)," ",IF($E620&gt;$H620,$C620,$F620))</f>
        <v/>
      </c>
      <c r="J620" s="15">
        <f>IF(ISBLANK($E620)," ",IF($E620&gt;$H620,$D620,$G620))</f>
        <v/>
      </c>
      <c r="K620" s="15" t="n"/>
      <c r="L620" s="15">
        <f>E620-H620</f>
        <v/>
      </c>
      <c r="M620" s="5">
        <f>IF(ISBLANK($E620),"",VLOOKUP($I620,PLAYERS_IDS,2,FALSE)*VLOOKUP($J620,PLAYERS_IDS,2,FALSE))</f>
        <v/>
      </c>
      <c r="N620" s="25">
        <f>IF(ISBLANK($E620)," ", COUNTIF($M$4:$M620,$M620))</f>
        <v/>
      </c>
      <c r="O620" s="25">
        <f>IF(N620 =" ", " ", IF(N620=1,15,(IF(N620=2,15,(IF(N620=3,15,15))))))</f>
        <v/>
      </c>
      <c r="P620" s="5">
        <f>IF(ISBLANK($F620),"",VLOOKUP($C620,PLAYERS_IDS,2,FALSE)*VLOOKUP($D620,PLAYERS_IDS,2,FALSE))</f>
        <v/>
      </c>
      <c r="Q620" s="5">
        <f>IF(ISBLANK($F620), "",VLOOKUP($F620,PLAYERS_IDS,2,FALSE)*VLOOKUP($G620,PLAYERS_IDS,2,FALSE))</f>
        <v/>
      </c>
      <c r="R620" s="5">
        <f>IFERROR((P620*100000)+Q620,"")</f>
        <v/>
      </c>
    </row>
    <row r="621" ht="20.25" customHeight="1" s="106">
      <c r="A621" s="14" t="n"/>
      <c r="B621" s="15" t="n">
        <v>617</v>
      </c>
      <c r="C621" s="15" t="n"/>
      <c r="D621" s="15" t="n"/>
      <c r="E621" s="16" t="n"/>
      <c r="F621" s="15" t="n"/>
      <c r="G621" s="15" t="n"/>
      <c r="H621" s="16" t="n"/>
      <c r="I621" s="15">
        <f>IF(ISBLANK($E621)," ",IF($E621&gt;$H621,$C621,$F621))</f>
        <v/>
      </c>
      <c r="J621" s="15">
        <f>IF(ISBLANK($E621)," ",IF($E621&gt;$H621,$D621,$G621))</f>
        <v/>
      </c>
      <c r="K621" s="15" t="n"/>
      <c r="L621" s="15">
        <f>E621-H621</f>
        <v/>
      </c>
      <c r="M621" s="5">
        <f>IF(ISBLANK($E621),"",VLOOKUP($I621,PLAYERS_IDS,2,FALSE)*VLOOKUP($J621,PLAYERS_IDS,2,FALSE))</f>
        <v/>
      </c>
      <c r="N621" s="25">
        <f>IF(ISBLANK($E621)," ", COUNTIF($M$4:$M621,$M621))</f>
        <v/>
      </c>
      <c r="O621" s="25">
        <f>IF(N621 =" ", " ", IF(N621=1,15,(IF(N621=2,15,(IF(N621=3,15,15))))))</f>
        <v/>
      </c>
      <c r="P621" s="5">
        <f>IF(ISBLANK($F621),"",VLOOKUP($C621,PLAYERS_IDS,2,FALSE)*VLOOKUP($D621,PLAYERS_IDS,2,FALSE))</f>
        <v/>
      </c>
      <c r="Q621" s="5">
        <f>IF(ISBLANK($F621), "",VLOOKUP($F621,PLAYERS_IDS,2,FALSE)*VLOOKUP($G621,PLAYERS_IDS,2,FALSE))</f>
        <v/>
      </c>
      <c r="R621" s="5">
        <f>IFERROR((P621*100000)+Q621,"")</f>
        <v/>
      </c>
    </row>
    <row r="622" ht="20.25" customHeight="1" s="106">
      <c r="A622" s="14" t="n"/>
      <c r="B622" s="15" t="n">
        <v>618</v>
      </c>
      <c r="C622" s="15" t="n"/>
      <c r="D622" s="15" t="n"/>
      <c r="E622" s="16" t="n"/>
      <c r="F622" s="15" t="n"/>
      <c r="G622" s="15" t="n"/>
      <c r="H622" s="16" t="n"/>
      <c r="I622" s="15">
        <f>IF(ISBLANK($E622)," ",IF($E622&gt;$H622,$C622,$F622))</f>
        <v/>
      </c>
      <c r="J622" s="15">
        <f>IF(ISBLANK($E622)," ",IF($E622&gt;$H622,$D622,$G622))</f>
        <v/>
      </c>
      <c r="K622" s="15" t="n"/>
      <c r="L622" s="15">
        <f>E622-H622</f>
        <v/>
      </c>
      <c r="M622" s="5">
        <f>IF(ISBLANK($E622),"",VLOOKUP($I622,PLAYERS_IDS,2,FALSE)*VLOOKUP($J622,PLAYERS_IDS,2,FALSE))</f>
        <v/>
      </c>
      <c r="N622" s="25">
        <f>IF(ISBLANK($E622)," ", COUNTIF($M$4:$M622,$M622))</f>
        <v/>
      </c>
      <c r="O622" s="25">
        <f>IF(N622 =" ", " ", IF(N622=1,15,(IF(N622=2,15,(IF(N622=3,15,15))))))</f>
        <v/>
      </c>
      <c r="P622" s="5">
        <f>IF(ISBLANK($F622),"",VLOOKUP($C622,PLAYERS_IDS,2,FALSE)*VLOOKUP($D622,PLAYERS_IDS,2,FALSE))</f>
        <v/>
      </c>
      <c r="Q622" s="5">
        <f>IF(ISBLANK($F622), "",VLOOKUP($F622,PLAYERS_IDS,2,FALSE)*VLOOKUP($G622,PLAYERS_IDS,2,FALSE))</f>
        <v/>
      </c>
      <c r="R622" s="5">
        <f>IFERROR((P622*100000)+Q622,"")</f>
        <v/>
      </c>
    </row>
    <row r="623" ht="20.25" customHeight="1" s="106">
      <c r="A623" s="14" t="n"/>
      <c r="B623" s="15" t="n">
        <v>619</v>
      </c>
      <c r="C623" s="15" t="n"/>
      <c r="D623" s="15" t="n"/>
      <c r="E623" s="16" t="n"/>
      <c r="F623" s="15" t="n"/>
      <c r="G623" s="15" t="n"/>
      <c r="H623" s="16" t="n"/>
      <c r="I623" s="15">
        <f>IF(ISBLANK($E623)," ",IF($E623&gt;$H623,$C623,$F623))</f>
        <v/>
      </c>
      <c r="J623" s="15">
        <f>IF(ISBLANK($E623)," ",IF($E623&gt;$H623,$D623,$G623))</f>
        <v/>
      </c>
      <c r="K623" s="15" t="n"/>
      <c r="L623" s="15">
        <f>E623-H623</f>
        <v/>
      </c>
      <c r="M623" s="5">
        <f>IF(ISBLANK($E623),"",VLOOKUP($I623,PLAYERS_IDS,2,FALSE)*VLOOKUP($J623,PLAYERS_IDS,2,FALSE))</f>
        <v/>
      </c>
      <c r="N623" s="25">
        <f>IF(ISBLANK($E623)," ", COUNTIF($M$4:$M623,$M623))</f>
        <v/>
      </c>
      <c r="O623" s="25">
        <f>IF(N623 =" ", " ", IF(N623=1,15,(IF(N623=2,15,(IF(N623=3,15,15))))))</f>
        <v/>
      </c>
      <c r="P623" s="5">
        <f>IF(ISBLANK($F623),"",VLOOKUP($C623,PLAYERS_IDS,2,FALSE)*VLOOKUP($D623,PLAYERS_IDS,2,FALSE))</f>
        <v/>
      </c>
      <c r="Q623" s="5">
        <f>IF(ISBLANK($F623), "",VLOOKUP($F623,PLAYERS_IDS,2,FALSE)*VLOOKUP($G623,PLAYERS_IDS,2,FALSE))</f>
        <v/>
      </c>
      <c r="R623" s="5">
        <f>IFERROR((P623*100000)+Q623,"")</f>
        <v/>
      </c>
    </row>
    <row r="624" ht="20.25" customHeight="1" s="106">
      <c r="A624" s="14" t="n"/>
      <c r="B624" s="15" t="n">
        <v>620</v>
      </c>
      <c r="C624" s="15" t="n"/>
      <c r="D624" s="15" t="n"/>
      <c r="E624" s="16" t="n"/>
      <c r="F624" s="15" t="n"/>
      <c r="G624" s="15" t="n"/>
      <c r="H624" s="16" t="n"/>
      <c r="I624" s="15">
        <f>IF(ISBLANK($E624)," ",IF($E624&gt;$H624,$C624,$F624))</f>
        <v/>
      </c>
      <c r="J624" s="15">
        <f>IF(ISBLANK($E624)," ",IF($E624&gt;$H624,$D624,$G624))</f>
        <v/>
      </c>
      <c r="K624" s="15" t="n"/>
      <c r="L624" s="15">
        <f>E624-H624</f>
        <v/>
      </c>
      <c r="M624" s="5">
        <f>IF(ISBLANK($E624),"",VLOOKUP($I624,PLAYERS_IDS,2,FALSE)*VLOOKUP($J624,PLAYERS_IDS,2,FALSE))</f>
        <v/>
      </c>
      <c r="N624" s="25">
        <f>IF(ISBLANK($E624)," ", COUNTIF($M$4:$M624,$M624))</f>
        <v/>
      </c>
      <c r="O624" s="25">
        <f>IF(N624 =" ", " ", IF(N624=1,15,(IF(N624=2,15,(IF(N624=3,15,15))))))</f>
        <v/>
      </c>
      <c r="P624" s="5">
        <f>IF(ISBLANK($F624),"",VLOOKUP($C624,PLAYERS_IDS,2,FALSE)*VLOOKUP($D624,PLAYERS_IDS,2,FALSE))</f>
        <v/>
      </c>
      <c r="Q624" s="5">
        <f>IF(ISBLANK($F624), "",VLOOKUP($F624,PLAYERS_IDS,2,FALSE)*VLOOKUP($G624,PLAYERS_IDS,2,FALSE))</f>
        <v/>
      </c>
      <c r="R624" s="5">
        <f>IFERROR((P624*100000)+Q624,"")</f>
        <v/>
      </c>
    </row>
    <row r="625" ht="20.25" customHeight="1" s="106">
      <c r="A625" s="14" t="n"/>
      <c r="B625" s="15" t="n">
        <v>621</v>
      </c>
      <c r="C625" s="15" t="n"/>
      <c r="D625" s="15" t="n"/>
      <c r="E625" s="16" t="n"/>
      <c r="F625" s="15" t="n"/>
      <c r="G625" s="15" t="n"/>
      <c r="H625" s="16" t="n"/>
      <c r="I625" s="15">
        <f>IF(ISBLANK($E625)," ",IF($E625&gt;$H625,$C625,$F625))</f>
        <v/>
      </c>
      <c r="J625" s="15">
        <f>IF(ISBLANK($E625)," ",IF($E625&gt;$H625,$D625,$G625))</f>
        <v/>
      </c>
      <c r="K625" s="15" t="n"/>
      <c r="L625" s="15">
        <f>E625-H625</f>
        <v/>
      </c>
      <c r="M625" s="5">
        <f>IF(ISBLANK($E625),"",VLOOKUP($I625,PLAYERS_IDS,2,FALSE)*VLOOKUP($J625,PLAYERS_IDS,2,FALSE))</f>
        <v/>
      </c>
      <c r="N625" s="25">
        <f>IF(ISBLANK($E625)," ", COUNTIF($M$4:$M625,$M625))</f>
        <v/>
      </c>
      <c r="O625" s="25">
        <f>IF(N625 =" ", " ", IF(N625=1,15,(IF(N625=2,15,(IF(N625=3,15,15))))))</f>
        <v/>
      </c>
      <c r="P625" s="5">
        <f>IF(ISBLANK($F625),"",VLOOKUP($C625,PLAYERS_IDS,2,FALSE)*VLOOKUP($D625,PLAYERS_IDS,2,FALSE))</f>
        <v/>
      </c>
      <c r="Q625" s="5">
        <f>IF(ISBLANK($F625), "",VLOOKUP($F625,PLAYERS_IDS,2,FALSE)*VLOOKUP($G625,PLAYERS_IDS,2,FALSE))</f>
        <v/>
      </c>
      <c r="R625" s="5">
        <f>IFERROR((P625*100000)+Q625,"")</f>
        <v/>
      </c>
    </row>
    <row r="626" ht="20.25" customHeight="1" s="106">
      <c r="A626" s="14" t="n"/>
      <c r="B626" s="15" t="n">
        <v>622</v>
      </c>
      <c r="C626" s="15" t="n"/>
      <c r="D626" s="15" t="n"/>
      <c r="E626" s="16" t="n"/>
      <c r="F626" s="15" t="n"/>
      <c r="G626" s="15" t="n"/>
      <c r="H626" s="16" t="n"/>
      <c r="I626" s="15">
        <f>IF(ISBLANK($E626)," ",IF($E626&gt;$H626,$C626,$F626))</f>
        <v/>
      </c>
      <c r="J626" s="15">
        <f>IF(ISBLANK($E626)," ",IF($E626&gt;$H626,$D626,$G626))</f>
        <v/>
      </c>
      <c r="K626" s="15" t="n"/>
      <c r="L626" s="15">
        <f>E626-H626</f>
        <v/>
      </c>
      <c r="M626" s="5">
        <f>IF(ISBLANK($E626),"",VLOOKUP($I626,PLAYERS_IDS,2,FALSE)*VLOOKUP($J626,PLAYERS_IDS,2,FALSE))</f>
        <v/>
      </c>
      <c r="N626" s="25">
        <f>IF(ISBLANK($E626)," ", COUNTIF($M$4:$M626,$M626))</f>
        <v/>
      </c>
      <c r="O626" s="25">
        <f>IF(N626 =" ", " ", IF(N626=1,15,(IF(N626=2,15,(IF(N626=3,15,15))))))</f>
        <v/>
      </c>
      <c r="P626" s="5">
        <f>IF(ISBLANK($F626),"",VLOOKUP($C626,PLAYERS_IDS,2,FALSE)*VLOOKUP($D626,PLAYERS_IDS,2,FALSE))</f>
        <v/>
      </c>
      <c r="Q626" s="5">
        <f>IF(ISBLANK($F626), "",VLOOKUP($F626,PLAYERS_IDS,2,FALSE)*VLOOKUP($G626,PLAYERS_IDS,2,FALSE))</f>
        <v/>
      </c>
      <c r="R626" s="5">
        <f>IFERROR((P626*100000)+Q626,"")</f>
        <v/>
      </c>
    </row>
    <row r="627" ht="20.25" customHeight="1" s="106">
      <c r="A627" s="14" t="n"/>
      <c r="B627" s="15" t="n">
        <v>623</v>
      </c>
      <c r="C627" s="15" t="n"/>
      <c r="D627" s="15" t="n"/>
      <c r="E627" s="16" t="n"/>
      <c r="F627" s="15" t="n"/>
      <c r="G627" s="15" t="n"/>
      <c r="H627" s="16" t="n"/>
      <c r="I627" s="15">
        <f>IF(ISBLANK($E627)," ",IF($E627&gt;$H627,$C627,$F627))</f>
        <v/>
      </c>
      <c r="J627" s="15">
        <f>IF(ISBLANK($E627)," ",IF($E627&gt;$H627,$D627,$G627))</f>
        <v/>
      </c>
      <c r="K627" s="15" t="n"/>
      <c r="L627" s="15">
        <f>E627-H627</f>
        <v/>
      </c>
      <c r="M627" s="5">
        <f>IF(ISBLANK($E627),"",VLOOKUP($I627,PLAYERS_IDS,2,FALSE)*VLOOKUP($J627,PLAYERS_IDS,2,FALSE))</f>
        <v/>
      </c>
      <c r="N627" s="25">
        <f>IF(ISBLANK($E627)," ", COUNTIF($M$4:$M627,$M627))</f>
        <v/>
      </c>
      <c r="O627" s="25">
        <f>IF(N627 =" ", " ", IF(N627=1,15,(IF(N627=2,15,(IF(N627=3,15,15))))))</f>
        <v/>
      </c>
      <c r="P627" s="5">
        <f>IF(ISBLANK($F627),"",VLOOKUP($C627,PLAYERS_IDS,2,FALSE)*VLOOKUP($D627,PLAYERS_IDS,2,FALSE))</f>
        <v/>
      </c>
      <c r="Q627" s="5">
        <f>IF(ISBLANK($F627), "",VLOOKUP($F627,PLAYERS_IDS,2,FALSE)*VLOOKUP($G627,PLAYERS_IDS,2,FALSE))</f>
        <v/>
      </c>
      <c r="R627" s="5">
        <f>IFERROR((P627*100000)+Q627,"")</f>
        <v/>
      </c>
    </row>
    <row r="628" ht="20.25" customHeight="1" s="106">
      <c r="A628" s="14" t="n"/>
      <c r="B628" s="15" t="n">
        <v>624</v>
      </c>
      <c r="C628" s="15" t="n"/>
      <c r="D628" s="15" t="n"/>
      <c r="E628" s="16" t="n"/>
      <c r="F628" s="15" t="n"/>
      <c r="G628" s="15" t="n"/>
      <c r="H628" s="16" t="n"/>
      <c r="I628" s="15">
        <f>IF(ISBLANK($E628)," ",IF($E628&gt;$H628,$C628,$F628))</f>
        <v/>
      </c>
      <c r="J628" s="15">
        <f>IF(ISBLANK($E628)," ",IF($E628&gt;$H628,$D628,$G628))</f>
        <v/>
      </c>
      <c r="K628" s="15" t="n"/>
      <c r="L628" s="15">
        <f>E628-H628</f>
        <v/>
      </c>
      <c r="M628" s="5">
        <f>IF(ISBLANK($E628),"",VLOOKUP($I628,PLAYERS_IDS,2,FALSE)*VLOOKUP($J628,PLAYERS_IDS,2,FALSE))</f>
        <v/>
      </c>
      <c r="N628" s="25">
        <f>IF(ISBLANK($E628)," ", COUNTIF($M$4:$M628,$M628))</f>
        <v/>
      </c>
      <c r="O628" s="25">
        <f>IF(N628 =" ", " ", IF(N628=1,15,(IF(N628=2,15,(IF(N628=3,15,15))))))</f>
        <v/>
      </c>
      <c r="P628" s="5">
        <f>IF(ISBLANK($F628),"",VLOOKUP($C628,PLAYERS_IDS,2,FALSE)*VLOOKUP($D628,PLAYERS_IDS,2,FALSE))</f>
        <v/>
      </c>
      <c r="Q628" s="5">
        <f>IF(ISBLANK($F628), "",VLOOKUP($F628,PLAYERS_IDS,2,FALSE)*VLOOKUP($G628,PLAYERS_IDS,2,FALSE))</f>
        <v/>
      </c>
      <c r="R628" s="5">
        <f>IFERROR((P628*100000)+Q628,"")</f>
        <v/>
      </c>
    </row>
    <row r="629" ht="20.25" customHeight="1" s="106">
      <c r="A629" s="14" t="n"/>
      <c r="B629" s="15" t="n">
        <v>625</v>
      </c>
      <c r="C629" s="15" t="n"/>
      <c r="D629" s="15" t="n"/>
      <c r="E629" s="16" t="n"/>
      <c r="F629" s="15" t="n"/>
      <c r="G629" s="15" t="n"/>
      <c r="H629" s="16" t="n"/>
      <c r="I629" s="15">
        <f>IF(ISBLANK($E629)," ",IF($E629&gt;$H629,$C629,$F629))</f>
        <v/>
      </c>
      <c r="J629" s="15">
        <f>IF(ISBLANK($E629)," ",IF($E629&gt;$H629,$D629,$G629))</f>
        <v/>
      </c>
      <c r="K629" s="15" t="n"/>
      <c r="L629" s="15">
        <f>E629-H629</f>
        <v/>
      </c>
      <c r="M629" s="5">
        <f>IF(ISBLANK($E629),"",VLOOKUP($I629,PLAYERS_IDS,2,FALSE)*VLOOKUP($J629,PLAYERS_IDS,2,FALSE))</f>
        <v/>
      </c>
      <c r="N629" s="25">
        <f>IF(ISBLANK($E629)," ", COUNTIF($M$4:$M629,$M629))</f>
        <v/>
      </c>
      <c r="O629" s="25">
        <f>IF(N629 =" ", " ", IF(N629=1,15,(IF(N629=2,15,(IF(N629=3,15,15))))))</f>
        <v/>
      </c>
      <c r="P629" s="5">
        <f>IF(ISBLANK($F629),"",VLOOKUP($C629,PLAYERS_IDS,2,FALSE)*VLOOKUP($D629,PLAYERS_IDS,2,FALSE))</f>
        <v/>
      </c>
      <c r="Q629" s="5">
        <f>IF(ISBLANK($F629), "",VLOOKUP($F629,PLAYERS_IDS,2,FALSE)*VLOOKUP($G629,PLAYERS_IDS,2,FALSE))</f>
        <v/>
      </c>
      <c r="R629" s="5">
        <f>IFERROR((P629*100000)+Q629,"")</f>
        <v/>
      </c>
    </row>
    <row r="630" ht="20.25" customHeight="1" s="106">
      <c r="A630" s="14" t="n"/>
      <c r="B630" s="15" t="n">
        <v>626</v>
      </c>
      <c r="C630" s="15" t="n"/>
      <c r="D630" s="15" t="n"/>
      <c r="E630" s="16" t="n"/>
      <c r="F630" s="15" t="n"/>
      <c r="G630" s="15" t="n"/>
      <c r="H630" s="16" t="n"/>
      <c r="I630" s="15">
        <f>IF(ISBLANK($E630)," ",IF($E630&gt;$H630,$C630,$F630))</f>
        <v/>
      </c>
      <c r="J630" s="15">
        <f>IF(ISBLANK($E630)," ",IF($E630&gt;$H630,$D630,$G630))</f>
        <v/>
      </c>
      <c r="K630" s="15" t="n"/>
      <c r="L630" s="15">
        <f>E630-H630</f>
        <v/>
      </c>
      <c r="M630" s="5">
        <f>IF(ISBLANK($E630),"",VLOOKUP($I630,PLAYERS_IDS,2,FALSE)*VLOOKUP($J630,PLAYERS_IDS,2,FALSE))</f>
        <v/>
      </c>
      <c r="N630" s="25">
        <f>IF(ISBLANK($E630)," ", COUNTIF($M$4:$M630,$M630))</f>
        <v/>
      </c>
      <c r="O630" s="25">
        <f>IF(N630 =" ", " ", IF(N630=1,15,(IF(N630=2,15,(IF(N630=3,15,15))))))</f>
        <v/>
      </c>
      <c r="P630" s="5">
        <f>IF(ISBLANK($F630),"",VLOOKUP($C630,PLAYERS_IDS,2,FALSE)*VLOOKUP($D630,PLAYERS_IDS,2,FALSE))</f>
        <v/>
      </c>
      <c r="Q630" s="5">
        <f>IF(ISBLANK($F630), "",VLOOKUP($F630,PLAYERS_IDS,2,FALSE)*VLOOKUP($G630,PLAYERS_IDS,2,FALSE))</f>
        <v/>
      </c>
      <c r="R630" s="5">
        <f>IFERROR((P630*100000)+Q630,"")</f>
        <v/>
      </c>
    </row>
    <row r="631" ht="20.25" customHeight="1" s="106">
      <c r="A631" s="14" t="n"/>
      <c r="B631" s="15" t="n">
        <v>627</v>
      </c>
      <c r="C631" s="15" t="n"/>
      <c r="D631" s="15" t="n"/>
      <c r="E631" s="16" t="n"/>
      <c r="F631" s="15" t="n"/>
      <c r="G631" s="15" t="n"/>
      <c r="H631" s="16" t="n"/>
      <c r="I631" s="15">
        <f>IF(ISBLANK($E631)," ",IF($E631&gt;$H631,$C631,$F631))</f>
        <v/>
      </c>
      <c r="J631" s="15">
        <f>IF(ISBLANK($E631)," ",IF($E631&gt;$H631,$D631,$G631))</f>
        <v/>
      </c>
      <c r="K631" s="15" t="n"/>
      <c r="L631" s="15">
        <f>E631-H631</f>
        <v/>
      </c>
      <c r="M631" s="5">
        <f>IF(ISBLANK($E631),"",VLOOKUP($I631,PLAYERS_IDS,2,FALSE)*VLOOKUP($J631,PLAYERS_IDS,2,FALSE))</f>
        <v/>
      </c>
      <c r="N631" s="25">
        <f>IF(ISBLANK($E631)," ", COUNTIF($M$4:$M631,$M631))</f>
        <v/>
      </c>
      <c r="O631" s="25">
        <f>IF(N631 =" ", " ", IF(N631=1,15,(IF(N631=2,15,(IF(N631=3,15,15))))))</f>
        <v/>
      </c>
      <c r="P631" s="5">
        <f>IF(ISBLANK($F631),"",VLOOKUP($C631,PLAYERS_IDS,2,FALSE)*VLOOKUP($D631,PLAYERS_IDS,2,FALSE))</f>
        <v/>
      </c>
      <c r="Q631" s="5">
        <f>IF(ISBLANK($F631), "",VLOOKUP($F631,PLAYERS_IDS,2,FALSE)*VLOOKUP($G631,PLAYERS_IDS,2,FALSE))</f>
        <v/>
      </c>
      <c r="R631" s="5">
        <f>IFERROR((P631*100000)+Q631,"")</f>
        <v/>
      </c>
    </row>
    <row r="632" ht="20.25" customHeight="1" s="106">
      <c r="A632" s="14" t="n"/>
      <c r="B632" s="15" t="n">
        <v>628</v>
      </c>
      <c r="C632" s="15" t="n"/>
      <c r="D632" s="15" t="n"/>
      <c r="E632" s="16" t="n"/>
      <c r="F632" s="15" t="n"/>
      <c r="G632" s="15" t="n"/>
      <c r="H632" s="16" t="n"/>
      <c r="I632" s="15">
        <f>IF(ISBLANK($E632)," ",IF($E632&gt;$H632,$C632,$F632))</f>
        <v/>
      </c>
      <c r="J632" s="15">
        <f>IF(ISBLANK($E632)," ",IF($E632&gt;$H632,$D632,$G632))</f>
        <v/>
      </c>
      <c r="K632" s="15" t="n"/>
      <c r="L632" s="15">
        <f>E632-H632</f>
        <v/>
      </c>
      <c r="M632" s="5">
        <f>IF(ISBLANK($E632),"",VLOOKUP($I632,PLAYERS_IDS,2,FALSE)*VLOOKUP($J632,PLAYERS_IDS,2,FALSE))</f>
        <v/>
      </c>
      <c r="N632" s="25">
        <f>IF(ISBLANK($E632)," ", COUNTIF($M$4:$M632,$M632))</f>
        <v/>
      </c>
      <c r="O632" s="25">
        <f>IF(N632 =" ", " ", IF(N632=1,15,(IF(N632=2,15,(IF(N632=3,15,15))))))</f>
        <v/>
      </c>
      <c r="P632" s="5">
        <f>IF(ISBLANK($F632),"",VLOOKUP($C632,PLAYERS_IDS,2,FALSE)*VLOOKUP($D632,PLAYERS_IDS,2,FALSE))</f>
        <v/>
      </c>
      <c r="Q632" s="5">
        <f>IF(ISBLANK($F632), "",VLOOKUP($F632,PLAYERS_IDS,2,FALSE)*VLOOKUP($G632,PLAYERS_IDS,2,FALSE))</f>
        <v/>
      </c>
      <c r="R632" s="5">
        <f>IFERROR((P632*100000)+Q632,"")</f>
        <v/>
      </c>
    </row>
    <row r="633" ht="20.25" customHeight="1" s="106">
      <c r="A633" s="14" t="n"/>
      <c r="B633" s="15" t="n">
        <v>629</v>
      </c>
      <c r="C633" s="15" t="n"/>
      <c r="D633" s="15" t="n"/>
      <c r="E633" s="16" t="n"/>
      <c r="F633" s="15" t="n"/>
      <c r="G633" s="15" t="n"/>
      <c r="H633" s="16" t="n"/>
      <c r="I633" s="15">
        <f>IF(ISBLANK($E633)," ",IF($E633&gt;$H633,$C633,$F633))</f>
        <v/>
      </c>
      <c r="J633" s="15">
        <f>IF(ISBLANK($E633)," ",IF($E633&gt;$H633,$D633,$G633))</f>
        <v/>
      </c>
      <c r="K633" s="15" t="n"/>
      <c r="L633" s="15">
        <f>E633-H633</f>
        <v/>
      </c>
      <c r="M633" s="5">
        <f>IF(ISBLANK($E633),"",VLOOKUP($I633,PLAYERS_IDS,2,FALSE)*VLOOKUP($J633,PLAYERS_IDS,2,FALSE))</f>
        <v/>
      </c>
      <c r="N633" s="25">
        <f>IF(ISBLANK($E633)," ", COUNTIF($M$4:$M633,$M633))</f>
        <v/>
      </c>
      <c r="O633" s="25">
        <f>IF(N633 =" ", " ", IF(N633=1,15,(IF(N633=2,15,(IF(N633=3,15,15))))))</f>
        <v/>
      </c>
      <c r="P633" s="5">
        <f>IF(ISBLANK($F633),"",VLOOKUP($C633,PLAYERS_IDS,2,FALSE)*VLOOKUP($D633,PLAYERS_IDS,2,FALSE))</f>
        <v/>
      </c>
      <c r="Q633" s="5">
        <f>IF(ISBLANK($F633), "",VLOOKUP($F633,PLAYERS_IDS,2,FALSE)*VLOOKUP($G633,PLAYERS_IDS,2,FALSE))</f>
        <v/>
      </c>
      <c r="R633" s="5">
        <f>IFERROR((P633*100000)+Q633,"")</f>
        <v/>
      </c>
    </row>
    <row r="634" ht="20.25" customHeight="1" s="106">
      <c r="A634" s="14" t="n"/>
      <c r="B634" s="15" t="n">
        <v>630</v>
      </c>
      <c r="C634" s="15" t="n"/>
      <c r="D634" s="15" t="n"/>
      <c r="E634" s="16" t="n"/>
      <c r="F634" s="15" t="n"/>
      <c r="G634" s="15" t="n"/>
      <c r="H634" s="16" t="n"/>
      <c r="I634" s="15">
        <f>IF(ISBLANK($E634)," ",IF($E634&gt;$H634,$C634,$F634))</f>
        <v/>
      </c>
      <c r="J634" s="15">
        <f>IF(ISBLANK($E634)," ",IF($E634&gt;$H634,$D634,$G634))</f>
        <v/>
      </c>
      <c r="K634" s="15" t="n"/>
      <c r="L634" s="15">
        <f>E634-H634</f>
        <v/>
      </c>
      <c r="M634" s="5">
        <f>IF(ISBLANK($E634),"",VLOOKUP($I634,PLAYERS_IDS,2,FALSE)*VLOOKUP($J634,PLAYERS_IDS,2,FALSE))</f>
        <v/>
      </c>
      <c r="N634" s="25">
        <f>IF(ISBLANK($E634)," ", COUNTIF($M$4:$M634,$M634))</f>
        <v/>
      </c>
      <c r="O634" s="25">
        <f>IF(N634 =" ", " ", IF(N634=1,15,(IF(N634=2,15,(IF(N634=3,15,15))))))</f>
        <v/>
      </c>
      <c r="P634" s="5">
        <f>IF(ISBLANK($F634),"",VLOOKUP($C634,PLAYERS_IDS,2,FALSE)*VLOOKUP($D634,PLAYERS_IDS,2,FALSE))</f>
        <v/>
      </c>
      <c r="Q634" s="5">
        <f>IF(ISBLANK($F634), "",VLOOKUP($F634,PLAYERS_IDS,2,FALSE)*VLOOKUP($G634,PLAYERS_IDS,2,FALSE))</f>
        <v/>
      </c>
      <c r="R634" s="5">
        <f>IFERROR((P634*100000)+Q634,"")</f>
        <v/>
      </c>
    </row>
    <row r="635" ht="20.25" customHeight="1" s="106">
      <c r="A635" s="14" t="n"/>
      <c r="B635" s="15" t="n">
        <v>631</v>
      </c>
      <c r="C635" s="15" t="n"/>
      <c r="D635" s="15" t="n"/>
      <c r="E635" s="16" t="n"/>
      <c r="F635" s="15" t="n"/>
      <c r="G635" s="15" t="n"/>
      <c r="H635" s="16" t="n"/>
      <c r="I635" s="15">
        <f>IF(ISBLANK($E635)," ",IF($E635&gt;$H635,$C635,$F635))</f>
        <v/>
      </c>
      <c r="J635" s="15">
        <f>IF(ISBLANK($E635)," ",IF($E635&gt;$H635,$D635,$G635))</f>
        <v/>
      </c>
      <c r="K635" s="15" t="n"/>
      <c r="L635" s="15">
        <f>E635-H635</f>
        <v/>
      </c>
      <c r="M635" s="5">
        <f>IF(ISBLANK($E635),"",VLOOKUP($I635,PLAYERS_IDS,2,FALSE)*VLOOKUP($J635,PLAYERS_IDS,2,FALSE))</f>
        <v/>
      </c>
      <c r="N635" s="25">
        <f>IF(ISBLANK($E635)," ", COUNTIF($M$4:$M635,$M635))</f>
        <v/>
      </c>
      <c r="O635" s="25">
        <f>IF(N635 =" ", " ", IF(N635=1,15,(IF(N635=2,15,(IF(N635=3,15,15))))))</f>
        <v/>
      </c>
      <c r="P635" s="5">
        <f>IF(ISBLANK($F635),"",VLOOKUP($C635,PLAYERS_IDS,2,FALSE)*VLOOKUP($D635,PLAYERS_IDS,2,FALSE))</f>
        <v/>
      </c>
      <c r="Q635" s="5">
        <f>IF(ISBLANK($F635), "",VLOOKUP($F635,PLAYERS_IDS,2,FALSE)*VLOOKUP($G635,PLAYERS_IDS,2,FALSE))</f>
        <v/>
      </c>
      <c r="R635" s="5">
        <f>IFERROR((P635*100000)+Q635,"")</f>
        <v/>
      </c>
    </row>
    <row r="636" ht="20.25" customHeight="1" s="106">
      <c r="A636" s="56" t="n"/>
      <c r="B636" s="15" t="n">
        <v>632</v>
      </c>
      <c r="C636" s="15" t="n"/>
      <c r="D636" s="15" t="n"/>
      <c r="E636" s="16" t="n"/>
      <c r="F636" s="15" t="n"/>
      <c r="G636" s="15" t="n"/>
      <c r="H636" s="16" t="n"/>
      <c r="I636" s="15">
        <f>IF(ISBLANK($E636)," ",IF($E636&gt;$H636,$C636,$F636))</f>
        <v/>
      </c>
      <c r="J636" s="15">
        <f>IF(ISBLANK($E636)," ",IF($E636&gt;$H636,$D636,$G636))</f>
        <v/>
      </c>
      <c r="K636" s="15" t="n"/>
      <c r="L636" s="15">
        <f>E636-H636</f>
        <v/>
      </c>
      <c r="M636" s="5">
        <f>IF(ISBLANK($E636),"",VLOOKUP($I636,PLAYERS_IDS,2,FALSE)*VLOOKUP($J636,PLAYERS_IDS,2,FALSE))</f>
        <v/>
      </c>
      <c r="N636" s="25">
        <f>IF(ISBLANK($E636)," ", COUNTIF($M$4:$M636,$M636))</f>
        <v/>
      </c>
      <c r="O636" s="25">
        <f>IF(N636 =" ", " ", IF(N636=1,15,(IF(N636=2,15,(IF(N636=3,15,15))))))</f>
        <v/>
      </c>
      <c r="P636" s="5">
        <f>IF(ISBLANK($F636),"",VLOOKUP($C636,PLAYERS_IDS,2,FALSE)*VLOOKUP($D636,PLAYERS_IDS,2,FALSE))</f>
        <v/>
      </c>
      <c r="Q636" s="5">
        <f>IF(ISBLANK($F636), "",VLOOKUP($F636,PLAYERS_IDS,2,FALSE)*VLOOKUP($G636,PLAYERS_IDS,2,FALSE))</f>
        <v/>
      </c>
      <c r="R636" s="5">
        <f>IFERROR((P636*100000)+Q636,"")</f>
        <v/>
      </c>
    </row>
    <row r="637" ht="20.25" customHeight="1" s="106">
      <c r="A637" s="56" t="n"/>
      <c r="B637" s="15" t="n">
        <v>633</v>
      </c>
      <c r="C637" s="15" t="n"/>
      <c r="D637" s="15" t="n"/>
      <c r="E637" s="16" t="n"/>
      <c r="F637" s="15" t="n"/>
      <c r="G637" s="15" t="n"/>
      <c r="H637" s="16" t="n"/>
      <c r="I637" s="15">
        <f>IF(ISBLANK($E637)," ",IF($E637&gt;$H637,$C637,$F637))</f>
        <v/>
      </c>
      <c r="J637" s="15">
        <f>IF(ISBLANK($E637)," ",IF($E637&gt;$H637,$D637,$G637))</f>
        <v/>
      </c>
      <c r="K637" s="15" t="n"/>
      <c r="L637" s="15">
        <f>E637-H637</f>
        <v/>
      </c>
      <c r="M637" s="5">
        <f>IF(ISBLANK($E637),"",VLOOKUP($I637,PLAYERS_IDS,2,FALSE)*VLOOKUP($J637,PLAYERS_IDS,2,FALSE))</f>
        <v/>
      </c>
      <c r="N637" s="25">
        <f>IF(ISBLANK($E637)," ", COUNTIF($M$4:$M637,$M637))</f>
        <v/>
      </c>
      <c r="O637" s="25">
        <f>IF(N637 =" ", " ", IF(N637=1,15,(IF(N637=2,15,(IF(N637=3,15,15))))))</f>
        <v/>
      </c>
      <c r="P637" s="5">
        <f>IF(ISBLANK($F637),"",VLOOKUP($C637,PLAYERS_IDS,2,FALSE)*VLOOKUP($D637,PLAYERS_IDS,2,FALSE))</f>
        <v/>
      </c>
      <c r="Q637" s="5">
        <f>IF(ISBLANK($F637), "",VLOOKUP($F637,PLAYERS_IDS,2,FALSE)*VLOOKUP($G637,PLAYERS_IDS,2,FALSE))</f>
        <v/>
      </c>
      <c r="R637" s="5">
        <f>IFERROR((P637*100000)+Q637,"")</f>
        <v/>
      </c>
    </row>
    <row r="638" ht="20.25" customHeight="1" s="106">
      <c r="A638" s="56" t="n"/>
      <c r="B638" s="15" t="n">
        <v>634</v>
      </c>
      <c r="C638" s="15" t="n"/>
      <c r="D638" s="15" t="n"/>
      <c r="E638" s="16" t="n"/>
      <c r="F638" s="15" t="n"/>
      <c r="G638" s="15" t="n"/>
      <c r="H638" s="16" t="n"/>
      <c r="I638" s="15">
        <f>IF(ISBLANK($E638)," ",IF($E638&gt;$H638,$C638,$F638))</f>
        <v/>
      </c>
      <c r="J638" s="15">
        <f>IF(ISBLANK($E638)," ",IF($E638&gt;$H638,$D638,$G638))</f>
        <v/>
      </c>
      <c r="K638" s="15" t="n"/>
      <c r="L638" s="15">
        <f>E638-H638</f>
        <v/>
      </c>
      <c r="M638" s="5">
        <f>IF(ISBLANK($E638),"",VLOOKUP($I638,PLAYERS_IDS,2,FALSE)*VLOOKUP($J638,PLAYERS_IDS,2,FALSE))</f>
        <v/>
      </c>
      <c r="N638" s="25">
        <f>IF(ISBLANK($E638)," ", COUNTIF($M$4:$M638,$M638))</f>
        <v/>
      </c>
      <c r="O638" s="25">
        <f>IF(N638 =" ", " ", IF(N638=1,15,(IF(N638=2,15,(IF(N638=3,15,15))))))</f>
        <v/>
      </c>
      <c r="P638" s="5">
        <f>IF(ISBLANK($F638),"",VLOOKUP($C638,PLAYERS_IDS,2,FALSE)*VLOOKUP($D638,PLAYERS_IDS,2,FALSE))</f>
        <v/>
      </c>
      <c r="Q638" s="5">
        <f>IF(ISBLANK($F638), "",VLOOKUP($F638,PLAYERS_IDS,2,FALSE)*VLOOKUP($G638,PLAYERS_IDS,2,FALSE))</f>
        <v/>
      </c>
      <c r="R638" s="5">
        <f>IFERROR((P638*100000)+Q638,"")</f>
        <v/>
      </c>
    </row>
    <row r="639" ht="20.25" customHeight="1" s="106">
      <c r="A639" s="56" t="n"/>
      <c r="B639" s="15" t="n">
        <v>635</v>
      </c>
      <c r="C639" s="15" t="n"/>
      <c r="D639" s="15" t="n"/>
      <c r="E639" s="16" t="n"/>
      <c r="F639" s="15" t="n"/>
      <c r="G639" s="15" t="n"/>
      <c r="H639" s="16" t="n"/>
      <c r="I639" s="15">
        <f>IF(ISBLANK($E639)," ",IF($E639&gt;$H639,$C639,$F639))</f>
        <v/>
      </c>
      <c r="J639" s="15">
        <f>IF(ISBLANK($E639)," ",IF($E639&gt;$H639,$D639,$G639))</f>
        <v/>
      </c>
      <c r="K639" s="15" t="n"/>
      <c r="L639" s="15">
        <f>E639-H639</f>
        <v/>
      </c>
      <c r="M639" s="5">
        <f>IF(ISBLANK($E639),"",VLOOKUP($I639,PLAYERS_IDS,2,FALSE)*VLOOKUP($J639,PLAYERS_IDS,2,FALSE))</f>
        <v/>
      </c>
      <c r="N639" s="25">
        <f>IF(ISBLANK($E639)," ", COUNTIF($M$4:$M639,$M639))</f>
        <v/>
      </c>
      <c r="O639" s="25">
        <f>IF(N639 =" ", " ", IF(N639=1,15,(IF(N639=2,15,(IF(N639=3,15,15))))))</f>
        <v/>
      </c>
      <c r="P639" s="5">
        <f>IF(ISBLANK($F639),"",VLOOKUP($C639,PLAYERS_IDS,2,FALSE)*VLOOKUP($D639,PLAYERS_IDS,2,FALSE))</f>
        <v/>
      </c>
      <c r="Q639" s="5">
        <f>IF(ISBLANK($F639), "",VLOOKUP($F639,PLAYERS_IDS,2,FALSE)*VLOOKUP($G639,PLAYERS_IDS,2,FALSE))</f>
        <v/>
      </c>
      <c r="R639" s="5">
        <f>IFERROR((P639*100000)+Q639,"")</f>
        <v/>
      </c>
    </row>
    <row r="640" ht="20.25" customHeight="1" s="106">
      <c r="A640" s="56" t="n"/>
      <c r="B640" s="15" t="n">
        <v>636</v>
      </c>
      <c r="C640" s="15" t="n"/>
      <c r="D640" s="15" t="n"/>
      <c r="E640" s="16" t="n"/>
      <c r="F640" s="15" t="n"/>
      <c r="G640" s="15" t="n"/>
      <c r="H640" s="16" t="n"/>
      <c r="I640" s="15">
        <f>IF(ISBLANK($E640)," ",IF($E640&gt;$H640,$C640,$F640))</f>
        <v/>
      </c>
      <c r="J640" s="15">
        <f>IF(ISBLANK($E640)," ",IF($E640&gt;$H640,$D640,$G640))</f>
        <v/>
      </c>
      <c r="K640" s="15" t="n"/>
      <c r="L640" s="15">
        <f>E640-H640</f>
        <v/>
      </c>
      <c r="M640" s="5">
        <f>IF(ISBLANK($E640),"",VLOOKUP($I640,PLAYERS_IDS,2,FALSE)*VLOOKUP($J640,PLAYERS_IDS,2,FALSE))</f>
        <v/>
      </c>
      <c r="N640" s="25">
        <f>IF(ISBLANK($E640)," ", COUNTIF($M$4:$M640,$M640))</f>
        <v/>
      </c>
      <c r="O640" s="25">
        <f>IF(N640 =" ", " ", IF(N640=1,15,(IF(N640=2,15,(IF(N640=3,15,15))))))</f>
        <v/>
      </c>
      <c r="P640" s="5">
        <f>IF(ISBLANK($F640),"",VLOOKUP($C640,PLAYERS_IDS,2,FALSE)*VLOOKUP($D640,PLAYERS_IDS,2,FALSE))</f>
        <v/>
      </c>
      <c r="Q640" s="5">
        <f>IF(ISBLANK($F640), "",VLOOKUP($F640,PLAYERS_IDS,2,FALSE)*VLOOKUP($G640,PLAYERS_IDS,2,FALSE))</f>
        <v/>
      </c>
      <c r="R640" s="5">
        <f>IFERROR((P640*100000)+Q640,"")</f>
        <v/>
      </c>
    </row>
    <row r="641" ht="20.25" customHeight="1" s="106">
      <c r="A641" s="56" t="n"/>
      <c r="B641" s="15" t="n">
        <v>637</v>
      </c>
      <c r="C641" s="15" t="n"/>
      <c r="D641" s="15" t="n"/>
      <c r="E641" s="16" t="n"/>
      <c r="F641" s="15" t="n"/>
      <c r="G641" s="15" t="n"/>
      <c r="H641" s="16" t="n"/>
      <c r="I641" s="15">
        <f>IF(ISBLANK($E641)," ",IF($E641&gt;$H641,$C641,$F641))</f>
        <v/>
      </c>
      <c r="J641" s="15">
        <f>IF(ISBLANK($E641)," ",IF($E641&gt;$H641,$D641,$G641))</f>
        <v/>
      </c>
      <c r="K641" s="15" t="n"/>
      <c r="L641" s="15">
        <f>E641-H641</f>
        <v/>
      </c>
      <c r="M641" s="5">
        <f>IF(ISBLANK($E641),"",VLOOKUP($I641,PLAYERS_IDS,2,FALSE)*VLOOKUP($J641,PLAYERS_IDS,2,FALSE))</f>
        <v/>
      </c>
      <c r="N641" s="25">
        <f>IF(ISBLANK($E641)," ", COUNTIF($M$4:$M641,$M641))</f>
        <v/>
      </c>
      <c r="O641" s="25">
        <f>IF(N641 =" ", " ", IF(N641=1,15,(IF(N641=2,15,(IF(N641=3,15,15))))))</f>
        <v/>
      </c>
      <c r="P641" s="5">
        <f>IF(ISBLANK($F641),"",VLOOKUP($C641,PLAYERS_IDS,2,FALSE)*VLOOKUP($D641,PLAYERS_IDS,2,FALSE))</f>
        <v/>
      </c>
      <c r="Q641" s="5">
        <f>IF(ISBLANK($F641), "",VLOOKUP($F641,PLAYERS_IDS,2,FALSE)*VLOOKUP($G641,PLAYERS_IDS,2,FALSE))</f>
        <v/>
      </c>
      <c r="R641" s="5">
        <f>IFERROR((P641*100000)+Q641,"")</f>
        <v/>
      </c>
    </row>
    <row r="642" ht="20.25" customHeight="1" s="106">
      <c r="A642" s="56" t="n"/>
      <c r="B642" s="15" t="n">
        <v>638</v>
      </c>
      <c r="C642" s="15" t="n"/>
      <c r="D642" s="15" t="n"/>
      <c r="E642" s="16" t="n"/>
      <c r="F642" s="15" t="n"/>
      <c r="G642" s="15" t="n"/>
      <c r="H642" s="16" t="n"/>
      <c r="I642" s="15">
        <f>IF(ISBLANK($E642)," ",IF($E642&gt;$H642,$C642,$F642))</f>
        <v/>
      </c>
      <c r="J642" s="15">
        <f>IF(ISBLANK($E642)," ",IF($E642&gt;$H642,$D642,$G642))</f>
        <v/>
      </c>
      <c r="K642" s="15" t="n"/>
      <c r="L642" s="15">
        <f>E642-H642</f>
        <v/>
      </c>
      <c r="M642" s="5">
        <f>IF(ISBLANK($E642),"",VLOOKUP($I642,PLAYERS_IDS,2,FALSE)*VLOOKUP($J642,PLAYERS_IDS,2,FALSE))</f>
        <v/>
      </c>
      <c r="N642" s="25">
        <f>IF(ISBLANK($E642)," ", COUNTIF($M$4:$M642,$M642))</f>
        <v/>
      </c>
      <c r="O642" s="25">
        <f>IF(N642 =" ", " ", IF(N642=1,15,(IF(N642=2,15,(IF(N642=3,15,15))))))</f>
        <v/>
      </c>
      <c r="P642" s="5">
        <f>IF(ISBLANK($F642),"",VLOOKUP($C642,PLAYERS_IDS,2,FALSE)*VLOOKUP($D642,PLAYERS_IDS,2,FALSE))</f>
        <v/>
      </c>
      <c r="Q642" s="5">
        <f>IF(ISBLANK($F642), "",VLOOKUP($F642,PLAYERS_IDS,2,FALSE)*VLOOKUP($G642,PLAYERS_IDS,2,FALSE))</f>
        <v/>
      </c>
      <c r="R642" s="5">
        <f>IFERROR((P642*100000)+Q642,"")</f>
        <v/>
      </c>
    </row>
    <row r="643" ht="20.25" customHeight="1" s="106">
      <c r="A643" s="56" t="n"/>
      <c r="B643" s="15" t="n">
        <v>639</v>
      </c>
      <c r="C643" s="15" t="n"/>
      <c r="D643" s="15" t="n"/>
      <c r="E643" s="16" t="n"/>
      <c r="F643" s="15" t="n"/>
      <c r="G643" s="15" t="n"/>
      <c r="H643" s="16" t="n"/>
      <c r="I643" s="15">
        <f>IF(ISBLANK($E643)," ",IF($E643&gt;$H643,$C643,$F643))</f>
        <v/>
      </c>
      <c r="J643" s="15">
        <f>IF(ISBLANK($E643)," ",IF($E643&gt;$H643,$D643,$G643))</f>
        <v/>
      </c>
      <c r="K643" s="15" t="n"/>
      <c r="L643" s="15">
        <f>E643-H643</f>
        <v/>
      </c>
      <c r="M643" s="5">
        <f>IF(ISBLANK($E643),"",VLOOKUP($I643,PLAYERS_IDS,2,FALSE)*VLOOKUP($J643,PLAYERS_IDS,2,FALSE))</f>
        <v/>
      </c>
      <c r="N643" s="25">
        <f>IF(ISBLANK($E643)," ", COUNTIF($M$4:$M643,$M643))</f>
        <v/>
      </c>
      <c r="O643" s="25">
        <f>IF(N643 =" ", " ", IF(N643=1,15,(IF(N643=2,15,(IF(N643=3,15,15))))))</f>
        <v/>
      </c>
      <c r="P643" s="5">
        <f>IF(ISBLANK($F643),"",VLOOKUP($C643,PLAYERS_IDS,2,FALSE)*VLOOKUP($D643,PLAYERS_IDS,2,FALSE))</f>
        <v/>
      </c>
      <c r="Q643" s="5">
        <f>IF(ISBLANK($F643), "",VLOOKUP($F643,PLAYERS_IDS,2,FALSE)*VLOOKUP($G643,PLAYERS_IDS,2,FALSE))</f>
        <v/>
      </c>
      <c r="R643" s="5">
        <f>IFERROR((P643*100000)+Q643,"")</f>
        <v/>
      </c>
    </row>
    <row r="644" ht="20.25" customHeight="1" s="106">
      <c r="A644" s="56" t="n"/>
      <c r="B644" s="15" t="n">
        <v>640</v>
      </c>
      <c r="C644" s="15" t="n"/>
      <c r="D644" s="15" t="n"/>
      <c r="E644" s="16" t="n"/>
      <c r="F644" s="15" t="n"/>
      <c r="G644" s="15" t="n"/>
      <c r="H644" s="16" t="n"/>
      <c r="I644" s="15">
        <f>IF(ISBLANK($E644)," ",IF($E644&gt;$H644,$C644,$F644))</f>
        <v/>
      </c>
      <c r="J644" s="15">
        <f>IF(ISBLANK($E644)," ",IF($E644&gt;$H644,$D644,$G644))</f>
        <v/>
      </c>
      <c r="K644" s="15" t="n"/>
      <c r="L644" s="15">
        <f>E644-H644</f>
        <v/>
      </c>
      <c r="M644" s="5">
        <f>IF(ISBLANK($E644),"",VLOOKUP($I644,PLAYERS_IDS,2,FALSE)*VLOOKUP($J644,PLAYERS_IDS,2,FALSE))</f>
        <v/>
      </c>
      <c r="N644" s="25">
        <f>IF(ISBLANK($E644)," ", COUNTIF($M$4:$M644,$M644))</f>
        <v/>
      </c>
      <c r="O644" s="25">
        <f>IF(N644 =" ", " ", IF(N644=1,15,(IF(N644=2,15,(IF(N644=3,15,15))))))</f>
        <v/>
      </c>
      <c r="P644" s="5">
        <f>IF(ISBLANK($F644),"",VLOOKUP($C644,PLAYERS_IDS,2,FALSE)*VLOOKUP($D644,PLAYERS_IDS,2,FALSE))</f>
        <v/>
      </c>
      <c r="Q644" s="5">
        <f>IF(ISBLANK($F644), "",VLOOKUP($F644,PLAYERS_IDS,2,FALSE)*VLOOKUP($G644,PLAYERS_IDS,2,FALSE))</f>
        <v/>
      </c>
      <c r="R644" s="5">
        <f>IFERROR((P644*100000)+Q644,"")</f>
        <v/>
      </c>
    </row>
    <row r="645" ht="20.25" customHeight="1" s="106">
      <c r="A645" s="56" t="n"/>
      <c r="B645" s="15" t="n">
        <v>641</v>
      </c>
      <c r="C645" s="15" t="n"/>
      <c r="D645" s="15" t="n"/>
      <c r="E645" s="16" t="n"/>
      <c r="F645" s="15" t="n"/>
      <c r="G645" s="15" t="n"/>
      <c r="H645" s="16" t="n"/>
      <c r="I645" s="15">
        <f>IF(ISBLANK($E645)," ",IF($E645&gt;$H645,$C645,$F645))</f>
        <v/>
      </c>
      <c r="J645" s="15">
        <f>IF(ISBLANK($E645)," ",IF($E645&gt;$H645,$D645,$G645))</f>
        <v/>
      </c>
      <c r="K645" s="15" t="n"/>
      <c r="L645" s="15">
        <f>E645-H645</f>
        <v/>
      </c>
      <c r="M645" s="5">
        <f>IF(ISBLANK($E645),"",VLOOKUP($I645,PLAYERS_IDS,2,FALSE)*VLOOKUP($J645,PLAYERS_IDS,2,FALSE))</f>
        <v/>
      </c>
      <c r="N645" s="25">
        <f>IF(ISBLANK($E645)," ", COUNTIF($M$4:$M645,$M645))</f>
        <v/>
      </c>
      <c r="O645" s="25">
        <f>IF(N645 =" ", " ", IF(N645=1,15,(IF(N645=2,15,(IF(N645=3,15,15))))))</f>
        <v/>
      </c>
      <c r="P645" s="5">
        <f>IF(ISBLANK($F645),"",VLOOKUP($C645,PLAYERS_IDS,2,FALSE)*VLOOKUP($D645,PLAYERS_IDS,2,FALSE))</f>
        <v/>
      </c>
      <c r="Q645" s="5">
        <f>IF(ISBLANK($F645), "",VLOOKUP($F645,PLAYERS_IDS,2,FALSE)*VLOOKUP($G645,PLAYERS_IDS,2,FALSE))</f>
        <v/>
      </c>
      <c r="R645" s="5">
        <f>IFERROR((P645*100000)+Q645,"")</f>
        <v/>
      </c>
    </row>
    <row r="646" ht="20.25" customHeight="1" s="106">
      <c r="A646" s="56" t="n"/>
      <c r="B646" s="15" t="n">
        <v>642</v>
      </c>
      <c r="C646" s="15" t="n"/>
      <c r="D646" s="15" t="n"/>
      <c r="E646" s="16" t="n"/>
      <c r="F646" s="15" t="n"/>
      <c r="G646" s="15" t="n"/>
      <c r="H646" s="16" t="n"/>
      <c r="I646" s="15">
        <f>IF(ISBLANK($E646)," ",IF($E646&gt;$H646,$C646,$F646))</f>
        <v/>
      </c>
      <c r="J646" s="15">
        <f>IF(ISBLANK($E646)," ",IF($E646&gt;$H646,$D646,$G646))</f>
        <v/>
      </c>
      <c r="K646" s="15" t="n"/>
      <c r="L646" s="15">
        <f>E646-H646</f>
        <v/>
      </c>
      <c r="M646" s="5">
        <f>IF(ISBLANK($E646),"",VLOOKUP($I646,PLAYERS_IDS,2,FALSE)*VLOOKUP($J646,PLAYERS_IDS,2,FALSE))</f>
        <v/>
      </c>
      <c r="N646" s="25">
        <f>IF(ISBLANK($E646)," ", COUNTIF($M$4:$M646,$M646))</f>
        <v/>
      </c>
      <c r="O646" s="25">
        <f>IF(N646 =" ", " ", IF(N646=1,15,(IF(N646=2,15,(IF(N646=3,15,15))))))</f>
        <v/>
      </c>
      <c r="P646" s="5">
        <f>IF(ISBLANK($F646),"",VLOOKUP($C646,PLAYERS_IDS,2,FALSE)*VLOOKUP($D646,PLAYERS_IDS,2,FALSE))</f>
        <v/>
      </c>
      <c r="Q646" s="5">
        <f>IF(ISBLANK($F646), "",VLOOKUP($F646,PLAYERS_IDS,2,FALSE)*VLOOKUP($G646,PLAYERS_IDS,2,FALSE))</f>
        <v/>
      </c>
      <c r="R646" s="5">
        <f>IFERROR((P646*100000)+Q646,"")</f>
        <v/>
      </c>
    </row>
    <row r="647" ht="20.25" customHeight="1" s="106">
      <c r="A647" s="56" t="n"/>
      <c r="B647" s="15" t="n">
        <v>643</v>
      </c>
      <c r="C647" s="15" t="n"/>
      <c r="D647" s="15" t="n"/>
      <c r="E647" s="16" t="n"/>
      <c r="F647" s="15" t="n"/>
      <c r="G647" s="15" t="n"/>
      <c r="H647" s="16" t="n"/>
      <c r="I647" s="15">
        <f>IF(ISBLANK($E647)," ",IF($E647&gt;$H647,$C647,$F647))</f>
        <v/>
      </c>
      <c r="J647" s="15">
        <f>IF(ISBLANK($E647)," ",IF($E647&gt;$H647,$D647,$G647))</f>
        <v/>
      </c>
      <c r="K647" s="15" t="n"/>
      <c r="L647" s="15">
        <f>E647-H647</f>
        <v/>
      </c>
      <c r="M647" s="5">
        <f>IF(ISBLANK($E647),"",VLOOKUP($I647,PLAYERS_IDS,2,FALSE)*VLOOKUP($J647,PLAYERS_IDS,2,FALSE))</f>
        <v/>
      </c>
      <c r="N647" s="25">
        <f>IF(ISBLANK($E647)," ", COUNTIF($M$4:$M647,$M647))</f>
        <v/>
      </c>
      <c r="O647" s="25">
        <f>IF(N647 =" ", " ", IF(N647=1,15,(IF(N647=2,15,(IF(N647=3,15,15))))))</f>
        <v/>
      </c>
      <c r="P647" s="5">
        <f>IF(ISBLANK($F647),"",VLOOKUP($C647,PLAYERS_IDS,2,FALSE)*VLOOKUP($D647,PLAYERS_IDS,2,FALSE))</f>
        <v/>
      </c>
      <c r="Q647" s="5">
        <f>IF(ISBLANK($F647), "",VLOOKUP($F647,PLAYERS_IDS,2,FALSE)*VLOOKUP($G647,PLAYERS_IDS,2,FALSE))</f>
        <v/>
      </c>
      <c r="R647" s="5">
        <f>IFERROR((P647*100000)+Q647,"")</f>
        <v/>
      </c>
    </row>
    <row r="648" ht="20.25" customHeight="1" s="106">
      <c r="A648" s="56" t="n"/>
      <c r="B648" s="15" t="n">
        <v>644</v>
      </c>
      <c r="C648" s="15" t="n"/>
      <c r="D648" s="15" t="n"/>
      <c r="E648" s="16" t="n"/>
      <c r="F648" s="15" t="n"/>
      <c r="G648" s="15" t="n"/>
      <c r="H648" s="16" t="n"/>
      <c r="I648" s="15">
        <f>IF(ISBLANK($E648)," ",IF($E648&gt;$H648,$C648,$F648))</f>
        <v/>
      </c>
      <c r="J648" s="15">
        <f>IF(ISBLANK($E648)," ",IF($E648&gt;$H648,$D648,$G648))</f>
        <v/>
      </c>
      <c r="K648" s="15" t="n"/>
      <c r="L648" s="15">
        <f>E648-H648</f>
        <v/>
      </c>
      <c r="M648" s="5">
        <f>IF(ISBLANK($E648),"",VLOOKUP($I648,PLAYERS_IDS,2,FALSE)*VLOOKUP($J648,PLAYERS_IDS,2,FALSE))</f>
        <v/>
      </c>
      <c r="N648" s="25">
        <f>IF(ISBLANK($E648)," ", COUNTIF($M$4:$M648,$M648))</f>
        <v/>
      </c>
      <c r="O648" s="25">
        <f>IF(N648 =" ", " ", IF(N648=1,15,(IF(N648=2,15,(IF(N648=3,15,15))))))</f>
        <v/>
      </c>
      <c r="P648" s="5">
        <f>IF(ISBLANK($F648),"",VLOOKUP($C648,PLAYERS_IDS,2,FALSE)*VLOOKUP($D648,PLAYERS_IDS,2,FALSE))</f>
        <v/>
      </c>
      <c r="Q648" s="5">
        <f>IF(ISBLANK($F648), "",VLOOKUP($F648,PLAYERS_IDS,2,FALSE)*VLOOKUP($G648,PLAYERS_IDS,2,FALSE))</f>
        <v/>
      </c>
      <c r="R648" s="5">
        <f>IFERROR((P648*100000)+Q648,"")</f>
        <v/>
      </c>
    </row>
    <row r="649" ht="20.25" customHeight="1" s="106">
      <c r="A649" s="56" t="n"/>
      <c r="B649" s="15" t="n">
        <v>645</v>
      </c>
      <c r="C649" s="15" t="n"/>
      <c r="D649" s="15" t="n"/>
      <c r="E649" s="16" t="n"/>
      <c r="F649" s="15" t="n"/>
      <c r="G649" s="15" t="n"/>
      <c r="H649" s="16" t="n"/>
      <c r="I649" s="15">
        <f>IF(ISBLANK($E649)," ",IF($E649&gt;$H649,$C649,$F649))</f>
        <v/>
      </c>
      <c r="J649" s="15">
        <f>IF(ISBLANK($E649)," ",IF($E649&gt;$H649,$D649,$G649))</f>
        <v/>
      </c>
      <c r="K649" s="15" t="n"/>
      <c r="L649" s="15">
        <f>E649-H649</f>
        <v/>
      </c>
      <c r="M649" s="5">
        <f>IF(ISBLANK($E649),"",VLOOKUP($I649,PLAYERS_IDS,2,FALSE)*VLOOKUP($J649,PLAYERS_IDS,2,FALSE))</f>
        <v/>
      </c>
      <c r="N649" s="25">
        <f>IF(ISBLANK($E649)," ", COUNTIF($M$4:$M649,$M649))</f>
        <v/>
      </c>
      <c r="O649" s="25">
        <f>IF(N649 =" ", " ", IF(N649=1,15,(IF(N649=2,15,(IF(N649=3,15,15))))))</f>
        <v/>
      </c>
      <c r="P649" s="5">
        <f>IF(ISBLANK($F649),"",VLOOKUP($C649,PLAYERS_IDS,2,FALSE)*VLOOKUP($D649,PLAYERS_IDS,2,FALSE))</f>
        <v/>
      </c>
      <c r="Q649" s="5">
        <f>IF(ISBLANK($F649), "",VLOOKUP($F649,PLAYERS_IDS,2,FALSE)*VLOOKUP($G649,PLAYERS_IDS,2,FALSE))</f>
        <v/>
      </c>
      <c r="R649" s="5">
        <f>IFERROR((P649*100000)+Q649,"")</f>
        <v/>
      </c>
    </row>
    <row r="650" ht="20.25" customHeight="1" s="106">
      <c r="A650" s="56" t="n"/>
      <c r="B650" s="15" t="n">
        <v>646</v>
      </c>
      <c r="C650" s="15" t="n"/>
      <c r="D650" s="15" t="n"/>
      <c r="E650" s="16" t="n"/>
      <c r="F650" s="15" t="n"/>
      <c r="G650" s="15" t="n"/>
      <c r="H650" s="16" t="n"/>
      <c r="I650" s="15">
        <f>IF(ISBLANK($E650)," ",IF($E650&gt;$H650,$C650,$F650))</f>
        <v/>
      </c>
      <c r="J650" s="15">
        <f>IF(ISBLANK($E650)," ",IF($E650&gt;$H650,$D650,$G650))</f>
        <v/>
      </c>
      <c r="K650" s="15" t="n"/>
      <c r="L650" s="15">
        <f>E650-H650</f>
        <v/>
      </c>
      <c r="M650" s="5">
        <f>IF(ISBLANK($E650),"",VLOOKUP($I650,PLAYERS_IDS,2,FALSE)*VLOOKUP($J650,PLAYERS_IDS,2,FALSE))</f>
        <v/>
      </c>
      <c r="N650" s="25">
        <f>IF(ISBLANK($E650)," ", COUNTIF($M$4:$M650,$M650))</f>
        <v/>
      </c>
      <c r="O650" s="25">
        <f>IF(N650 =" ", " ", IF(N650=1,15,(IF(N650=2,15,(IF(N650=3,15,15))))))</f>
        <v/>
      </c>
      <c r="P650" s="5">
        <f>IF(ISBLANK($F650),"",VLOOKUP($C650,PLAYERS_IDS,2,FALSE)*VLOOKUP($D650,PLAYERS_IDS,2,FALSE))</f>
        <v/>
      </c>
      <c r="Q650" s="5">
        <f>IF(ISBLANK($F650), "",VLOOKUP($F650,PLAYERS_IDS,2,FALSE)*VLOOKUP($G650,PLAYERS_IDS,2,FALSE))</f>
        <v/>
      </c>
      <c r="R650" s="5">
        <f>IFERROR((P650*100000)+Q650,"")</f>
        <v/>
      </c>
    </row>
    <row r="651" ht="20.25" customHeight="1" s="106">
      <c r="A651" s="56" t="n"/>
      <c r="B651" s="15" t="n">
        <v>647</v>
      </c>
      <c r="C651" s="15" t="n"/>
      <c r="D651" s="15" t="n"/>
      <c r="E651" s="16" t="n"/>
      <c r="F651" s="15" t="n"/>
      <c r="G651" s="15" t="n"/>
      <c r="H651" s="16" t="n"/>
      <c r="I651" s="15">
        <f>IF(ISBLANK($E651)," ",IF($E651&gt;$H651,$C651,$F651))</f>
        <v/>
      </c>
      <c r="J651" s="15">
        <f>IF(ISBLANK($E651)," ",IF($E651&gt;$H651,$D651,$G651))</f>
        <v/>
      </c>
      <c r="K651" s="15" t="n"/>
      <c r="L651" s="15">
        <f>E651-H651</f>
        <v/>
      </c>
      <c r="M651" s="5">
        <f>IF(ISBLANK($E651),"",VLOOKUP($I651,PLAYERS_IDS,2,FALSE)*VLOOKUP($J651,PLAYERS_IDS,2,FALSE))</f>
        <v/>
      </c>
      <c r="N651" s="25">
        <f>IF(ISBLANK($E651)," ", COUNTIF($M$4:$M651,$M651))</f>
        <v/>
      </c>
      <c r="O651" s="25">
        <f>IF(N651 =" ", " ", IF(N651=1,15,(IF(N651=2,15,(IF(N651=3,15,15))))))</f>
        <v/>
      </c>
      <c r="P651" s="5">
        <f>IF(ISBLANK($F651),"",VLOOKUP($C651,PLAYERS_IDS,2,FALSE)*VLOOKUP($D651,PLAYERS_IDS,2,FALSE))</f>
        <v/>
      </c>
      <c r="Q651" s="5">
        <f>IF(ISBLANK($F651), "",VLOOKUP($F651,PLAYERS_IDS,2,FALSE)*VLOOKUP($G651,PLAYERS_IDS,2,FALSE))</f>
        <v/>
      </c>
      <c r="R651" s="5">
        <f>IFERROR((P651*100000)+Q651,"")</f>
        <v/>
      </c>
    </row>
    <row r="652" ht="20.25" customHeight="1" s="106">
      <c r="A652" s="56" t="n"/>
      <c r="B652" s="15" t="n">
        <v>648</v>
      </c>
      <c r="C652" s="15" t="n"/>
      <c r="D652" s="15" t="n"/>
      <c r="E652" s="16" t="n"/>
      <c r="F652" s="15" t="n"/>
      <c r="G652" s="15" t="n"/>
      <c r="H652" s="16" t="n"/>
      <c r="I652" s="15">
        <f>IF(ISBLANK($E652)," ",IF($E652&gt;$H652,$C652,$F652))</f>
        <v/>
      </c>
      <c r="J652" s="15">
        <f>IF(ISBLANK($E652)," ",IF($E652&gt;$H652,$D652,$G652))</f>
        <v/>
      </c>
      <c r="K652" s="15" t="n"/>
      <c r="L652" s="15">
        <f>E652-H652</f>
        <v/>
      </c>
      <c r="M652" s="5">
        <f>IF(ISBLANK($E652),"",VLOOKUP($I652,PLAYERS_IDS,2,FALSE)*VLOOKUP($J652,PLAYERS_IDS,2,FALSE))</f>
        <v/>
      </c>
      <c r="N652" s="25">
        <f>IF(ISBLANK($E652)," ", COUNTIF($M$4:$M652,$M652))</f>
        <v/>
      </c>
      <c r="O652" s="25">
        <f>IF(N652 =" ", " ", IF(N652=1,15,(IF(N652=2,15,(IF(N652=3,15,15))))))</f>
        <v/>
      </c>
      <c r="P652" s="5">
        <f>IF(ISBLANK($F652),"",VLOOKUP($C652,PLAYERS_IDS,2,FALSE)*VLOOKUP($D652,PLAYERS_IDS,2,FALSE))</f>
        <v/>
      </c>
      <c r="Q652" s="5">
        <f>IF(ISBLANK($F652), "",VLOOKUP($F652,PLAYERS_IDS,2,FALSE)*VLOOKUP($G652,PLAYERS_IDS,2,FALSE))</f>
        <v/>
      </c>
      <c r="R652" s="5">
        <f>IFERROR((P652*100000)+Q652,"")</f>
        <v/>
      </c>
    </row>
    <row r="653" ht="20.25" customHeight="1" s="106">
      <c r="A653" s="56" t="n"/>
      <c r="B653" s="15" t="n">
        <v>649</v>
      </c>
      <c r="C653" s="15" t="n"/>
      <c r="D653" s="15" t="n"/>
      <c r="E653" s="16" t="n"/>
      <c r="F653" s="15" t="n"/>
      <c r="G653" s="15" t="n"/>
      <c r="H653" s="16" t="n"/>
      <c r="I653" s="15">
        <f>IF(ISBLANK($E653)," ",IF($E653&gt;$H653,$C653,$F653))</f>
        <v/>
      </c>
      <c r="J653" s="15">
        <f>IF(ISBLANK($E653)," ",IF($E653&gt;$H653,$D653,$G653))</f>
        <v/>
      </c>
      <c r="K653" s="15" t="n"/>
      <c r="L653" s="15">
        <f>E653-H653</f>
        <v/>
      </c>
      <c r="M653" s="5">
        <f>IF(ISBLANK($E653),"",VLOOKUP($I653,PLAYERS_IDS,2,FALSE)*VLOOKUP($J653,PLAYERS_IDS,2,FALSE))</f>
        <v/>
      </c>
      <c r="N653" s="25">
        <f>IF(ISBLANK($E653)," ", COUNTIF($M$4:$M653,$M653))</f>
        <v/>
      </c>
      <c r="O653" s="25">
        <f>IF(N653 =" ", " ", IF(N653=1,15,(IF(N653=2,15,(IF(N653=3,15,15))))))</f>
        <v/>
      </c>
      <c r="P653" s="5">
        <f>IF(ISBLANK($F653),"",VLOOKUP($C653,PLAYERS_IDS,2,FALSE)*VLOOKUP($D653,PLAYERS_IDS,2,FALSE))</f>
        <v/>
      </c>
      <c r="Q653" s="5">
        <f>IF(ISBLANK($F653), "",VLOOKUP($F653,PLAYERS_IDS,2,FALSE)*VLOOKUP($G653,PLAYERS_IDS,2,FALSE))</f>
        <v/>
      </c>
      <c r="R653" s="5">
        <f>IFERROR((P653*100000)+Q653,"")</f>
        <v/>
      </c>
    </row>
    <row r="654" ht="20.25" customHeight="1" s="106">
      <c r="A654" s="56" t="n"/>
      <c r="B654" s="15" t="n">
        <v>650</v>
      </c>
      <c r="C654" s="15" t="n"/>
      <c r="D654" s="15" t="n"/>
      <c r="E654" s="16" t="n"/>
      <c r="F654" s="15" t="n"/>
      <c r="G654" s="15" t="n"/>
      <c r="H654" s="16" t="n"/>
      <c r="I654" s="15">
        <f>IF(ISBLANK($E654)," ",IF($E654&gt;$H654,$C654,$F654))</f>
        <v/>
      </c>
      <c r="J654" s="15">
        <f>IF(ISBLANK($E654)," ",IF($E654&gt;$H654,$D654,$G654))</f>
        <v/>
      </c>
      <c r="K654" s="15" t="n"/>
      <c r="L654" s="15">
        <f>E654-H654</f>
        <v/>
      </c>
      <c r="M654" s="5">
        <f>IF(ISBLANK($E654),"",VLOOKUP($I654,PLAYERS_IDS,2,FALSE)*VLOOKUP($J654,PLAYERS_IDS,2,FALSE))</f>
        <v/>
      </c>
      <c r="N654" s="25">
        <f>IF(ISBLANK($E654)," ", COUNTIF($M$4:$M654,$M654))</f>
        <v/>
      </c>
      <c r="O654" s="25">
        <f>IF(N654 =" ", " ", IF(N654=1,15,(IF(N654=2,15,(IF(N654=3,15,15))))))</f>
        <v/>
      </c>
      <c r="P654" s="5">
        <f>IF(ISBLANK($F654),"",VLOOKUP($C654,PLAYERS_IDS,2,FALSE)*VLOOKUP($D654,PLAYERS_IDS,2,FALSE))</f>
        <v/>
      </c>
      <c r="Q654" s="5">
        <f>IF(ISBLANK($F654), "",VLOOKUP($F654,PLAYERS_IDS,2,FALSE)*VLOOKUP($G654,PLAYERS_IDS,2,FALSE))</f>
        <v/>
      </c>
      <c r="R654" s="5">
        <f>IFERROR((P654*100000)+Q654,"")</f>
        <v/>
      </c>
    </row>
    <row r="655" ht="20.25" customHeight="1" s="106">
      <c r="A655" s="56" t="n"/>
      <c r="B655" s="15" t="n">
        <v>651</v>
      </c>
      <c r="C655" s="15" t="n"/>
      <c r="D655" s="15" t="n"/>
      <c r="E655" s="16" t="n"/>
      <c r="F655" s="15" t="n"/>
      <c r="G655" s="15" t="n"/>
      <c r="H655" s="16" t="n"/>
      <c r="I655" s="15">
        <f>IF(ISBLANK($E655)," ",IF($E655&gt;$H655,$C655,$F655))</f>
        <v/>
      </c>
      <c r="J655" s="15">
        <f>IF(ISBLANK($E655)," ",IF($E655&gt;$H655,$D655,$G655))</f>
        <v/>
      </c>
      <c r="K655" s="15" t="n"/>
      <c r="L655" s="15">
        <f>E655-H655</f>
        <v/>
      </c>
      <c r="M655" s="5">
        <f>IF(ISBLANK($E655),"",VLOOKUP($I655,PLAYERS_IDS,2,FALSE)*VLOOKUP($J655,PLAYERS_IDS,2,FALSE))</f>
        <v/>
      </c>
      <c r="N655" s="25">
        <f>IF(ISBLANK($E655)," ", COUNTIF($M$4:$M655,$M655))</f>
        <v/>
      </c>
      <c r="O655" s="25">
        <f>IF(N655 =" ", " ", IF(N655=1,15,(IF(N655=2,15,(IF(N655=3,15,15))))))</f>
        <v/>
      </c>
      <c r="P655" s="5">
        <f>IF(ISBLANK($F655),"",VLOOKUP($C655,PLAYERS_IDS,2,FALSE)*VLOOKUP($D655,PLAYERS_IDS,2,FALSE))</f>
        <v/>
      </c>
      <c r="Q655" s="5">
        <f>IF(ISBLANK($F655), "",VLOOKUP($F655,PLAYERS_IDS,2,FALSE)*VLOOKUP($G655,PLAYERS_IDS,2,FALSE))</f>
        <v/>
      </c>
      <c r="R655" s="5">
        <f>IFERROR((P655*100000)+Q655,"")</f>
        <v/>
      </c>
    </row>
    <row r="656" ht="20.25" customHeight="1" s="106">
      <c r="A656" s="56" t="n"/>
      <c r="B656" s="15" t="n">
        <v>652</v>
      </c>
      <c r="C656" s="15" t="n"/>
      <c r="D656" s="15" t="n"/>
      <c r="E656" s="16" t="n"/>
      <c r="F656" s="15" t="n"/>
      <c r="G656" s="15" t="n"/>
      <c r="H656" s="16" t="n"/>
      <c r="I656" s="15">
        <f>IF(ISBLANK($E656)," ",IF($E656&gt;$H656,$C656,$F656))</f>
        <v/>
      </c>
      <c r="J656" s="15">
        <f>IF(ISBLANK($E656)," ",IF($E656&gt;$H656,$D656,$G656))</f>
        <v/>
      </c>
      <c r="K656" s="15" t="n"/>
      <c r="L656" s="15">
        <f>E656-H656</f>
        <v/>
      </c>
      <c r="M656" s="5">
        <f>IF(ISBLANK($E656),"",VLOOKUP($I656,PLAYERS_IDS,2,FALSE)*VLOOKUP($J656,PLAYERS_IDS,2,FALSE))</f>
        <v/>
      </c>
      <c r="N656" s="25">
        <f>IF(ISBLANK($E656)," ", COUNTIF($M$4:$M656,$M656))</f>
        <v/>
      </c>
      <c r="O656" s="25">
        <f>IF(N656 =" ", " ", IF(N656=1,15,(IF(N656=2,15,(IF(N656=3,15,15))))))</f>
        <v/>
      </c>
      <c r="P656" s="5">
        <f>IF(ISBLANK($F656),"",VLOOKUP($C656,PLAYERS_IDS,2,FALSE)*VLOOKUP($D656,PLAYERS_IDS,2,FALSE))</f>
        <v/>
      </c>
      <c r="Q656" s="5">
        <f>IF(ISBLANK($F656), "",VLOOKUP($F656,PLAYERS_IDS,2,FALSE)*VLOOKUP($G656,PLAYERS_IDS,2,FALSE))</f>
        <v/>
      </c>
      <c r="R656" s="5">
        <f>IFERROR((P656*100000)+Q656,"")</f>
        <v/>
      </c>
    </row>
    <row r="657" ht="20.25" customHeight="1" s="106">
      <c r="A657" s="56" t="n"/>
      <c r="B657" s="15" t="n">
        <v>653</v>
      </c>
      <c r="C657" s="15" t="n"/>
      <c r="D657" s="15" t="n"/>
      <c r="E657" s="16" t="n"/>
      <c r="F657" s="15" t="n"/>
      <c r="G657" s="15" t="n"/>
      <c r="H657" s="16" t="n"/>
      <c r="I657" s="15">
        <f>IF(ISBLANK($E657)," ",IF($E657&gt;$H657,$C657,$F657))</f>
        <v/>
      </c>
      <c r="J657" s="15">
        <f>IF(ISBLANK($E657)," ",IF($E657&gt;$H657,$D657,$G657))</f>
        <v/>
      </c>
      <c r="K657" s="15" t="n"/>
      <c r="L657" s="15">
        <f>E657-H657</f>
        <v/>
      </c>
      <c r="M657" s="5">
        <f>IF(ISBLANK($E657),"",VLOOKUP($I657,PLAYERS_IDS,2,FALSE)*VLOOKUP($J657,PLAYERS_IDS,2,FALSE))</f>
        <v/>
      </c>
      <c r="N657" s="25">
        <f>IF(ISBLANK($E657)," ", COUNTIF($M$4:$M657,$M657))</f>
        <v/>
      </c>
      <c r="O657" s="25">
        <f>IF(N657 =" ", " ", IF(N657=1,15,(IF(N657=2,15,(IF(N657=3,15,15))))))</f>
        <v/>
      </c>
      <c r="P657" s="5">
        <f>IF(ISBLANK($F657),"",VLOOKUP($C657,PLAYERS_IDS,2,FALSE)*VLOOKUP($D657,PLAYERS_IDS,2,FALSE))</f>
        <v/>
      </c>
      <c r="Q657" s="5">
        <f>IF(ISBLANK($F657), "",VLOOKUP($F657,PLAYERS_IDS,2,FALSE)*VLOOKUP($G657,PLAYERS_IDS,2,FALSE))</f>
        <v/>
      </c>
      <c r="R657" s="5">
        <f>IFERROR((P657*100000)+Q657,"")</f>
        <v/>
      </c>
    </row>
    <row r="658" ht="20.25" customHeight="1" s="106">
      <c r="A658" s="56" t="n"/>
      <c r="B658" s="15" t="n">
        <v>654</v>
      </c>
      <c r="C658" s="15" t="n"/>
      <c r="D658" s="15" t="n"/>
      <c r="E658" s="16" t="n"/>
      <c r="F658" s="15" t="n"/>
      <c r="G658" s="15" t="n"/>
      <c r="H658" s="16" t="n"/>
      <c r="I658" s="15">
        <f>IF(ISBLANK($E658)," ",IF($E658&gt;$H658,$C658,$F658))</f>
        <v/>
      </c>
      <c r="J658" s="15">
        <f>IF(ISBLANK($E658)," ",IF($E658&gt;$H658,$D658,$G658))</f>
        <v/>
      </c>
      <c r="K658" s="15" t="n"/>
      <c r="L658" s="15">
        <f>E658-H658</f>
        <v/>
      </c>
      <c r="M658" s="5">
        <f>IF(ISBLANK($E658),"",VLOOKUP($I658,PLAYERS_IDS,2,FALSE)*VLOOKUP($J658,PLAYERS_IDS,2,FALSE))</f>
        <v/>
      </c>
      <c r="N658" s="25">
        <f>IF(ISBLANK($E658)," ", COUNTIF($M$4:$M658,$M658))</f>
        <v/>
      </c>
      <c r="O658" s="25">
        <f>IF(N658 =" ", " ", IF(N658=1,15,(IF(N658=2,15,(IF(N658=3,15,15))))))</f>
        <v/>
      </c>
      <c r="P658" s="5">
        <f>IF(ISBLANK($F658),"",VLOOKUP($C658,PLAYERS_IDS,2,FALSE)*VLOOKUP($D658,PLAYERS_IDS,2,FALSE))</f>
        <v/>
      </c>
      <c r="Q658" s="5">
        <f>IF(ISBLANK($F658), "",VLOOKUP($F658,PLAYERS_IDS,2,FALSE)*VLOOKUP($G658,PLAYERS_IDS,2,FALSE))</f>
        <v/>
      </c>
      <c r="R658" s="5">
        <f>IFERROR((P658*100000)+Q658,"")</f>
        <v/>
      </c>
    </row>
    <row r="659" ht="20.25" customHeight="1" s="106">
      <c r="A659" s="56" t="n"/>
      <c r="B659" s="15" t="n">
        <v>655</v>
      </c>
      <c r="C659" s="15" t="n"/>
      <c r="D659" s="15" t="n"/>
      <c r="E659" s="16" t="n"/>
      <c r="F659" s="15" t="n"/>
      <c r="G659" s="15" t="n"/>
      <c r="H659" s="16" t="n"/>
      <c r="I659" s="15">
        <f>IF(ISBLANK($E659)," ",IF($E659&gt;$H659,$C659,$F659))</f>
        <v/>
      </c>
      <c r="J659" s="15">
        <f>IF(ISBLANK($E659)," ",IF($E659&gt;$H659,$D659,$G659))</f>
        <v/>
      </c>
      <c r="K659" s="15" t="n"/>
      <c r="L659" s="15">
        <f>E659-H659</f>
        <v/>
      </c>
      <c r="M659" s="5">
        <f>IF(ISBLANK($E659),"",VLOOKUP($I659,PLAYERS_IDS,2,FALSE)*VLOOKUP($J659,PLAYERS_IDS,2,FALSE))</f>
        <v/>
      </c>
      <c r="N659" s="25">
        <f>IF(ISBLANK($E659)," ", COUNTIF($M$4:$M659,$M659))</f>
        <v/>
      </c>
      <c r="O659" s="25">
        <f>IF(N659 =" ", " ", IF(N659=1,15,(IF(N659=2,15,(IF(N659=3,15,15))))))</f>
        <v/>
      </c>
      <c r="P659" s="5">
        <f>IF(ISBLANK($F659),"",VLOOKUP($C659,PLAYERS_IDS,2,FALSE)*VLOOKUP($D659,PLAYERS_IDS,2,FALSE))</f>
        <v/>
      </c>
      <c r="Q659" s="5">
        <f>IF(ISBLANK($F659), "",VLOOKUP($F659,PLAYERS_IDS,2,FALSE)*VLOOKUP($G659,PLAYERS_IDS,2,FALSE))</f>
        <v/>
      </c>
      <c r="R659" s="5">
        <f>IFERROR((P659*100000)+Q659,"")</f>
        <v/>
      </c>
    </row>
    <row r="660" ht="20.25" customHeight="1" s="106">
      <c r="A660" s="56" t="n"/>
      <c r="B660" s="15" t="n">
        <v>656</v>
      </c>
    </row>
  </sheetData>
  <autoFilter ref="A4:R660"/>
  <mergeCells count="5">
    <mergeCell ref="F3:G3"/>
    <mergeCell ref="U1:AA1"/>
    <mergeCell ref="B2:C2"/>
    <mergeCell ref="C3:D3"/>
    <mergeCell ref="I3:J3"/>
  </mergeCells>
  <conditionalFormatting sqref="A5:A24 A240:A257">
    <cfRule type="timePeriod" priority="172" dxfId="0" timePeriod="last7Days">
      <formula>AND(TODAY()-FLOOR(A5,1)&lt;=6,FLOOR(A5,1)&lt;=TODAY())</formula>
    </cfRule>
  </conditionalFormatting>
  <conditionalFormatting sqref="R1:R1048576">
    <cfRule type="duplicateValues" priority="171" dxfId="138"/>
  </conditionalFormatting>
  <conditionalFormatting sqref="C5:D231 C232:C304 C385:D388 C390:D500 C506:D506 C508:D540 C582:D587 C588:C646 C660:C1048576 D232:D279 D608:D637 D638:H646 F5:G152 F154:G231 F232:F304 F385:G388 F390:G500 F506:G506 F508:G540 F608:G627 F628:H637 G233:G304">
    <cfRule type="expression" priority="169" dxfId="43">
      <formula>NOT(ISNA(VLOOKUP(C5,GROUP_B,1,FALSE)))</formula>
    </cfRule>
    <cfRule type="expression" priority="170" dxfId="42">
      <formula>NOT(ISNA(VLOOKUP(C5,GROUP_A,1,FALSE)))</formula>
    </cfRule>
  </conditionalFormatting>
  <conditionalFormatting sqref="D335:D348 D588:D595">
    <cfRule type="expression" priority="165" dxfId="43">
      <formula>NOT(ISNA(VLOOKUP(D335,GROUP_B,1,FALSE)))</formula>
    </cfRule>
    <cfRule type="expression" priority="166" dxfId="42">
      <formula>NOT(ISNA(VLOOKUP(D335,GROUP_A,1,FALSE)))</formula>
    </cfRule>
  </conditionalFormatting>
  <conditionalFormatting sqref="D306:D310 D321:D334">
    <cfRule type="expression" priority="152" dxfId="43">
      <formula>NOT(ISNA(VLOOKUP(D306,GROUP_B,1,FALSE)))</formula>
    </cfRule>
    <cfRule type="expression" priority="153" dxfId="42">
      <formula>NOT(ISNA(VLOOKUP(D306,GROUP_A,1,FALSE)))</formula>
    </cfRule>
  </conditionalFormatting>
  <conditionalFormatting sqref="D311:D320">
    <cfRule type="expression" priority="150" dxfId="43">
      <formula>NOT(ISNA(VLOOKUP(D311,GROUP_B,1,FALSE)))</formula>
    </cfRule>
    <cfRule type="expression" priority="151" dxfId="42">
      <formula>NOT(ISNA(VLOOKUP(D311,GROUP_A,1,FALSE)))</formula>
    </cfRule>
  </conditionalFormatting>
  <conditionalFormatting sqref="D281:D304">
    <cfRule type="expression" priority="148" dxfId="43">
      <formula>NOT(ISNA(VLOOKUP(D281,GROUP_B,1,FALSE)))</formula>
    </cfRule>
    <cfRule type="expression" priority="149" dxfId="42">
      <formula>NOT(ISNA(VLOOKUP(D281,GROUP_A,1,FALSE)))</formula>
    </cfRule>
  </conditionalFormatting>
  <conditionalFormatting sqref="D280">
    <cfRule type="expression" priority="146" dxfId="43">
      <formula>NOT(ISNA(VLOOKUP(D280,GROUP_B,1,FALSE)))</formula>
    </cfRule>
    <cfRule type="expression" priority="147" dxfId="42">
      <formula>NOT(ISNA(VLOOKUP(D280,GROUP_A,1,FALSE)))</formula>
    </cfRule>
  </conditionalFormatting>
  <conditionalFormatting sqref="F153:G153">
    <cfRule type="expression" priority="141" dxfId="43">
      <formula>NOT(ISNA(VLOOKUP(F153,GROUP_B,1,FALSE)))</formula>
    </cfRule>
    <cfRule type="expression" priority="142" dxfId="42">
      <formula>NOT(ISNA(VLOOKUP(F153,GROUP_A,1,FALSE)))</formula>
    </cfRule>
  </conditionalFormatting>
  <conditionalFormatting sqref="C306:C348">
    <cfRule type="expression" priority="137" dxfId="43">
      <formula>NOT(ISNA(VLOOKUP(C306,GROUP_B,1,FALSE)))</formula>
    </cfRule>
    <cfRule type="expression" priority="138" dxfId="42">
      <formula>NOT(ISNA(VLOOKUP(C306,GROUP_A,1,FALSE)))</formula>
    </cfRule>
  </conditionalFormatting>
  <conditionalFormatting sqref="F306:F348">
    <cfRule type="expression" priority="133" dxfId="43">
      <formula>NOT(ISNA(VLOOKUP(F306,GROUP_B,1,FALSE)))</formula>
    </cfRule>
    <cfRule type="expression" priority="134" dxfId="42">
      <formula>NOT(ISNA(VLOOKUP(F306,GROUP_A,1,FALSE)))</formula>
    </cfRule>
  </conditionalFormatting>
  <conditionalFormatting sqref="G232">
    <cfRule type="expression" priority="131" dxfId="43">
      <formula>NOT(ISNA(VLOOKUP(G232,GROUP_B,1,FALSE)))</formula>
    </cfRule>
    <cfRule type="expression" priority="132" dxfId="42">
      <formula>NOT(ISNA(VLOOKUP(G232,GROUP_A,1,FALSE)))</formula>
    </cfRule>
  </conditionalFormatting>
  <conditionalFormatting sqref="G306:G348">
    <cfRule type="expression" priority="129" dxfId="43">
      <formula>NOT(ISNA(VLOOKUP(G306,GROUP_B,1,FALSE)))</formula>
    </cfRule>
    <cfRule type="expression" priority="130" dxfId="42">
      <formula>NOT(ISNA(VLOOKUP(G306,GROUP_A,1,FALSE)))</formula>
    </cfRule>
  </conditionalFormatting>
  <conditionalFormatting sqref="A263:A281">
    <cfRule type="timePeriod" priority="127" dxfId="0" timePeriod="last7Days">
      <formula>AND(TODAY()-FLOOR(A263,1)&lt;=6,FLOOR(A263,1)&lt;=TODAY())</formula>
    </cfRule>
  </conditionalFormatting>
  <conditionalFormatting sqref="N1:N1048576">
    <cfRule type="cellIs" priority="126" operator="greaterThan" dxfId="0">
      <formula>5</formula>
    </cfRule>
  </conditionalFormatting>
  <conditionalFormatting sqref="A282">
    <cfRule type="timePeriod" priority="125" dxfId="0" timePeriod="last7Days">
      <formula>AND(TODAY()-FLOOR(A282,1)&lt;=6,FLOOR(A282,1)&lt;=TODAY())</formula>
    </cfRule>
  </conditionalFormatting>
  <conditionalFormatting sqref="D305">
    <cfRule type="expression" priority="120" dxfId="43">
      <formula>NOT(ISNA(VLOOKUP(D305,GROUP_B,1,FALSE)))</formula>
    </cfRule>
    <cfRule type="expression" priority="121" dxfId="42">
      <formula>NOT(ISNA(VLOOKUP(D305,GROUP_A,1,FALSE)))</formula>
    </cfRule>
  </conditionalFormatting>
  <conditionalFormatting sqref="C305">
    <cfRule type="expression" priority="118" dxfId="43">
      <formula>NOT(ISNA(VLOOKUP(C305,GROUP_B,1,FALSE)))</formula>
    </cfRule>
    <cfRule type="expression" priority="119" dxfId="42">
      <formula>NOT(ISNA(VLOOKUP(C305,GROUP_A,1,FALSE)))</formula>
    </cfRule>
  </conditionalFormatting>
  <conditionalFormatting sqref="F305">
    <cfRule type="expression" priority="116" dxfId="43">
      <formula>NOT(ISNA(VLOOKUP(F305,GROUP_B,1,FALSE)))</formula>
    </cfRule>
    <cfRule type="expression" priority="117" dxfId="42">
      <formula>NOT(ISNA(VLOOKUP(F305,GROUP_A,1,FALSE)))</formula>
    </cfRule>
  </conditionalFormatting>
  <conditionalFormatting sqref="G305">
    <cfRule type="expression" priority="114" dxfId="43">
      <formula>NOT(ISNA(VLOOKUP(G305,GROUP_B,1,FALSE)))</formula>
    </cfRule>
    <cfRule type="expression" priority="115" dxfId="42">
      <formula>NOT(ISNA(VLOOKUP(G305,GROUP_A,1,FALSE)))</formula>
    </cfRule>
  </conditionalFormatting>
  <conditionalFormatting sqref="A309:A381">
    <cfRule type="timePeriod" priority="111" dxfId="0" timePeriod="last7Days">
      <formula>AND(TODAY()-FLOOR(A309,1)&lt;=6,FLOOR(A309,1)&lt;=TODAY())</formula>
    </cfRule>
  </conditionalFormatting>
  <conditionalFormatting sqref="C349:D384 C501:D501 F349:G384 F501:G501">
    <cfRule type="expression" priority="109" dxfId="43">
      <formula>NOT(ISNA(VLOOKUP(C349,GROUP_B,1,FALSE)))</formula>
    </cfRule>
    <cfRule type="expression" priority="110" dxfId="42">
      <formula>NOT(ISNA(VLOOKUP(C349,GROUP_A,1,FALSE)))</formula>
    </cfRule>
  </conditionalFormatting>
  <conditionalFormatting sqref="A382:A388">
    <cfRule type="timePeriod" priority="108" dxfId="0" timePeriod="last7Days">
      <formula>AND(TODAY()-FLOOR(A382,1)&lt;=6,FLOOR(A382,1)&lt;=TODAY())</formula>
    </cfRule>
  </conditionalFormatting>
  <conditionalFormatting sqref="A389:A390">
    <cfRule type="timePeriod" priority="107" dxfId="0" timePeriod="last7Days">
      <formula>AND(TODAY()-FLOOR(A389,1)&lt;=6,FLOOR(A389,1)&lt;=TODAY())</formula>
    </cfRule>
  </conditionalFormatting>
  <conditionalFormatting sqref="M358:M388 M444:M446">
    <cfRule type="duplicateValues" priority="106" dxfId="0"/>
  </conditionalFormatting>
  <conditionalFormatting sqref="C389:D389 F389:G389">
    <cfRule type="expression" priority="104" dxfId="43">
      <formula>NOT(ISNA(VLOOKUP(C389,GROUP_B,1,FALSE)))</formula>
    </cfRule>
    <cfRule type="expression" priority="105" dxfId="42">
      <formula>NOT(ISNA(VLOOKUP(C389,GROUP_A,1,FALSE)))</formula>
    </cfRule>
  </conditionalFormatting>
  <conditionalFormatting sqref="M358:M388">
    <cfRule type="duplicateValues" priority="103" dxfId="0"/>
  </conditionalFormatting>
  <conditionalFormatting sqref="A391:A410">
    <cfRule type="timePeriod" priority="102" dxfId="0" timePeriod="last7Days">
      <formula>AND(TODAY()-FLOOR(A391,1)&lt;=6,FLOOR(A391,1)&lt;=TODAY())</formula>
    </cfRule>
  </conditionalFormatting>
  <conditionalFormatting sqref="A411:A415">
    <cfRule type="timePeriod" priority="101" dxfId="0" timePeriod="last7Days">
      <formula>AND(TODAY()-FLOOR(A411,1)&lt;=6,FLOOR(A411,1)&lt;=TODAY())</formula>
    </cfRule>
  </conditionalFormatting>
  <conditionalFormatting sqref="A416:A424">
    <cfRule type="timePeriod" priority="100" dxfId="0" timePeriod="last7Days">
      <formula>AND(TODAY()-FLOOR(A416,1)&lt;=6,FLOOR(A416,1)&lt;=TODAY())</formula>
    </cfRule>
  </conditionalFormatting>
  <conditionalFormatting sqref="M389:M422">
    <cfRule type="duplicateValues" priority="99" dxfId="0"/>
    <cfRule type="duplicateValues" priority="98" dxfId="0"/>
  </conditionalFormatting>
  <conditionalFormatting sqref="A425:A448">
    <cfRule type="timePeriod" priority="97" dxfId="0" timePeriod="last7Days">
      <formula>AND(TODAY()-FLOOR(A425,1)&lt;=6,FLOOR(A425,1)&lt;=TODAY())</formula>
    </cfRule>
  </conditionalFormatting>
  <conditionalFormatting sqref="M423:M443">
    <cfRule type="duplicateValues" priority="96" dxfId="0"/>
    <cfRule type="duplicateValues" priority="95" dxfId="0"/>
  </conditionalFormatting>
  <conditionalFormatting sqref="M423:M446">
    <cfRule type="duplicateValues" priority="94" dxfId="0"/>
  </conditionalFormatting>
  <conditionalFormatting sqref="A449:A462">
    <cfRule type="timePeriod" priority="93" dxfId="0" timePeriod="last7Days">
      <formula>AND(TODAY()-FLOOR(A449,1)&lt;=6,FLOOR(A449,1)&lt;=TODAY())</formula>
    </cfRule>
  </conditionalFormatting>
  <conditionalFormatting sqref="A463">
    <cfRule type="timePeriod" priority="92" dxfId="0" timePeriod="last7Days">
      <formula>AND(TODAY()-FLOOR(A463,1)&lt;=6,FLOOR(A463,1)&lt;=TODAY())</formula>
    </cfRule>
  </conditionalFormatting>
  <conditionalFormatting sqref="A464:A500">
    <cfRule type="timePeriod" priority="91" dxfId="0" timePeriod="last7Days">
      <formula>AND(TODAY()-FLOOR(A464,1)&lt;=6,FLOOR(A464,1)&lt;=TODAY())</formula>
    </cfRule>
  </conditionalFormatting>
  <conditionalFormatting sqref="A501:A508">
    <cfRule type="timePeriod" priority="90" dxfId="0" timePeriod="last7Days">
      <formula>AND(TODAY()-FLOOR(A501,1)&lt;=6,FLOOR(A501,1)&lt;=TODAY())</formula>
    </cfRule>
  </conditionalFormatting>
  <conditionalFormatting sqref="C502:D505">
    <cfRule type="expression" priority="88" dxfId="43">
      <formula>NOT(ISNA(VLOOKUP(C502,GROUP_B,1,FALSE)))</formula>
    </cfRule>
    <cfRule type="expression" priority="89" dxfId="42">
      <formula>NOT(ISNA(VLOOKUP(C502,GROUP_A,1,FALSE)))</formula>
    </cfRule>
  </conditionalFormatting>
  <conditionalFormatting sqref="F502:G505">
    <cfRule type="expression" priority="86" dxfId="43">
      <formula>NOT(ISNA(VLOOKUP(F502,GROUP_B,1,FALSE)))</formula>
    </cfRule>
    <cfRule type="expression" priority="87" dxfId="42">
      <formula>NOT(ISNA(VLOOKUP(F502,GROUP_A,1,FALSE)))</formula>
    </cfRule>
  </conditionalFormatting>
  <conditionalFormatting sqref="C507:D507 F507:G507">
    <cfRule type="expression" priority="84" dxfId="43">
      <formula>NOT(ISNA(VLOOKUP(C507,GROUP_B,1,FALSE)))</formula>
    </cfRule>
    <cfRule type="expression" priority="85" dxfId="42">
      <formula>NOT(ISNA(VLOOKUP(C507,GROUP_A,1,FALSE)))</formula>
    </cfRule>
  </conditionalFormatting>
  <conditionalFormatting sqref="A509:A528">
    <cfRule type="timePeriod" priority="83" dxfId="0" timePeriod="last7Days">
      <formula>AND(TODAY()-FLOOR(A509,1)&lt;=6,FLOOR(A509,1)&lt;=TODAY())</formula>
    </cfRule>
  </conditionalFormatting>
  <conditionalFormatting sqref="A529:A544">
    <cfRule type="timePeriod" priority="82" dxfId="0" timePeriod="last7Days">
      <formula>AND(TODAY()-FLOOR(A529,1)&lt;=6,FLOOR(A529,1)&lt;=TODAY())</formula>
    </cfRule>
  </conditionalFormatting>
  <conditionalFormatting sqref="C541:D573 C576:D607 F541:G573 F576:G581">
    <cfRule type="expression" priority="80" dxfId="43">
      <formula>NOT(ISNA(VLOOKUP(C541,GROUP_B,1,FALSE)))</formula>
    </cfRule>
    <cfRule type="expression" priority="81" dxfId="42">
      <formula>NOT(ISNA(VLOOKUP(C541,GROUP_A,1,FALSE)))</formula>
    </cfRule>
  </conditionalFormatting>
  <conditionalFormatting sqref="A545:A552">
    <cfRule type="timePeriod" priority="79" dxfId="0" timePeriod="last7Days">
      <formula>AND(TODAY()-FLOOR(A545,1)&lt;=6,FLOOR(A545,1)&lt;=TODAY())</formula>
    </cfRule>
  </conditionalFormatting>
  <conditionalFormatting sqref="A553:A572">
    <cfRule type="timePeriod" priority="78" dxfId="0" timePeriod="last7Days">
      <formula>AND(TODAY()-FLOOR(A553,1)&lt;=6,FLOOR(A553,1)&lt;=TODAY())</formula>
    </cfRule>
  </conditionalFormatting>
  <conditionalFormatting sqref="A573:A582">
    <cfRule type="timePeriod" priority="77" dxfId="0" timePeriod="last7Days">
      <formula>AND(TODAY()-FLOOR(A573,1)&lt;=6,FLOOR(A573,1)&lt;=TODAY())</formula>
    </cfRule>
  </conditionalFormatting>
  <conditionalFormatting sqref="C574:D574 F574:G574">
    <cfRule type="expression" priority="75" dxfId="43">
      <formula>NOT(ISNA(VLOOKUP(C574,GROUP_B,1,FALSE)))</formula>
    </cfRule>
    <cfRule type="expression" priority="76" dxfId="42">
      <formula>NOT(ISNA(VLOOKUP(C574,GROUP_A,1,FALSE)))</formula>
    </cfRule>
  </conditionalFormatting>
  <conditionalFormatting sqref="C575:D575 F575:G575">
    <cfRule type="expression" priority="73" dxfId="43">
      <formula>NOT(ISNA(VLOOKUP(C575,GROUP_B,1,FALSE)))</formula>
    </cfRule>
    <cfRule type="expression" priority="74" dxfId="42">
      <formula>NOT(ISNA(VLOOKUP(C575,GROUP_A,1,FALSE)))</formula>
    </cfRule>
  </conditionalFormatting>
  <conditionalFormatting sqref="C579:D580 F579:G580">
    <cfRule type="expression" priority="71" dxfId="43">
      <formula>NOT(ISNA(VLOOKUP(C579,GROUP_B,1,FALSE)))</formula>
    </cfRule>
    <cfRule type="expression" priority="72" dxfId="42">
      <formula>NOT(ISNA(VLOOKUP(C579,GROUP_A,1,FALSE)))</formula>
    </cfRule>
  </conditionalFormatting>
  <conditionalFormatting sqref="F582:G607">
    <cfRule type="expression" priority="69" dxfId="43">
      <formula>NOT(ISNA(VLOOKUP(F582,GROUP_B,1,FALSE)))</formula>
    </cfRule>
    <cfRule type="expression" priority="70" dxfId="42">
      <formula>NOT(ISNA(VLOOKUP(F582,GROUP_A,1,FALSE)))</formula>
    </cfRule>
  </conditionalFormatting>
  <conditionalFormatting sqref="A611:A636">
    <cfRule type="timePeriod" priority="64" dxfId="0" timePeriod="last7Days">
      <formula>AND(TODAY()-FLOOR(A611,1)&lt;=6,FLOOR(A611,1)&lt;=TODAY())</formula>
    </cfRule>
  </conditionalFormatting>
  <conditionalFormatting sqref="A583:A607">
    <cfRule type="timePeriod" priority="68" dxfId="0" timePeriod="last7Days">
      <formula>AND(TODAY()-FLOOR(A583,1)&lt;=6,FLOOR(A583,1)&lt;=TODAY())</formula>
    </cfRule>
  </conditionalFormatting>
  <conditionalFormatting sqref="A608:A610">
    <cfRule type="timePeriod" priority="67" dxfId="0" timePeriod="last7Days">
      <formula>AND(TODAY()-FLOOR(A608,1)&lt;=6,FLOOR(A608,1)&lt;=TODAY())</formula>
    </cfRule>
  </conditionalFormatting>
  <conditionalFormatting sqref="C608:D637 C638:H646 F608:G627 F628:H637">
    <cfRule type="expression" priority="65" dxfId="43">
      <formula>NOT(ISNA(VLOOKUP(C608,GROUP_B,1,FALSE)))</formula>
    </cfRule>
    <cfRule type="expression" priority="66" dxfId="42">
      <formula>NOT(ISNA(VLOOKUP(C608,GROUP_A,1,FALSE)))</formula>
    </cfRule>
  </conditionalFormatting>
  <conditionalFormatting sqref="A637:A647">
    <cfRule type="timePeriod" priority="63" dxfId="0" timePeriod="last7Days">
      <formula>AND(TODAY()-FLOOR(A637,1)&lt;=6,FLOOR(A637,1)&lt;=TODAY())</formula>
    </cfRule>
  </conditionalFormatting>
  <conditionalFormatting sqref="C647:H658">
    <cfRule type="expression" priority="61" dxfId="43">
      <formula>NOT(ISNA(VLOOKUP(C647,GROUP_B,1,FALSE)))</formula>
    </cfRule>
    <cfRule type="expression" priority="62" dxfId="42">
      <formula>NOT(ISNA(VLOOKUP(C647,GROUP_A,1,FALSE)))</formula>
    </cfRule>
    <cfRule type="expression" priority="59" dxfId="43">
      <formula>NOT(ISNA(VLOOKUP(C647,GROUP_B,1,FALSE)))</formula>
    </cfRule>
    <cfRule type="expression" priority="60" dxfId="42">
      <formula>NOT(ISNA(VLOOKUP(C647,GROUP_A,1,FALSE)))</formula>
    </cfRule>
  </conditionalFormatting>
  <conditionalFormatting sqref="A648:A659">
    <cfRule type="timePeriod" priority="58" dxfId="0" timePeriod="last7Days">
      <formula>AND(TODAY()-FLOOR(A648,1)&lt;=6,FLOOR(A648,1)&lt;=TODAY())</formula>
    </cfRule>
  </conditionalFormatting>
  <conditionalFormatting sqref="M551:M552 M554:M556 M558:M561 M564:M567 M570:M573 M575:M579 M609:M634">
    <cfRule type="duplicateValues" priority="173" dxfId="0"/>
  </conditionalFormatting>
  <conditionalFormatting sqref="M609:M634">
    <cfRule type="duplicateValues" priority="174" dxfId="0"/>
    <cfRule type="duplicateValues" priority="175" dxfId="0"/>
    <cfRule type="duplicateValues" priority="176" dxfId="0"/>
  </conditionalFormatting>
  <conditionalFormatting sqref="M635:M659">
    <cfRule type="duplicateValues" priority="57" dxfId="0"/>
  </conditionalFormatting>
  <conditionalFormatting sqref="C659:H659">
    <cfRule type="expression" priority="55" dxfId="43">
      <formula>NOT(ISNA(VLOOKUP(C659,GROUP_B,1,FALSE)))</formula>
    </cfRule>
    <cfRule type="expression" priority="56" dxfId="42">
      <formula>NOT(ISNA(VLOOKUP(C659,GROUP_A,1,FALSE)))</formula>
    </cfRule>
    <cfRule type="expression" priority="53" dxfId="43">
      <formula>NOT(ISNA(VLOOKUP(C659,GROUP_B,1,FALSE)))</formula>
    </cfRule>
    <cfRule type="expression" priority="54" dxfId="42">
      <formula>NOT(ISNA(VLOOKUP(C659,GROUP_A,1,FALSE)))</formula>
    </cfRule>
  </conditionalFormatting>
  <conditionalFormatting sqref="A660">
    <cfRule type="timePeriod" priority="52" dxfId="0" timePeriod="last7Days">
      <formula>AND(TODAY()-FLOOR(A660,1)&lt;=6,FLOOR(A660,1)&lt;=TODAY())</formula>
    </cfRule>
  </conditionalFormatting>
  <conditionalFormatting sqref="R5:R25">
    <cfRule type="duplicateValues" priority="50" dxfId="0"/>
  </conditionalFormatting>
  <conditionalFormatting sqref="M26:M56">
    <cfRule type="duplicateValues" priority="46" dxfId="0"/>
  </conditionalFormatting>
  <conditionalFormatting sqref="R26:R56">
    <cfRule type="duplicateValues" priority="45" dxfId="0"/>
  </conditionalFormatting>
  <conditionalFormatting sqref="A61:A83">
    <cfRule type="timePeriod" priority="44" dxfId="0" timePeriod="last7Days">
      <formula>AND(TODAY()-FLOOR(A61,1)&lt;=6,FLOOR(A61,1)&lt;=TODAY())</formula>
    </cfRule>
  </conditionalFormatting>
  <conditionalFormatting sqref="A85:A104">
    <cfRule type="timePeriod" priority="41" dxfId="0" timePeriod="last7Days">
      <formula>AND(TODAY()-FLOOR(A85,1)&lt;=6,FLOOR(A85,1)&lt;=TODAY())</formula>
    </cfRule>
  </conditionalFormatting>
  <conditionalFormatting sqref="A107">
    <cfRule type="timePeriod" priority="40" dxfId="0" timePeriod="last7Days">
      <formula>AND(TODAY()-FLOOR(A107,1)&lt;=6,FLOOR(A107,1)&lt;=TODAY())</formula>
    </cfRule>
  </conditionalFormatting>
  <conditionalFormatting sqref="R79:R110">
    <cfRule type="duplicateValues" priority="37" dxfId="0"/>
  </conditionalFormatting>
  <conditionalFormatting sqref="A148:A149">
    <cfRule type="timePeriod" priority="35" dxfId="0" timePeriod="last7Days">
      <formula>AND(TODAY()-FLOOR(A148,1)&lt;=6,FLOOR(A148,1)&lt;=TODAY())</formula>
    </cfRule>
  </conditionalFormatting>
  <conditionalFormatting sqref="A174">
    <cfRule type="timePeriod" priority="34" dxfId="0" timePeriod="last7Days">
      <formula>AND(TODAY()-FLOOR(A174,1)&lt;=6,FLOOR(A174,1)&lt;=TODAY())</formula>
    </cfRule>
  </conditionalFormatting>
  <conditionalFormatting sqref="A175">
    <cfRule type="timePeriod" priority="33" dxfId="0" timePeriod="last7Days">
      <formula>AND(TODAY()-FLOOR(A175,1)&lt;=6,FLOOR(A175,1)&lt;=TODAY())</formula>
    </cfRule>
  </conditionalFormatting>
  <conditionalFormatting sqref="A206:A207">
    <cfRule type="timePeriod" priority="30" dxfId="0" timePeriod="last7Days">
      <formula>AND(TODAY()-FLOOR(A206,1)&lt;=6,FLOOR(A206,1)&lt;=TODAY())</formula>
    </cfRule>
  </conditionalFormatting>
  <conditionalFormatting sqref="A222:A228">
    <cfRule type="timePeriod" priority="28" dxfId="0" timePeriod="last7Days">
      <formula>AND(TODAY()-FLOOR(A222,1)&lt;=6,FLOOR(A222,1)&lt;=TODAY())</formula>
    </cfRule>
  </conditionalFormatting>
  <conditionalFormatting sqref="A229">
    <cfRule type="timePeriod" priority="27" dxfId="0" timePeriod="last7Days">
      <formula>AND(TODAY()-FLOOR(A229,1)&lt;=6,FLOOR(A229,1)&lt;=TODAY())</formula>
    </cfRule>
  </conditionalFormatting>
  <conditionalFormatting sqref="A230:A239">
    <cfRule type="timePeriod" priority="26" dxfId="0" timePeriod="last7Days">
      <formula>AND(TODAY()-FLOOR(A230,1)&lt;=6,FLOOR(A230,1)&lt;=TODAY())</formula>
    </cfRule>
  </conditionalFormatting>
  <conditionalFormatting sqref="A258:A260">
    <cfRule type="timePeriod" priority="24" dxfId="0" timePeriod="last7Days">
      <formula>AND(TODAY()-FLOOR(A258,1)&lt;=6,FLOOR(A258,1)&lt;=TODAY())</formula>
    </cfRule>
  </conditionalFormatting>
  <conditionalFormatting sqref="A261">
    <cfRule type="timePeriod" priority="23" dxfId="0" timePeriod="last7Days">
      <formula>AND(TODAY()-FLOOR(A261,1)&lt;=6,FLOOR(A261,1)&lt;=TODAY())</formula>
    </cfRule>
  </conditionalFormatting>
  <conditionalFormatting sqref="A262">
    <cfRule type="timePeriod" priority="22" dxfId="0" timePeriod="last7Days">
      <formula>AND(TODAY()-FLOOR(A262,1)&lt;=6,FLOOR(A262,1)&lt;=TODAY())</formula>
    </cfRule>
  </conditionalFormatting>
  <conditionalFormatting sqref="A283:A291">
    <cfRule type="timePeriod" priority="21" dxfId="0" timePeriod="last7Days">
      <formula>AND(TODAY()-FLOOR(A283,1)&lt;=6,FLOOR(A283,1)&lt;=TODAY())</formula>
    </cfRule>
  </conditionalFormatting>
  <conditionalFormatting sqref="A292">
    <cfRule type="timePeriod" priority="20" dxfId="0" timePeriod="last7Days">
      <formula>AND(TODAY()-FLOOR(A292,1)&lt;=6,FLOOR(A292,1)&lt;=TODAY())</formula>
    </cfRule>
  </conditionalFormatting>
  <conditionalFormatting sqref="A293:A297">
    <cfRule type="timePeriod" priority="19" dxfId="0" timePeriod="last7Days">
      <formula>AND(TODAY()-FLOOR(A293,1)&lt;=6,FLOOR(A293,1)&lt;=TODAY())</formula>
    </cfRule>
  </conditionalFormatting>
  <conditionalFormatting sqref="A298:A308">
    <cfRule type="timePeriod" priority="18" dxfId="0" timePeriod="last7Days">
      <formula>AND(TODAY()-FLOOR(A298,1)&lt;=6,FLOOR(A298,1)&lt;=TODAY())</formula>
    </cfRule>
  </conditionalFormatting>
  <conditionalFormatting sqref="A25:A27">
    <cfRule type="timePeriod" priority="17" dxfId="0" timePeriod="last7Days">
      <formula>AND(TODAY()-FLOOR(A25,1)&lt;=6,FLOOR(A25,1)&lt;=TODAY())</formula>
    </cfRule>
  </conditionalFormatting>
  <conditionalFormatting sqref="A28:A60">
    <cfRule type="timePeriod" priority="15" dxfId="0" timePeriod="last7Days">
      <formula>AND(TODAY()-FLOOR(A28,1)&lt;=6,FLOOR(A28,1)&lt;=TODAY())</formula>
    </cfRule>
  </conditionalFormatting>
  <conditionalFormatting sqref="M27:M47">
    <cfRule type="duplicateValues" priority="14" dxfId="0"/>
  </conditionalFormatting>
  <conditionalFormatting sqref="A84">
    <cfRule type="timePeriod" priority="13" dxfId="0" timePeriod="last7Days">
      <formula>AND(TODAY()-FLOOR(A84,1)&lt;=6,FLOOR(A84,1)&lt;=TODAY())</formula>
    </cfRule>
  </conditionalFormatting>
  <conditionalFormatting sqref="A105:A106">
    <cfRule type="timePeriod" priority="12" dxfId="0" timePeriod="last7Days">
      <formula>AND(TODAY()-FLOOR(A105,1)&lt;=6,FLOOR(A105,1)&lt;=TODAY())</formula>
    </cfRule>
  </conditionalFormatting>
  <conditionalFormatting sqref="A108:A124">
    <cfRule type="timePeriod" priority="11" dxfId="0" timePeriod="last7Days">
      <formula>AND(TODAY()-FLOOR(A108,1)&lt;=6,FLOOR(A108,1)&lt;=TODAY())</formula>
    </cfRule>
  </conditionalFormatting>
  <conditionalFormatting sqref="A125:A147">
    <cfRule type="timePeriod" priority="10" dxfId="0" timePeriod="last7Days">
      <formula>AND(TODAY()-FLOOR(A125,1)&lt;=6,FLOOR(A125,1)&lt;=TODAY())</formula>
    </cfRule>
  </conditionalFormatting>
  <conditionalFormatting sqref="M124:M147">
    <cfRule type="duplicateValues" priority="9" dxfId="0"/>
  </conditionalFormatting>
  <conditionalFormatting sqref="A150:A170">
    <cfRule type="timePeriod" priority="8" dxfId="0" timePeriod="last7Days">
      <formula>AND(TODAY()-FLOOR(A150,1)&lt;=6,FLOOR(A150,1)&lt;=TODAY())</formula>
    </cfRule>
  </conditionalFormatting>
  <conditionalFormatting sqref="A171:A173">
    <cfRule type="timePeriod" priority="7" dxfId="0" timePeriod="last7Days">
      <formula>AND(TODAY()-FLOOR(A171,1)&lt;=6,FLOOR(A171,1)&lt;=TODAY())</formula>
    </cfRule>
  </conditionalFormatting>
  <conditionalFormatting sqref="M148:M173">
    <cfRule type="duplicateValues" priority="6" dxfId="0"/>
  </conditionalFormatting>
  <conditionalFormatting sqref="A176:A192">
    <cfRule type="timePeriod" priority="5" dxfId="0" timePeriod="last7Days">
      <formula>AND(TODAY()-FLOOR(A176,1)&lt;=6,FLOOR(A176,1)&lt;=TODAY())</formula>
    </cfRule>
  </conditionalFormatting>
  <conditionalFormatting sqref="A193:A205">
    <cfRule type="timePeriod" priority="4" dxfId="0" timePeriod="last7Days">
      <formula>AND(TODAY()-FLOOR(A193,1)&lt;=6,FLOOR(A193,1)&lt;=TODAY())</formula>
    </cfRule>
  </conditionalFormatting>
  <conditionalFormatting sqref="A208:A221">
    <cfRule type="timePeriod" priority="3" dxfId="0" timePeriod="last7Days">
      <formula>AND(TODAY()-FLOOR(A208,1)&lt;=6,FLOOR(A208,1)&lt;=TODAY())</formula>
    </cfRule>
  </conditionalFormatting>
  <conditionalFormatting sqref="C1">
    <cfRule type="timePeriod" priority="2" dxfId="0" timePeriod="last7Days">
      <formula>AND(TODAY()-FLOOR(C1,1)&lt;=6,FLOOR(C1,1)&lt;=TODAY())</formula>
    </cfRule>
  </conditionalFormatting>
  <conditionalFormatting sqref="G1">
    <cfRule type="timePeriod" priority="1" dxfId="0" timePeriod="last7Days">
      <formula>AND(TODAY()-FLOOR(G1,1)&lt;=6,FLOOR(G1,1)&lt;=TODAY())</formula>
    </cfRule>
  </conditionalFormatting>
  <pageMargins left="0.9055118110236221" right="0.3149606299212598" top="0.7480314960629921" bottom="0.7480314960629921" header="0.3149606299212598" footer="0.3149606299212598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2:S39"/>
  <sheetViews>
    <sheetView workbookViewId="0">
      <selection activeCell="C4" sqref="C4"/>
    </sheetView>
  </sheetViews>
  <sheetFormatPr baseColWidth="8" defaultRowHeight="12.75"/>
  <cols>
    <col width="5.85546875" bestFit="1" customWidth="1" style="106" min="1" max="1"/>
    <col width="13" customWidth="1" style="106" min="2" max="2"/>
    <col width="9.5703125" bestFit="1" customWidth="1" style="106" min="3" max="3"/>
    <col width="10.5703125" customWidth="1" style="106" min="4" max="4"/>
    <col width="11.5703125" bestFit="1" customWidth="1" style="106" min="5" max="5"/>
    <col hidden="1" width="11.140625" customWidth="1" style="106" min="6" max="6"/>
    <col hidden="1" width="20" customWidth="1" style="106" min="7" max="7"/>
    <col width="10.28515625" customWidth="1" style="106" min="8" max="8"/>
    <col width="22" bestFit="1" customWidth="1" style="106" min="9" max="9"/>
    <col width="43.85546875" bestFit="1" customWidth="1" style="106" min="13" max="13"/>
    <col width="20.140625" bestFit="1" customWidth="1" style="106" min="14" max="14"/>
    <col width="13.7109375" bestFit="1" customWidth="1" style="106" min="15" max="15"/>
    <col width="6.7109375" bestFit="1" customWidth="1" style="106" min="16" max="16"/>
    <col width="9.5703125" bestFit="1" customWidth="1" style="106" min="17" max="17"/>
    <col width="13.5703125" bestFit="1" customWidth="1" style="106" min="18" max="18"/>
    <col width="12.42578125" bestFit="1" customWidth="1" style="106" min="19" max="19"/>
  </cols>
  <sheetData>
    <row r="2">
      <c r="B2" s="44" t="n"/>
      <c r="C2" s="132" t="inlineStr">
        <is>
          <t>Total Players Playing</t>
        </is>
      </c>
      <c r="D2" s="136" t="n"/>
      <c r="E2" s="131" t="inlineStr">
        <is>
          <t>Total Games Recorded</t>
        </is>
      </c>
      <c r="F2" s="131" t="inlineStr">
        <is>
          <t>Max Games by a player</t>
        </is>
      </c>
      <c r="G2" s="132" t="inlineStr">
        <is>
          <t>Player</t>
        </is>
      </c>
      <c r="H2" s="131" t="inlineStr">
        <is>
          <t>Max Wins by a player</t>
        </is>
      </c>
      <c r="I2" s="132" t="inlineStr">
        <is>
          <t>Player</t>
        </is>
      </c>
    </row>
    <row r="3" ht="25.5" customHeight="1" s="106">
      <c r="A3" s="55" t="inlineStr">
        <is>
          <t>Week</t>
        </is>
      </c>
      <c r="B3" s="44" t="inlineStr">
        <is>
          <t>Date</t>
        </is>
      </c>
      <c r="C3" s="44" t="inlineStr">
        <is>
          <t>9-10 AM</t>
        </is>
      </c>
      <c r="D3" s="44" t="inlineStr">
        <is>
          <t>10-11 AM</t>
        </is>
      </c>
      <c r="E3" s="138" t="n"/>
      <c r="F3" s="138" t="n"/>
      <c r="G3" s="138" t="n"/>
      <c r="H3" s="138" t="n"/>
      <c r="I3" s="138" t="n"/>
    </row>
    <row r="4">
      <c r="A4" s="5" t="n">
        <v>1</v>
      </c>
      <c r="B4" s="42" t="n">
        <v>46271</v>
      </c>
      <c r="C4" s="5" t="n"/>
      <c r="D4" s="5" t="n"/>
      <c r="E4" s="5" t="n"/>
      <c r="F4" s="42" t="n"/>
      <c r="G4" s="42" t="n"/>
      <c r="H4" s="5" t="n"/>
      <c r="I4" s="42" t="n"/>
    </row>
    <row r="5">
      <c r="A5" s="5" t="n">
        <v>2</v>
      </c>
      <c r="B5" s="42">
        <f>B4+7</f>
        <v/>
      </c>
      <c r="C5" s="5" t="n"/>
      <c r="D5" s="5" t="n"/>
      <c r="E5" s="5" t="n"/>
      <c r="F5" s="5" t="n"/>
      <c r="G5" s="5" t="n"/>
      <c r="H5" s="5" t="n"/>
      <c r="I5" s="42" t="n"/>
    </row>
    <row r="6">
      <c r="A6" s="5" t="n">
        <v>3</v>
      </c>
      <c r="B6" s="42">
        <f>B5+7</f>
        <v/>
      </c>
      <c r="C6" s="5" t="n"/>
      <c r="D6" s="5" t="n"/>
      <c r="E6" s="5" t="n"/>
      <c r="F6" s="5" t="n"/>
      <c r="G6" s="5" t="n"/>
      <c r="H6" s="5" t="n"/>
      <c r="I6" s="42" t="n"/>
    </row>
    <row r="7" ht="12.75" customHeight="1" s="106">
      <c r="A7" s="5" t="n">
        <v>4</v>
      </c>
      <c r="B7" s="42">
        <f>B6+7</f>
        <v/>
      </c>
      <c r="C7" s="5" t="n"/>
      <c r="D7" s="5" t="n"/>
      <c r="E7" s="5" t="n"/>
      <c r="F7" s="5" t="n"/>
      <c r="G7" s="5" t="n"/>
      <c r="H7" s="5" t="n"/>
      <c r="I7" s="5" t="n"/>
    </row>
    <row r="8" ht="12.75" customHeight="1" s="106">
      <c r="A8" s="5" t="n">
        <v>5</v>
      </c>
      <c r="B8" s="42">
        <f>B7+7</f>
        <v/>
      </c>
      <c r="C8" s="5" t="n"/>
      <c r="D8" s="5" t="n"/>
      <c r="E8" s="5" t="n"/>
      <c r="F8" s="5" t="n"/>
      <c r="G8" s="5" t="n"/>
      <c r="H8" s="5" t="n"/>
      <c r="I8" s="5" t="n"/>
    </row>
    <row r="9" ht="12.75" customHeight="1" s="106">
      <c r="A9" s="5" t="n"/>
      <c r="B9" s="42">
        <f>B8+7</f>
        <v/>
      </c>
      <c r="C9" s="139" t="inlineStr">
        <is>
          <t>October School Holidays Break</t>
        </is>
      </c>
      <c r="D9" s="140" t="n"/>
      <c r="E9" s="140" t="n"/>
      <c r="F9" s="140" t="n"/>
      <c r="G9" s="140" t="n"/>
      <c r="H9" s="140" t="n"/>
      <c r="I9" s="141" t="n"/>
    </row>
    <row r="10" ht="12.75" customHeight="1" s="106">
      <c r="A10" s="5" t="n"/>
      <c r="B10" s="42">
        <f>B9+7</f>
        <v/>
      </c>
      <c r="C10" s="142" t="n"/>
      <c r="D10" s="134" t="n"/>
      <c r="E10" s="134" t="n"/>
      <c r="F10" s="134" t="n"/>
      <c r="G10" s="134" t="n"/>
      <c r="H10" s="134" t="n"/>
      <c r="I10" s="143" t="n"/>
    </row>
    <row r="11" ht="12.75" customHeight="1" s="106">
      <c r="A11" s="5" t="n">
        <v>6</v>
      </c>
      <c r="B11" s="42">
        <f>B10+7</f>
        <v/>
      </c>
      <c r="C11" s="5" t="n"/>
      <c r="D11" s="5" t="n"/>
      <c r="E11" s="5" t="n"/>
      <c r="F11" s="5" t="n"/>
      <c r="G11" s="5" t="n"/>
      <c r="H11" s="5" t="n"/>
      <c r="I11" s="5" t="n"/>
    </row>
    <row r="12" ht="12.75" customHeight="1" s="106">
      <c r="A12" s="5" t="n">
        <v>7</v>
      </c>
      <c r="B12" s="42">
        <f>B11+7</f>
        <v/>
      </c>
      <c r="C12" s="5" t="n"/>
      <c r="D12" s="5" t="n"/>
      <c r="E12" s="5" t="n"/>
      <c r="F12" s="5" t="n"/>
      <c r="G12" s="5" t="n"/>
      <c r="H12" s="5" t="n"/>
      <c r="I12" s="5" t="n"/>
    </row>
    <row r="13" ht="12.75" customHeight="1" s="106">
      <c r="A13" s="5" t="n">
        <v>8</v>
      </c>
      <c r="B13" s="42">
        <f>B12+7</f>
        <v/>
      </c>
      <c r="C13" s="5" t="n"/>
      <c r="D13" s="5" t="n"/>
      <c r="E13" s="5" t="n"/>
      <c r="F13" s="5" t="n"/>
      <c r="G13" s="5" t="n"/>
      <c r="H13" s="5" t="n"/>
      <c r="I13" s="5" t="n"/>
    </row>
    <row r="14" ht="12.75" customHeight="1" s="106">
      <c r="A14" s="5" t="n">
        <v>9</v>
      </c>
      <c r="B14" s="42">
        <f>B13+7</f>
        <v/>
      </c>
      <c r="C14" s="5" t="n"/>
      <c r="D14" s="5" t="n"/>
      <c r="E14" s="5" t="n"/>
      <c r="F14" s="5" t="n"/>
      <c r="G14" s="5" t="n"/>
      <c r="H14" s="5" t="n"/>
      <c r="I14" s="5" t="n"/>
    </row>
    <row r="15" ht="12.75" customHeight="1" s="106">
      <c r="A15" s="5" t="n">
        <v>10</v>
      </c>
      <c r="B15" s="42">
        <f>B14+7</f>
        <v/>
      </c>
      <c r="C15" s="5" t="n"/>
      <c r="D15" s="5" t="n"/>
      <c r="E15" s="5" t="n"/>
      <c r="F15" s="5" t="n"/>
      <c r="G15" s="5" t="n"/>
      <c r="H15" s="5" t="n"/>
      <c r="I15" s="5" t="n"/>
    </row>
    <row r="16" ht="12.75" customHeight="1" s="106">
      <c r="B16" s="107" t="n"/>
    </row>
    <row r="17" ht="12.75" customHeight="1" s="106"/>
    <row r="18" ht="12.75" customHeight="1" s="106">
      <c r="B18" s="44" t="inlineStr">
        <is>
          <t>Average</t>
        </is>
      </c>
      <c r="C18" s="47">
        <f>IFERROR(AVERAGEIF(C4:C14,"&gt;0"),"NA")</f>
        <v/>
      </c>
      <c r="D18" s="47">
        <f>IFERROR(AVERAGEIF(D4:D14,"&gt;0"),"NA")</f>
        <v/>
      </c>
      <c r="E18" s="47">
        <f>IFERROR(AVERAGEIF(E4:E14,"&gt;0"),"NA")</f>
        <v/>
      </c>
      <c r="F18" s="47">
        <f>AVERAGEIF(F4:F14,"&gt;0")</f>
        <v/>
      </c>
      <c r="G18" s="5" t="n"/>
      <c r="H18" s="47">
        <f>IFERROR(AVERAGEIF(H4:H14,"&gt;0"),"NA")</f>
        <v/>
      </c>
      <c r="I18" s="5" t="n"/>
    </row>
    <row r="20">
      <c r="M20" s="43" t="n"/>
      <c r="N20" s="43" t="n"/>
      <c r="O20" s="43" t="n"/>
      <c r="P20" s="43" t="n"/>
      <c r="Q20" s="43" t="n"/>
      <c r="R20" s="43" t="n"/>
      <c r="S20" s="43" t="n"/>
    </row>
    <row r="34">
      <c r="M34" s="43" t="n"/>
      <c r="N34" s="43" t="n"/>
    </row>
    <row r="35">
      <c r="M35" s="43" t="n"/>
      <c r="N35" s="4" t="n"/>
    </row>
    <row r="36">
      <c r="N36" s="4" t="n"/>
    </row>
    <row r="37">
      <c r="N37" s="4" t="n"/>
    </row>
    <row r="38">
      <c r="N38" s="4" t="n"/>
    </row>
    <row r="39">
      <c r="N39" s="4" t="n"/>
    </row>
  </sheetData>
  <mergeCells count="7">
    <mergeCell ref="C2:D2"/>
    <mergeCell ref="C9:I10"/>
    <mergeCell ref="I2:I3"/>
    <mergeCell ref="F2:F3"/>
    <mergeCell ref="E2:E3"/>
    <mergeCell ref="H2:H3"/>
    <mergeCell ref="G2:G3"/>
  </mergeCells>
  <conditionalFormatting sqref="N45">
    <cfRule type="duplicateValues" priority="9" dxfId="0"/>
    <cfRule type="duplicateValues" priority="8" dxfId="0"/>
  </conditionalFormatting>
  <conditionalFormatting sqref="N46">
    <cfRule type="duplicateValues" priority="7" dxfId="0"/>
    <cfRule type="duplicateValues" priority="6" dxfId="0"/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BC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29" sqref="AZ29"/>
    </sheetView>
  </sheetViews>
  <sheetFormatPr baseColWidth="8" defaultRowHeight="12.75"/>
  <cols>
    <col width="3" bestFit="1" customWidth="1" style="106" min="1" max="1"/>
    <col width="11.5703125" bestFit="1" customWidth="1" style="106" min="2" max="2"/>
    <col width="2.42578125" customWidth="1" style="106" min="3" max="3"/>
    <col width="2.85546875" customWidth="1" style="106" min="4" max="4"/>
    <col width="2.5703125" customWidth="1" style="106" min="5" max="6"/>
    <col width="2.140625" customWidth="1" style="106" min="7" max="7"/>
    <col width="2.7109375" customWidth="1" style="106" min="8" max="9"/>
    <col width="2.5703125" customWidth="1" style="106" min="10" max="10"/>
    <col width="2.140625" customWidth="1" style="106" min="11" max="11"/>
    <col width="2.7109375" customWidth="1" style="106" min="12" max="12"/>
    <col width="2.5703125" customWidth="1" style="106" min="13" max="14"/>
    <col width="2.7109375" customWidth="1" style="106" min="15" max="15"/>
    <col width="2.5703125" customWidth="1" style="106" min="16" max="16"/>
    <col width="2.7109375" customWidth="1" style="106" min="17" max="17"/>
    <col width="3.140625" customWidth="1" style="106" min="18" max="18"/>
    <col width="2.5703125" customWidth="1" style="106" min="19" max="19"/>
    <col width="2.7109375" customWidth="1" style="106" min="20" max="20"/>
    <col width="2.85546875" customWidth="1" style="106" min="21" max="21"/>
    <col width="3" customWidth="1" style="106" min="22" max="22"/>
    <col width="2.5703125" customWidth="1" style="106" min="23" max="23"/>
    <col width="2.42578125" customWidth="1" style="106" min="24" max="24"/>
    <col hidden="1" width="2.5703125" customWidth="1" style="106" min="25" max="25"/>
    <col hidden="1" width="2.7109375" customWidth="1" style="106" min="26" max="29"/>
    <col hidden="1" width="2.42578125" customWidth="1" style="106" min="30" max="30"/>
    <col hidden="1" width="2.5703125" customWidth="1" style="106" min="31" max="32"/>
    <col hidden="1" width="3" customWidth="1" style="106" min="33" max="33"/>
    <col hidden="1" width="2.42578125" customWidth="1" style="106" min="34" max="35"/>
    <col hidden="1" width="2.7109375" customWidth="1" style="106" min="36" max="38"/>
    <col hidden="1" width="2.5703125" customWidth="1" style="106" min="39" max="39"/>
    <col hidden="1" width="2.85546875" customWidth="1" style="106" min="40" max="40"/>
    <col hidden="1" width="2.28515625" customWidth="1" style="106" min="41" max="41"/>
    <col hidden="1" width="2.85546875" customWidth="1" style="106" min="42" max="42"/>
    <col hidden="1" width="2.5703125" customWidth="1" style="106" min="43" max="44"/>
    <col hidden="1" width="2.42578125" customWidth="1" style="106" min="45" max="45"/>
    <col hidden="1" width="2.85546875" customWidth="1" style="106" min="46" max="46"/>
    <col hidden="1" width="2.5703125" customWidth="1" style="106" min="47" max="47"/>
    <col hidden="1" width="2.7109375" customWidth="1" style="106" min="48" max="49"/>
    <col hidden="1" width="3.140625" customWidth="1" style="106" min="50" max="50"/>
    <col width="10.42578125" bestFit="1" customWidth="1" style="106" min="53" max="53"/>
    <col width="15.5703125" bestFit="1" customWidth="1" style="106" min="54" max="54"/>
    <col width="13.42578125" bestFit="1" customWidth="1" style="106" min="55" max="55"/>
  </cols>
  <sheetData>
    <row r="1">
      <c r="B1" s="45" t="inlineStr">
        <is>
          <t>Date</t>
        </is>
      </c>
      <c r="C1" s="133" t="n">
        <v>45396</v>
      </c>
      <c r="D1" s="136" t="n"/>
      <c r="E1" s="133">
        <f>C1+7</f>
        <v/>
      </c>
      <c r="F1" s="136" t="n"/>
      <c r="G1" s="133">
        <f>E1+7</f>
        <v/>
      </c>
      <c r="H1" s="136" t="n"/>
      <c r="I1" s="133">
        <f>G1+7</f>
        <v/>
      </c>
      <c r="J1" s="136" t="n"/>
      <c r="K1" s="133">
        <f>I1+7</f>
        <v/>
      </c>
      <c r="L1" s="136" t="n"/>
      <c r="M1" s="133">
        <f>K1+7</f>
        <v/>
      </c>
      <c r="N1" s="136" t="n"/>
      <c r="O1" s="133">
        <f>M1+7</f>
        <v/>
      </c>
      <c r="P1" s="136" t="n"/>
      <c r="Q1" s="133">
        <f>O1+7</f>
        <v/>
      </c>
      <c r="R1" s="136" t="n"/>
      <c r="S1" s="133">
        <f>Q1+7</f>
        <v/>
      </c>
      <c r="T1" s="136" t="n"/>
      <c r="U1" s="133">
        <f>S1+7</f>
        <v/>
      </c>
      <c r="V1" s="136" t="n"/>
      <c r="W1" s="133">
        <f>U1+7</f>
        <v/>
      </c>
      <c r="X1" s="136" t="n"/>
      <c r="Y1" s="133">
        <f>W1+7</f>
        <v/>
      </c>
      <c r="Z1" s="136" t="n"/>
      <c r="AA1" s="133">
        <f>Y1+7</f>
        <v/>
      </c>
      <c r="AB1" s="136" t="n"/>
      <c r="AC1" s="133">
        <f>AA1+7</f>
        <v/>
      </c>
      <c r="AD1" s="136" t="n"/>
      <c r="AE1" s="133">
        <f>AC1+7</f>
        <v/>
      </c>
      <c r="AF1" s="136" t="n"/>
      <c r="AG1" s="133">
        <f>AE1+7</f>
        <v/>
      </c>
      <c r="AH1" s="136" t="n"/>
      <c r="AI1" s="133">
        <f>AG1+14</f>
        <v/>
      </c>
      <c r="AJ1" s="136" t="n"/>
      <c r="AK1" s="133">
        <f>AI1+7</f>
        <v/>
      </c>
      <c r="AL1" s="136" t="n"/>
      <c r="AM1" s="133">
        <f>AK1+6</f>
        <v/>
      </c>
      <c r="AN1" s="136" t="n"/>
      <c r="AO1" s="133">
        <f>AM1+8</f>
        <v/>
      </c>
      <c r="AP1" s="136" t="n"/>
      <c r="AQ1" s="133">
        <f>AO1+7</f>
        <v/>
      </c>
      <c r="AR1" s="136" t="n"/>
      <c r="AS1" s="133">
        <f>AQ1+7</f>
        <v/>
      </c>
      <c r="AT1" s="136" t="n"/>
      <c r="AU1" s="133">
        <f>AS1+7</f>
        <v/>
      </c>
      <c r="AV1" s="136" t="n"/>
      <c r="AW1" s="133">
        <f>AU1+7</f>
        <v/>
      </c>
      <c r="AX1" s="136" t="n"/>
    </row>
    <row r="2">
      <c r="B2" s="43" t="inlineStr">
        <is>
          <t>Player</t>
        </is>
      </c>
      <c r="C2" s="49" t="inlineStr">
        <is>
          <t>P</t>
        </is>
      </c>
      <c r="D2" s="49" t="inlineStr">
        <is>
          <t>W</t>
        </is>
      </c>
      <c r="E2" s="49" t="inlineStr">
        <is>
          <t>P</t>
        </is>
      </c>
      <c r="F2" s="49" t="inlineStr">
        <is>
          <t>W</t>
        </is>
      </c>
      <c r="G2" s="49" t="inlineStr">
        <is>
          <t>P</t>
        </is>
      </c>
      <c r="H2" s="49" t="inlineStr">
        <is>
          <t>W</t>
        </is>
      </c>
      <c r="I2" s="49" t="inlineStr">
        <is>
          <t>P</t>
        </is>
      </c>
      <c r="J2" s="49" t="inlineStr">
        <is>
          <t>W</t>
        </is>
      </c>
      <c r="K2" s="49" t="inlineStr">
        <is>
          <t>P</t>
        </is>
      </c>
      <c r="L2" s="49" t="inlineStr">
        <is>
          <t>W</t>
        </is>
      </c>
      <c r="M2" s="49" t="inlineStr">
        <is>
          <t>P</t>
        </is>
      </c>
      <c r="N2" s="49" t="inlineStr">
        <is>
          <t>W</t>
        </is>
      </c>
      <c r="O2" s="49" t="inlineStr">
        <is>
          <t>P</t>
        </is>
      </c>
      <c r="P2" s="49" t="inlineStr">
        <is>
          <t>W</t>
        </is>
      </c>
      <c r="Q2" s="49" t="inlineStr">
        <is>
          <t>P</t>
        </is>
      </c>
      <c r="R2" s="49" t="inlineStr">
        <is>
          <t>W</t>
        </is>
      </c>
      <c r="S2" s="49" t="inlineStr">
        <is>
          <t>P</t>
        </is>
      </c>
      <c r="T2" s="49" t="inlineStr">
        <is>
          <t>W</t>
        </is>
      </c>
      <c r="U2" s="49" t="inlineStr">
        <is>
          <t>P</t>
        </is>
      </c>
      <c r="V2" s="49" t="inlineStr">
        <is>
          <t>W</t>
        </is>
      </c>
      <c r="W2" s="49" t="inlineStr">
        <is>
          <t>P</t>
        </is>
      </c>
      <c r="X2" s="49" t="inlineStr">
        <is>
          <t>W</t>
        </is>
      </c>
      <c r="Y2" s="49" t="inlineStr">
        <is>
          <t>P</t>
        </is>
      </c>
      <c r="Z2" s="49" t="inlineStr">
        <is>
          <t>W</t>
        </is>
      </c>
      <c r="AA2" s="49" t="inlineStr">
        <is>
          <t>P</t>
        </is>
      </c>
      <c r="AB2" s="49" t="inlineStr">
        <is>
          <t>W</t>
        </is>
      </c>
      <c r="AC2" s="49" t="inlineStr">
        <is>
          <t>P</t>
        </is>
      </c>
      <c r="AD2" s="49" t="inlineStr">
        <is>
          <t>W</t>
        </is>
      </c>
      <c r="AE2" s="49" t="inlineStr">
        <is>
          <t>P</t>
        </is>
      </c>
      <c r="AF2" s="49" t="inlineStr">
        <is>
          <t>W</t>
        </is>
      </c>
      <c r="AG2" s="49" t="inlineStr">
        <is>
          <t>P</t>
        </is>
      </c>
      <c r="AH2" s="49" t="inlineStr">
        <is>
          <t>W</t>
        </is>
      </c>
      <c r="AI2" s="49" t="inlineStr">
        <is>
          <t>P</t>
        </is>
      </c>
      <c r="AJ2" s="49" t="inlineStr">
        <is>
          <t>W</t>
        </is>
      </c>
      <c r="AK2" s="49" t="inlineStr">
        <is>
          <t>P</t>
        </is>
      </c>
      <c r="AL2" s="49" t="inlineStr">
        <is>
          <t>W</t>
        </is>
      </c>
      <c r="AM2" s="49" t="inlineStr">
        <is>
          <t>P</t>
        </is>
      </c>
      <c r="AN2" s="49" t="inlineStr">
        <is>
          <t>W</t>
        </is>
      </c>
      <c r="AO2" s="49" t="inlineStr">
        <is>
          <t>P</t>
        </is>
      </c>
      <c r="AP2" s="49" t="inlineStr">
        <is>
          <t>W</t>
        </is>
      </c>
      <c r="AQ2" s="46" t="inlineStr">
        <is>
          <t>P</t>
        </is>
      </c>
      <c r="AR2" s="46" t="inlineStr">
        <is>
          <t>W</t>
        </is>
      </c>
      <c r="AS2" s="46" t="inlineStr">
        <is>
          <t>P</t>
        </is>
      </c>
      <c r="AT2" s="46" t="inlineStr">
        <is>
          <t>W</t>
        </is>
      </c>
      <c r="AU2" s="46" t="inlineStr">
        <is>
          <t>P</t>
        </is>
      </c>
      <c r="AV2" s="46" t="inlineStr">
        <is>
          <t>W</t>
        </is>
      </c>
      <c r="AW2" s="46" t="inlineStr">
        <is>
          <t>P</t>
        </is>
      </c>
      <c r="AX2" s="46" t="inlineStr">
        <is>
          <t>W</t>
        </is>
      </c>
      <c r="BA2" s="53" t="inlineStr">
        <is>
          <t>Player</t>
        </is>
      </c>
      <c r="BB2" s="44" t="inlineStr">
        <is>
          <t>Sundays played</t>
        </is>
      </c>
      <c r="BC2" s="44" t="inlineStr">
        <is>
          <t>Attendance %</t>
        </is>
      </c>
    </row>
    <row r="3" ht="15" customHeight="1" s="106">
      <c r="A3" t="n">
        <v>1</v>
      </c>
      <c r="B3" s="54" t="inlineStr">
        <is>
          <t>Yogi</t>
        </is>
      </c>
      <c r="C3" s="50">
        <f>SUMPRODUCT(--('2026'!$A$5:$A$500=$C$1),--('2026'!$C$5:$C$500=$B3))+SUMPRODUCT(--('2026'!$A$5:$A$500=$C$1),--('2026'!$F$5:$F$500=$B3))+SUMPRODUCT(--('2026'!$A$5:$A$500=$C$1),--('2026'!$D$5:$D$500=$B3))+SUMPRODUCT(--('2026'!$A$5:$A$500=$C$1),--('2026'!$G$5:$G$500=$B3))</f>
        <v/>
      </c>
      <c r="D3" s="50">
        <f>SUMPRODUCT(--('2026'!$A$5:$A$500=$C$1),--('2026'!$I$5:$I$500=$B3))+SUMPRODUCT(--('2026'!$A$5:$A$500=$C$1),--('2026'!$J$5:$J$500=$B3))</f>
        <v/>
      </c>
      <c r="E3" s="50">
        <f>SUMPRODUCT(--('2026'!$A$5:$A$500=$E$1),--('2026'!$C$5:$C$500=$B3))+SUMPRODUCT(--('2026'!$A$5:$A$500=$E$1),--('2026'!$F$5:$F$500=$B3))+SUMPRODUCT(--('2026'!$A$5:$A$500=$E$1),--('2026'!$D$5:$D$500=$B3))+SUMPRODUCT(--('2026'!$A$5:$A$500=$E$1),--('2026'!$G$5:$G$500=$B3))</f>
        <v/>
      </c>
      <c r="F3" s="50">
        <f>SUMPRODUCT(--('2026'!$A$5:$A$500=$E$1),--('2026'!$I$5:$I$500=$B3))+SUMPRODUCT(--('2026'!$A$5:$A$500=$E$1),--('2026'!$J$5:$J$500=$B3))</f>
        <v/>
      </c>
      <c r="G3" s="50">
        <f>SUMPRODUCT(--('2026'!$A$5:$A$500=$G$1),--('2026'!$C$5:$C$500=$B3))+SUMPRODUCT(--('2026'!$A$5:$A$500=$G$1),--('2026'!$F$5:$F$500=$B3))+SUMPRODUCT(--('2026'!$A$5:$A$500=$G$1),--('2026'!$D$5:$D$500=$B3))+SUMPRODUCT(--('2026'!$A$5:$A$500=$G$1),--('2026'!$G$5:$G$500=$B3))</f>
        <v/>
      </c>
      <c r="H3" s="50">
        <f>SUMPRODUCT(--('2026'!$A$5:$A$500=$G$1),--('2026'!$I$5:$I$500=$B3))+SUMPRODUCT(--('2026'!$A$5:$A$500=$G$1),--('2026'!$J$5:$J$500=$B3))</f>
        <v/>
      </c>
      <c r="I3" s="50">
        <f>SUMPRODUCT(--('2026'!$A$5:$A$500=$I$1),--('2026'!$C$5:$C$500=$B3))+SUMPRODUCT(--('2026'!$A$5:$A$500=$I$1),--('2026'!$F$5:$F$500=$B3))+SUMPRODUCT(--('2026'!$A$5:$A$500=$I$1),--('2026'!$D$5:$D$500=$B3))+SUMPRODUCT(--('2026'!$A$5:$A$500=$I$1),--('2026'!$G$5:$G$500=$B3))</f>
        <v/>
      </c>
      <c r="J3" s="80">
        <f>SUMPRODUCT(--('2026'!$A$5:$A$500=$I$1),--('2026'!$I$5:$I$500=$B3))+SUMPRODUCT(--('2026'!$A$5:$A$500=$I$1),--('2026'!$J$5:$J$500=$B3))</f>
        <v/>
      </c>
      <c r="K3" s="79">
        <f>SUMPRODUCT(--('2026'!$A$5:$A$500=$K$1),--('2026'!$C$5:$C$500=$B3))+SUMPRODUCT(--('2026'!$A$5:$A$500=$K$1),--('2026'!$F$5:$F$500=$B3))+SUMPRODUCT(--('2026'!$A$5:$A$500=$K$1),--('2026'!$D$5:$D$500=$B3))+SUMPRODUCT(--('2026'!$A$5:$A$500=$K$1),--('2026'!$G$5:$G$500=$B3))</f>
        <v/>
      </c>
      <c r="L3" s="81">
        <f>SUMPRODUCT(--('2026'!$A$5:$A$500=$K$1),--('2026'!$I$5:$I$500=$B3))+SUMPRODUCT(--('2026'!$A$5:$A$500=$K$1),--('2026'!$J$5:$J$500=$B3))</f>
        <v/>
      </c>
      <c r="M3" s="50">
        <f>SUMPRODUCT(--('2026'!$A$5:$A$500=$M$1),--('2026'!$C$5:$C$500=$B3))+SUMPRODUCT(--('2026'!$A$5:$A$500=$M$1),--('2026'!$F$5:$F$500=$B3))+SUMPRODUCT(--('2026'!$A$5:$A$500=$M$1),--('2026'!$D$5:$D$500=$B3))+SUMPRODUCT(--('2026'!$A$5:$A$500=$M$1),--('2026'!$G$5:$G$500=$B3))</f>
        <v/>
      </c>
      <c r="N3" s="50">
        <f>SUMPRODUCT(--('2026'!$A$5:$A$500=$M$1),--('2026'!$I$5:$I$500=$B3))+SUMPRODUCT(--('2026'!$A$5:$A$500=$M$1),--('2026'!$J$5:$J$500=$B3))</f>
        <v/>
      </c>
      <c r="O3" s="50">
        <f>SUMPRODUCT(--('2026'!$A$5:$A$500=$O$1),--('2026'!$C$5:$C$500=$B3))+SUMPRODUCT(--('2026'!$A$5:$A$500=$O$1),--('2026'!$F$5:$F$500=$B3))+SUMPRODUCT(--('2026'!$A$5:$A$500=$O$1),--('2026'!$D$5:$D$500=$B3))+SUMPRODUCT(--('2026'!$A$5:$A$500=$O$1),--('2026'!$G$5:$G$500=$B3))</f>
        <v/>
      </c>
      <c r="P3" s="50">
        <f>SUMPRODUCT(--('2026'!$A$5:$A$500=$O$1),--('2026'!$I$5:$I$500=$B3))+SUMPRODUCT(--('2026'!$A$5:$A$500=$O$1),--('2026'!$J$5:$J$500=$B3))</f>
        <v/>
      </c>
      <c r="Q3" s="50">
        <f>SUMPRODUCT(--('2026'!$A$5:$A$500=$Q$1),--('2026'!$C$5:$C$500=$B3))+SUMPRODUCT(--('2026'!$A$5:$A$500=$Q$1),--('2026'!$F$5:$F$500=$B3))+SUMPRODUCT(--('2026'!$A$5:$A$500=$Q$1),--('2026'!$D$5:$D$500=$B3))+SUMPRODUCT(--('2026'!$A$5:$A$500=$Q$1),--('2026'!$G$5:$G$500=$B3))</f>
        <v/>
      </c>
      <c r="R3" s="50">
        <f>SUMPRODUCT(--('2026'!$A$5:$A$500=$Q$1),--('2026'!$I$5:$I$500=$B3))+SUMPRODUCT(--('2026'!$A$5:$A$500=$Q$1),--('2026'!$J$5:$J$500=$B3))</f>
        <v/>
      </c>
      <c r="S3" s="50">
        <f>SUMPRODUCT(--('2026'!$A$5:$A$500=$S$1),--('2026'!$C$5:$C$500=$B3))+SUMPRODUCT(--('2026'!$A$5:$A$500=$S$1),--('2026'!$F$5:$F$500=$B3))+SUMPRODUCT(--('2026'!$A$5:$A$500=$S$1),--('2026'!$D$5:$D$500=$B3))+SUMPRODUCT(--('2026'!$A$5:$A$500=$S$1),--('2026'!$G$5:$G$500=$B3))</f>
        <v/>
      </c>
      <c r="T3" s="50">
        <f>SUMPRODUCT(--('2026'!$A$5:$A$500=$S$1),--('2026'!$I$5:$I$500=$B3))+SUMPRODUCT(--('2026'!$A$5:$A$500=$S$1),--('2026'!$J$5:$J$500=$B3))</f>
        <v/>
      </c>
      <c r="U3" s="50">
        <f>SUMPRODUCT(--('2026'!$A$5:$A$500=$U$1),--('2026'!$C$5:$C$500=$B3))+SUMPRODUCT(--('2026'!$A$5:$A$500=$U$1),--('2026'!$F$5:$F$500=$B3))+SUMPRODUCT(--('2026'!$A$5:$A$500=$U$1),--('2026'!$D$5:$D$500=$B3))+SUMPRODUCT(--('2026'!$A$5:$A$500=$U$1),--('2026'!$G$5:$G$500=$B3))</f>
        <v/>
      </c>
      <c r="V3" s="50">
        <f>SUMPRODUCT(--('2026'!$A$5:$A$500=$U$1),--('2026'!$I$5:$I$500=$B3))+SUMPRODUCT(--('2026'!$A$5:$A$500=$U$1),--('2026'!$J$5:$J$500=$B3))</f>
        <v/>
      </c>
      <c r="W3" s="60">
        <f>SUMPRODUCT(--('2026'!$A$5:$A$500=$W$1),--('2026'!$C$5:$C$500=$B3))+SUMPRODUCT(--('2026'!$A$5:$A$500=$W$1),--('2026'!$F$5:$F$500=$B3))+SUMPRODUCT(--('2026'!$A$5:$A$500=$W$1),--('2026'!$D$5:$D$500=$B3))+SUMPRODUCT(--('2026'!$A$5:$A$500=$W$1),--('2026'!$G$5:$G$500=$B3))</f>
        <v/>
      </c>
      <c r="X3" s="60">
        <f>SUMPRODUCT(--('2026'!$A$5:$A$500=$W$1),--('2026'!$I$5:$I$500=$B3))+SUMPRODUCT(--('2026'!$A$5:$A$500=$W$1),--('2026'!$J$5:$J$500=$B3))</f>
        <v/>
      </c>
      <c r="Y3" s="51">
        <f>SUMPRODUCT(--('2026'!$A$5:$A$500=$Y$1),--('2026'!$C$5:$C$500=$B3))+SUMPRODUCT(--('2026'!$A$5:$A$500=$Y$1),--('2026'!$F$5:$F$500=$B3))+SUMPRODUCT(--('2026'!$A$5:$A$500=$Y$1),--('2026'!$D$5:$D$500=$B3))+SUMPRODUCT(--('2026'!$A$5:$A$500=$Y$1),--('2026'!$G$5:$G$500=$B3))</f>
        <v/>
      </c>
      <c r="Z3" s="51">
        <f>SUMPRODUCT(--('2026'!$A$5:$A$500=$Y$1),--('2026'!$I$5:$I$500=$B3))+SUMPRODUCT(--('2026'!$A$5:$A$500=$Y$1),--('2026'!$J$5:$J$500=$B3))</f>
        <v/>
      </c>
      <c r="AA3" s="51">
        <f>SUMPRODUCT(--('2026'!$A$5:$A$500=$AA$1),--('2026'!$C$5:$C$500=$B3))+SUMPRODUCT(--('2026'!$A$5:$A$500=$AA$1),--('2026'!$F$5:$F$500=$B3))+SUMPRODUCT(--('2026'!$A$5:$A$500=$AA$1),--('2026'!$D$5:$D$500=$B3))+SUMPRODUCT(--('2026'!$A$5:$A$500=$AA$1),--('2026'!$G$5:$G$500=$B3))</f>
        <v/>
      </c>
      <c r="AB3" s="51">
        <f>SUMPRODUCT(--('2026'!$A$5:$A$500=$AA$1),--('2026'!$I$5:$I$500=$B3))+SUMPRODUCT(--('2026'!$A$5:$A$500=$AA$1),--('2026'!$J$5:$J$500=$B3))</f>
        <v/>
      </c>
      <c r="AC3" s="51">
        <f>SUMPRODUCT(--('2026'!$A$5:$A$500=$AC$1),--('2026'!$C$5:$C$500=$B3))+SUMPRODUCT(--('2026'!$A$5:$A$500=$AC$1),--('2026'!$F$5:$F$500=$B3))+SUMPRODUCT(--('2026'!$A$5:$A$500=$AC$1),--('2026'!$D$5:$D$500=$B3))+SUMPRODUCT(--('2026'!$A$5:$A$500=$AC$1),--('2026'!$G$5:$G$500=$B3))</f>
        <v/>
      </c>
      <c r="AD3" s="51">
        <f>SUMPRODUCT(--('2026'!$A$5:$A$500=$AC$1),--('2026'!$I$5:$I$500=$B3))+SUMPRODUCT(--('2026'!$A$5:$A$500=$AC$1),--('2026'!$J$5:$J$500=$B3))</f>
        <v/>
      </c>
      <c r="AE3" s="61">
        <f>SUMPRODUCT(--('2026'!$A$5:$A$500=$AE$1),--('2026'!$C$5:$C$500=$B3))+SUMPRODUCT(--('2026'!$A$5:$A$500=$AE$1),--('2026'!$F$5:$F$500=$B3))+SUMPRODUCT(--('2026'!$A$5:$A$500=$AE$1),--('2026'!$D$5:$D$500=$B3))+SUMPRODUCT(--('2026'!$A$5:$A$500=$AE$1),--('2026'!$G$5:$G$500=$B3))</f>
        <v/>
      </c>
      <c r="AF3" s="61">
        <f>SUMPRODUCT(--('2026'!$A$5:$A$500=$AE$1),--('2026'!$I$5:$I$500=$B3))+SUMPRODUCT(--('2026'!$A$5:$A$500=$AE$1),--('2026'!$J$5:$J$500=$B3))</f>
        <v/>
      </c>
      <c r="AG3" s="51">
        <f>SUMPRODUCT(--('2026'!$A$5:$A$500=$AG$1),--('2026'!$C$5:$C$500=$B3))+SUMPRODUCT(--('2026'!$A$5:$A$500=$AG$1),--('2026'!$F$5:$F$500=$B3))+SUMPRODUCT(--('2026'!$A$5:$A$500=$AG$1),--('2026'!$D$5:$D$500=$B3))+SUMPRODUCT(--('2026'!$A$5:$A$500=$AG$1),--('2026'!$G$5:$G$500=$B3))</f>
        <v/>
      </c>
      <c r="AH3" s="51">
        <f>SUMPRODUCT(--('2026'!$A$5:$A$500=$AG$1),--('2026'!$I$5:$I$500=$B3))+SUMPRODUCT(--('2026'!$A$5:$A$500=$AG$1),--('2026'!$J$5:$J$500=$B3))</f>
        <v/>
      </c>
      <c r="AI3" s="51">
        <f>SUMPRODUCT(--('2026'!$A$5:$A$500=$AI$1),--('2026'!$C$5:$C$500=$B3))+SUMPRODUCT(--('2026'!$A$5:$A$500=$AI$1),--('2026'!$F$5:$F$500=$B3))+SUMPRODUCT(--('2026'!$A$5:$A$500=$AI$1),--('2026'!$D$5:$D$500=$B3))+SUMPRODUCT(--('2026'!$A$5:$A$500=$AI$1),--('2026'!$G$5:$G$500=$B3))</f>
        <v/>
      </c>
      <c r="AJ3" s="51">
        <f>SUMPRODUCT(--('2026'!$A$5:$A$500=$AI$1),--('2026'!$I$5:$I$500=$B3))+SUMPRODUCT(--('2026'!$A$5:$A$500=$AI$1),--('2026'!$J$5:$J$500=$B3))</f>
        <v/>
      </c>
      <c r="AK3" s="51">
        <f>SUMPRODUCT(--('2026'!$A$5:$A$500=$AK$1),--('2026'!$C$5:$C$500=$B3))+SUMPRODUCT(--('2026'!$A$5:$A$500=$AK$1),--('2026'!$F$5:$F$500=$B3))+SUMPRODUCT(--('2026'!$A$5:$A$500=$AK$1),--('2026'!$D$5:$D$500=$B3))+SUMPRODUCT(--('2026'!$A$5:$A$500=$AK$1),--('2026'!$G$5:$G$500=$B3))</f>
        <v/>
      </c>
      <c r="AL3" s="51">
        <f>SUMPRODUCT(--('2026'!$A$5:$A$500=$AK$1),--('2026'!$I$5:$I$500=$B3))+SUMPRODUCT(--('2026'!$A$5:$A$500=$AK$1),--('2026'!$J$5:$J$500=$B3))</f>
        <v/>
      </c>
      <c r="AM3" s="51">
        <f>SUMPRODUCT(--('2026'!$A$5:$A$500=$AM$1),--('2026'!$C$5:$C$500=$B3))+SUMPRODUCT(--('2026'!$A$5:$A$500=$AM$1),--('2026'!$F$5:$F$500=$B3))+SUMPRODUCT(--('2026'!$A$5:$A$500=$AM$1),--('2026'!$D$5:$D$500=$B3))+SUMPRODUCT(--('2026'!$A$5:$A$500=$AM$1),--('2026'!$G$5:$G$500=$B3))</f>
        <v/>
      </c>
      <c r="AN3" s="51">
        <f>SUMPRODUCT(--('2026'!$A$5:$A$500=$AM$1),--('2026'!$I$5:$I$500=$B3))+SUMPRODUCT(--('2026'!$A$5:$A$500=$AM$1),--('2026'!$J$5:$J$500=$B3))</f>
        <v/>
      </c>
      <c r="AO3" s="51">
        <f>SUMPRODUCT(--('2026'!$A$5:$A$500=$AO$1),--('2026'!$C$5:$C$500=$B3))+SUMPRODUCT(--('2026'!$A$5:$A$500=$AO$1),--('2026'!$F$5:$F$500=$B3))+SUMPRODUCT(--('2026'!$A$5:$A$500=$AO$1),--('2026'!$D$5:$D$500=$B3))+SUMPRODUCT(--('2026'!$A$5:$A$500=$AO$1),--('2026'!$G$5:$G$500=$B3))</f>
        <v/>
      </c>
      <c r="AP3" s="51">
        <f>SUMPRODUCT(--('2026'!$A$5:$A$500=$AO$1),--('2026'!$I$5:$I$500=$B3))+SUMPRODUCT(--('2026'!$A$5:$A$500=$AO$1),--('2026'!$J$5:$J$500=$B3))</f>
        <v/>
      </c>
      <c r="AQ3" s="51">
        <f>SUMPRODUCT(--('2026'!$A$5:$A$500=$AQ$1),--('2026'!$C$5:$C$500=$B3))+SUMPRODUCT(--('2026'!$A$5:$A$500=$AQ$1),--('2026'!$F$5:$F$500=$B3))+SUMPRODUCT(--('2026'!$A$5:$A$500=$AQ$1),--('2026'!$D$5:$D$500=$B3))+SUMPRODUCT(--('2026'!$A$5:$A$500=$AQ$1),--('2026'!$G$5:$G$500=$B3))</f>
        <v/>
      </c>
      <c r="AR3" s="51">
        <f>SUMPRODUCT(--('2026'!$A$5:$A$500=$AQ$1),--('2026'!$I$5:$I$500=$B3))+SUMPRODUCT(--('2026'!$A$5:$A$500=$AQ$1),--('2026'!$J$5:$J$500=$B3))</f>
        <v/>
      </c>
      <c r="AS3" s="51">
        <f>SUMPRODUCT(--('2026'!$A$5:$A$500=$AS$1),--('2026'!$C$5:$C$500=$B3))+SUMPRODUCT(--('2026'!$A$5:$A$500=$AS$1),--('2026'!$F$5:$F$500=$B3))+SUMPRODUCT(--('2026'!$A$5:$A$500=$AS$1),--('2026'!$D$5:$D$500=$B3))+SUMPRODUCT(--('2026'!$A$5:$A$500=$AS$1),--('2026'!$G$5:$G$500=$B3))</f>
        <v/>
      </c>
      <c r="AT3" s="51">
        <f>SUMPRODUCT(--('2026'!$A$5:$A$500=$AS$1),--('2026'!$I$5:$I$500=$B3))+SUMPRODUCT(--('2026'!$A$5:$A$500=$AS$1),--('2026'!$J$5:$J$500=$B3))</f>
        <v/>
      </c>
      <c r="AU3" s="51">
        <f>SUMPRODUCT(--('2026'!$A$5:$A$500=$AU$1),--('2026'!$C$5:$C$500=$B3))+SUMPRODUCT(--('2026'!$A$5:$A$500=$AU$1),--('2026'!$F$5:$F$500=$B3))+SUMPRODUCT(--('2026'!$A$5:$A$500=$AU$1),--('2026'!$D$5:$D$500=$B3))+SUMPRODUCT(--('2026'!$A$5:$A$500=$AU$1),--('2026'!$G$5:$G$500=$B3))</f>
        <v/>
      </c>
      <c r="AV3" s="51">
        <f>SUMPRODUCT(--('2026'!$A$5:$A$500=$AU$1),--('2026'!$I$5:$I$500=$B3))+SUMPRODUCT(--('2026'!$A$5:$A$500=$AU$1),--('2026'!$J$5:$J$500=$B3))</f>
        <v/>
      </c>
      <c r="AW3" s="51">
        <f>SUMPRODUCT(--('2026'!$A$5:$A$500=$AW$1),--('2026'!$C$5:$C$500=$B3))+SUMPRODUCT(--('2026'!$A$5:$A$500=$AW$1),--('2026'!$F$5:$F$500=$B3))+SUMPRODUCT(--('2026'!$A$5:$A$500=$AW$1),--('2026'!$D$5:$D$500=$B3))+SUMPRODUCT(--('2026'!$A$5:$A$500=$AW$1),--('2026'!$G$5:$G$500=$B3))</f>
        <v/>
      </c>
      <c r="AX3" s="51">
        <f>SUMPRODUCT(--('2026'!$A$5:$A$500=$AW$1),--('2026'!$I$5:$I$500=$B3))+SUMPRODUCT(--('2026'!$A$5:$A$500=$AW$1),--('2026'!$J$5:$J$500=$B3))</f>
        <v/>
      </c>
      <c r="BA3" s="54" t="inlineStr">
        <is>
          <t>Sandip</t>
        </is>
      </c>
      <c r="BB3" s="47">
        <f>IF(ISODD(COUNTIF(C3:AX3,"&gt;0")),COUNTIF(C3:AX3,"&gt;0")+1,COUNTIF(C3:AX3,"&gt;0"))/2</f>
        <v/>
      </c>
      <c r="BC3" s="52">
        <f>BB3/15</f>
        <v/>
      </c>
    </row>
    <row r="4" ht="15" customHeight="1" s="106">
      <c r="A4" t="n">
        <v>2</v>
      </c>
      <c r="B4" s="54" t="inlineStr">
        <is>
          <t>Nawaz</t>
        </is>
      </c>
      <c r="C4" s="50">
        <f>SUMPRODUCT(--('2026'!$A$5:$A$500=$C$1),--('2026'!$C$5:$C$500=$B4))+SUMPRODUCT(--('2026'!$A$5:$A$500=$C$1),--('2026'!$F$5:$F$500=$B4))+SUMPRODUCT(--('2026'!$A$5:$A$500=$C$1),--('2026'!$D$5:$D$500=$B4))+SUMPRODUCT(--('2026'!$A$5:$A$500=$C$1),--('2026'!$G$5:$G$500=$B4))</f>
        <v/>
      </c>
      <c r="D4" s="80">
        <f>SUMPRODUCT(--('2026'!$A$5:$A$500=$C$1),--('2026'!$I$5:$I$500=$B4))+SUMPRODUCT(--('2026'!$A$5:$A$500=$C$1),--('2026'!$J$5:$J$500=$B4))</f>
        <v/>
      </c>
      <c r="E4" s="50">
        <f>SUMPRODUCT(--('2026'!$A$5:$A$500=$E$1),--('2026'!$C$5:$C$500=$B4))+SUMPRODUCT(--('2026'!$A$5:$A$500=$E$1),--('2026'!$F$5:$F$500=$B4))+SUMPRODUCT(--('2026'!$A$5:$A$500=$E$1),--('2026'!$D$5:$D$500=$B4))+SUMPRODUCT(--('2026'!$A$5:$A$500=$E$1),--('2026'!$G$5:$G$500=$B4))</f>
        <v/>
      </c>
      <c r="F4" s="50">
        <f>SUMPRODUCT(--('2026'!$A$5:$A$500=$E$1),--('2026'!$I$5:$I$500=$B4))+SUMPRODUCT(--('2026'!$A$5:$A$500=$E$1),--('2026'!$J$5:$J$500=$B4))</f>
        <v/>
      </c>
      <c r="G4" s="50">
        <f>SUMPRODUCT(--('2026'!$A$5:$A$500=$G$1),--('2026'!$C$5:$C$500=$B4))+SUMPRODUCT(--('2026'!$A$5:$A$500=$G$1),--('2026'!$F$5:$F$500=$B4))+SUMPRODUCT(--('2026'!$A$5:$A$500=$G$1),--('2026'!$D$5:$D$500=$B4))+SUMPRODUCT(--('2026'!$A$5:$A$500=$G$1),--('2026'!$G$5:$G$500=$B4))</f>
        <v/>
      </c>
      <c r="H4" s="50">
        <f>SUMPRODUCT(--('2026'!$A$5:$A$500=$G$1),--('2026'!$I$5:$I$500=$B4))+SUMPRODUCT(--('2026'!$A$5:$A$500=$G$1),--('2026'!$J$5:$J$500=$B4))</f>
        <v/>
      </c>
      <c r="I4" s="50">
        <f>SUMPRODUCT(--('2026'!$A$5:$A$500=$I$1),--('2026'!$C$5:$C$500=$B4))+SUMPRODUCT(--('2026'!$A$5:$A$500=$I$1),--('2026'!$F$5:$F$500=$B4))+SUMPRODUCT(--('2026'!$A$5:$A$500=$I$1),--('2026'!$D$5:$D$500=$B4))+SUMPRODUCT(--('2026'!$A$5:$A$500=$I$1),--('2026'!$G$5:$G$500=$B4))</f>
        <v/>
      </c>
      <c r="J4" s="50">
        <f>SUMPRODUCT(--('2026'!$A$5:$A$500=$I$1),--('2026'!$I$5:$I$500=$B4))+SUMPRODUCT(--('2026'!$A$5:$A$500=$I$1),--('2026'!$J$5:$J$500=$B4))</f>
        <v/>
      </c>
      <c r="K4" s="50">
        <f>SUMPRODUCT(--('2026'!$A$5:$A$500=$K$1),--('2026'!$C$5:$C$500=$B4))+SUMPRODUCT(--('2026'!$A$5:$A$500=$K$1),--('2026'!$F$5:$F$500=$B4))+SUMPRODUCT(--('2026'!$A$5:$A$500=$K$1),--('2026'!$D$5:$D$500=$B4))+SUMPRODUCT(--('2026'!$A$5:$A$500=$K$1),--('2026'!$G$5:$G$500=$B4))</f>
        <v/>
      </c>
      <c r="L4" s="50">
        <f>SUMPRODUCT(--('2026'!$A$5:$A$500=$K$1),--('2026'!$I$5:$I$500=$B4))+SUMPRODUCT(--('2026'!$A$5:$A$500=$K$1),--('2026'!$J$5:$J$500=$B4))</f>
        <v/>
      </c>
      <c r="M4" s="50">
        <f>SUMPRODUCT(--('2026'!$A$5:$A$500=$M$1),--('2026'!$C$5:$C$500=$B4))+SUMPRODUCT(--('2026'!$A$5:$A$500=$M$1),--('2026'!$F$5:$F$500=$B4))+SUMPRODUCT(--('2026'!$A$5:$A$500=$M$1),--('2026'!$D$5:$D$500=$B4))+SUMPRODUCT(--('2026'!$A$5:$A$500=$M$1),--('2026'!$G$5:$G$500=$B4))</f>
        <v/>
      </c>
      <c r="N4" s="50">
        <f>SUMPRODUCT(--('2026'!$A$5:$A$500=$M$1),--('2026'!$I$5:$I$500=$B4))+SUMPRODUCT(--('2026'!$A$5:$A$500=$M$1),--('2026'!$J$5:$J$500=$B4))</f>
        <v/>
      </c>
      <c r="O4" s="50">
        <f>SUMPRODUCT(--('2026'!$A$5:$A$500=$O$1),--('2026'!$C$5:$C$500=$B4))+SUMPRODUCT(--('2026'!$A$5:$A$500=$O$1),--('2026'!$F$5:$F$500=$B4))+SUMPRODUCT(--('2026'!$A$5:$A$500=$O$1),--('2026'!$D$5:$D$500=$B4))+SUMPRODUCT(--('2026'!$A$5:$A$500=$O$1),--('2026'!$G$5:$G$500=$B4))</f>
        <v/>
      </c>
      <c r="P4" s="50">
        <f>SUMPRODUCT(--('2026'!$A$5:$A$500=$O$1),--('2026'!$I$5:$I$500=$B4))+SUMPRODUCT(--('2026'!$A$5:$A$500=$O$1),--('2026'!$J$5:$J$500=$B4))</f>
        <v/>
      </c>
      <c r="Q4" s="50">
        <f>SUMPRODUCT(--('2026'!$A$5:$A$500=$Q$1),--('2026'!$C$5:$C$500=$B4))+SUMPRODUCT(--('2026'!$A$5:$A$500=$Q$1),--('2026'!$F$5:$F$500=$B4))+SUMPRODUCT(--('2026'!$A$5:$A$500=$Q$1),--('2026'!$D$5:$D$500=$B4))+SUMPRODUCT(--('2026'!$A$5:$A$500=$Q$1),--('2026'!$G$5:$G$500=$B4))</f>
        <v/>
      </c>
      <c r="R4" s="50">
        <f>SUMPRODUCT(--('2026'!$A$5:$A$500=$Q$1),--('2026'!$I$5:$I$500=$B4))+SUMPRODUCT(--('2026'!$A$5:$A$500=$Q$1),--('2026'!$J$5:$J$500=$B4))</f>
        <v/>
      </c>
      <c r="S4" s="50">
        <f>SUMPRODUCT(--('2026'!$A$5:$A$500=$S$1),--('2026'!$C$5:$C$500=$B4))+SUMPRODUCT(--('2026'!$A$5:$A$500=$S$1),--('2026'!$F$5:$F$500=$B4))+SUMPRODUCT(--('2026'!$A$5:$A$500=$S$1),--('2026'!$D$5:$D$500=$B4))+SUMPRODUCT(--('2026'!$A$5:$A$500=$S$1),--('2026'!$G$5:$G$500=$B4))</f>
        <v/>
      </c>
      <c r="T4" s="50">
        <f>SUMPRODUCT(--('2026'!$A$5:$A$500=$S$1),--('2026'!$I$5:$I$500=$B4))+SUMPRODUCT(--('2026'!$A$5:$A$500=$S$1),--('2026'!$J$5:$J$500=$B4))</f>
        <v/>
      </c>
      <c r="U4" s="50">
        <f>SUMPRODUCT(--('2026'!$A$5:$A$500=$U$1),--('2026'!$C$5:$C$500=$B4))+SUMPRODUCT(--('2026'!$A$5:$A$500=$U$1),--('2026'!$F$5:$F$500=$B4))+SUMPRODUCT(--('2026'!$A$5:$A$500=$U$1),--('2026'!$D$5:$D$500=$B4))+SUMPRODUCT(--('2026'!$A$5:$A$500=$U$1),--('2026'!$G$5:$G$500=$B4))</f>
        <v/>
      </c>
      <c r="V4" s="50">
        <f>SUMPRODUCT(--('2026'!$A$5:$A$500=$U$1),--('2026'!$I$5:$I$500=$B4))+SUMPRODUCT(--('2026'!$A$5:$A$500=$U$1),--('2026'!$J$5:$J$500=$B4))</f>
        <v/>
      </c>
      <c r="W4" s="60">
        <f>SUMPRODUCT(--('2026'!$A$5:$A$500=$W$1),--('2026'!$C$5:$C$500=$B4))+SUMPRODUCT(--('2026'!$A$5:$A$500=$W$1),--('2026'!$F$5:$F$500=$B4))+SUMPRODUCT(--('2026'!$A$5:$A$500=$W$1),--('2026'!$D$5:$D$500=$B4))+SUMPRODUCT(--('2026'!$A$5:$A$500=$W$1),--('2026'!$G$5:$G$500=$B4))</f>
        <v/>
      </c>
      <c r="X4" s="60">
        <f>SUMPRODUCT(--('2026'!$A$5:$A$500=$W$1),--('2026'!$I$5:$I$500=$B4))+SUMPRODUCT(--('2026'!$A$5:$A$500=$W$1),--('2026'!$J$5:$J$500=$B4))</f>
        <v/>
      </c>
      <c r="Y4" s="51">
        <f>SUMPRODUCT(--('2026'!$A$5:$A$500=$Y$1),--('2026'!$C$5:$C$500=$B4))+SUMPRODUCT(--('2026'!$A$5:$A$500=$Y$1),--('2026'!$F$5:$F$500=$B4))+SUMPRODUCT(--('2026'!$A$5:$A$500=$Y$1),--('2026'!$D$5:$D$500=$B4))+SUMPRODUCT(--('2026'!$A$5:$A$500=$Y$1),--('2026'!$G$5:$G$500=$B4))</f>
        <v/>
      </c>
      <c r="Z4" s="51">
        <f>SUMPRODUCT(--('2026'!$A$5:$A$500=$Y$1),--('2026'!$I$5:$I$500=$B4))+SUMPRODUCT(--('2026'!$A$5:$A$500=$Y$1),--('2026'!$J$5:$J$500=$B4))</f>
        <v/>
      </c>
      <c r="AA4" s="51">
        <f>SUMPRODUCT(--('2026'!$A$5:$A$500=$AA$1),--('2026'!$C$5:$C$500=$B4))+SUMPRODUCT(--('2026'!$A$5:$A$500=$AA$1),--('2026'!$F$5:$F$500=$B4))+SUMPRODUCT(--('2026'!$A$5:$A$500=$AA$1),--('2026'!$D$5:$D$500=$B4))+SUMPRODUCT(--('2026'!$A$5:$A$500=$AA$1),--('2026'!$G$5:$G$500=$B4))</f>
        <v/>
      </c>
      <c r="AB4" s="51">
        <f>SUMPRODUCT(--('2026'!$A$5:$A$500=$AA$1),--('2026'!$I$5:$I$500=$B4))+SUMPRODUCT(--('2026'!$A$5:$A$500=$AA$1),--('2026'!$J$5:$J$500=$B4))</f>
        <v/>
      </c>
      <c r="AC4" s="51">
        <f>SUMPRODUCT(--('2026'!$A$5:$A$500=$AC$1),--('2026'!$C$5:$C$500=$B4))+SUMPRODUCT(--('2026'!$A$5:$A$500=$AC$1),--('2026'!$F$5:$F$500=$B4))+SUMPRODUCT(--('2026'!$A$5:$A$500=$AC$1),--('2026'!$D$5:$D$500=$B4))+SUMPRODUCT(--('2026'!$A$5:$A$500=$AC$1),--('2026'!$G$5:$G$500=$B4))</f>
        <v/>
      </c>
      <c r="AD4" s="51">
        <f>SUMPRODUCT(--('2026'!$A$5:$A$500=$AC$1),--('2026'!$I$5:$I$500=$B4))+SUMPRODUCT(--('2026'!$A$5:$A$500=$AC$1),--('2026'!$J$5:$J$500=$B4))</f>
        <v/>
      </c>
      <c r="AE4" s="61">
        <f>SUMPRODUCT(--('2026'!$A$5:$A$500=$AE$1),--('2026'!$C$5:$C$500=$B4))+SUMPRODUCT(--('2026'!$A$5:$A$500=$AE$1),--('2026'!$F$5:$F$500=$B4))+SUMPRODUCT(--('2026'!$A$5:$A$500=$AE$1),--('2026'!$D$5:$D$500=$B4))+SUMPRODUCT(--('2026'!$A$5:$A$500=$AE$1),--('2026'!$G$5:$G$500=$B4))</f>
        <v/>
      </c>
      <c r="AF4" s="61">
        <f>SUMPRODUCT(--('2026'!$A$5:$A$500=$AE$1),--('2026'!$I$5:$I$500=$B4))+SUMPRODUCT(--('2026'!$A$5:$A$500=$AE$1),--('2026'!$J$5:$J$500=$B4))</f>
        <v/>
      </c>
      <c r="AG4" s="51">
        <f>SUMPRODUCT(--('2026'!$A$5:$A$500=$AG$1),--('2026'!$C$5:$C$500=$B4))+SUMPRODUCT(--('2026'!$A$5:$A$500=$AG$1),--('2026'!$F$5:$F$500=$B4))+SUMPRODUCT(--('2026'!$A$5:$A$500=$AG$1),--('2026'!$D$5:$D$500=$B4))+SUMPRODUCT(--('2026'!$A$5:$A$500=$AG$1),--('2026'!$G$5:$G$500=$B4))</f>
        <v/>
      </c>
      <c r="AH4" s="51">
        <f>SUMPRODUCT(--('2026'!$A$5:$A$500=$AG$1),--('2026'!$I$5:$I$500=$B4))+SUMPRODUCT(--('2026'!$A$5:$A$500=$AG$1),--('2026'!$J$5:$J$500=$B4))</f>
        <v/>
      </c>
      <c r="AI4" s="51">
        <f>SUMPRODUCT(--('2026'!$A$5:$A$500=$AI$1),--('2026'!$C$5:$C$500=$B4))+SUMPRODUCT(--('2026'!$A$5:$A$500=$AI$1),--('2026'!$F$5:$F$500=$B4))+SUMPRODUCT(--('2026'!$A$5:$A$500=$AI$1),--('2026'!$D$5:$D$500=$B4))+SUMPRODUCT(--('2026'!$A$5:$A$500=$AI$1),--('2026'!$G$5:$G$500=$B4))</f>
        <v/>
      </c>
      <c r="AJ4" s="51">
        <f>SUMPRODUCT(--('2026'!$A$5:$A$500=$AI$1),--('2026'!$I$5:$I$500=$B4))+SUMPRODUCT(--('2026'!$A$5:$A$500=$AI$1),--('2026'!$J$5:$J$500=$B4))</f>
        <v/>
      </c>
      <c r="AK4" s="51">
        <f>SUMPRODUCT(--('2026'!$A$5:$A$500=$AK$1),--('2026'!$C$5:$C$500=$B4))+SUMPRODUCT(--('2026'!$A$5:$A$500=$AK$1),--('2026'!$F$5:$F$500=$B4))+SUMPRODUCT(--('2026'!$A$5:$A$500=$AK$1),--('2026'!$D$5:$D$500=$B4))+SUMPRODUCT(--('2026'!$A$5:$A$500=$AK$1),--('2026'!$G$5:$G$500=$B4))</f>
        <v/>
      </c>
      <c r="AL4" s="51">
        <f>SUMPRODUCT(--('2026'!$A$5:$A$500=$AK$1),--('2026'!$I$5:$I$500=$B4))+SUMPRODUCT(--('2026'!$A$5:$A$500=$AK$1),--('2026'!$J$5:$J$500=$B4))</f>
        <v/>
      </c>
      <c r="AM4" s="51">
        <f>SUMPRODUCT(--('2026'!$A$5:$A$500=$AM$1),--('2026'!$C$5:$C$500=$B4))+SUMPRODUCT(--('2026'!$A$5:$A$500=$AM$1),--('2026'!$F$5:$F$500=$B4))+SUMPRODUCT(--('2026'!$A$5:$A$500=$AM$1),--('2026'!$D$5:$D$500=$B4))+SUMPRODUCT(--('2026'!$A$5:$A$500=$AM$1),--('2026'!$G$5:$G$500=$B4))</f>
        <v/>
      </c>
      <c r="AN4" s="51">
        <f>SUMPRODUCT(--('2026'!$A$5:$A$500=$AM$1),--('2026'!$I$5:$I$500=$B4))+SUMPRODUCT(--('2026'!$A$5:$A$500=$AM$1),--('2026'!$J$5:$J$500=$B4))</f>
        <v/>
      </c>
      <c r="AO4" s="51">
        <f>SUMPRODUCT(--('2026'!$A$5:$A$500=$AO$1),--('2026'!$C$5:$C$500=$B4))+SUMPRODUCT(--('2026'!$A$5:$A$500=$AO$1),--('2026'!$F$5:$F$500=$B4))+SUMPRODUCT(--('2026'!$A$5:$A$500=$AO$1),--('2026'!$D$5:$D$500=$B4))+SUMPRODUCT(--('2026'!$A$5:$A$500=$AO$1),--('2026'!$G$5:$G$500=$B4))</f>
        <v/>
      </c>
      <c r="AP4" s="51">
        <f>SUMPRODUCT(--('2026'!$A$5:$A$500=$AO$1),--('2026'!$I$5:$I$500=$B4))+SUMPRODUCT(--('2026'!$A$5:$A$500=$AO$1),--('2026'!$J$5:$J$500=$B4))</f>
        <v/>
      </c>
      <c r="AQ4" s="51">
        <f>SUMPRODUCT(--('2026'!$A$5:$A$500=$AQ$1),--('2026'!$C$5:$C$500=$B4))+SUMPRODUCT(--('2026'!$A$5:$A$500=$AQ$1),--('2026'!$F$5:$F$500=$B4))+SUMPRODUCT(--('2026'!$A$5:$A$500=$AQ$1),--('2026'!$D$5:$D$500=$B4))+SUMPRODUCT(--('2026'!$A$5:$A$500=$AQ$1),--('2026'!$G$5:$G$500=$B4))</f>
        <v/>
      </c>
      <c r="AR4" s="51">
        <f>SUMPRODUCT(--('2026'!$A$5:$A$500=$AQ$1),--('2026'!$I$5:$I$500=$B4))+SUMPRODUCT(--('2026'!$A$5:$A$500=$AQ$1),--('2026'!$J$5:$J$500=$B4))</f>
        <v/>
      </c>
      <c r="AS4" s="51">
        <f>SUMPRODUCT(--('2026'!$A$5:$A$500=$AS$1),--('2026'!$C$5:$C$500=$B4))+SUMPRODUCT(--('2026'!$A$5:$A$500=$AS$1),--('2026'!$F$5:$F$500=$B4))+SUMPRODUCT(--('2026'!$A$5:$A$500=$AS$1),--('2026'!$D$5:$D$500=$B4))+SUMPRODUCT(--('2026'!$A$5:$A$500=$AS$1),--('2026'!$G$5:$G$500=$B4))</f>
        <v/>
      </c>
      <c r="AT4" s="51">
        <f>SUMPRODUCT(--('2026'!$A$5:$A$500=$AS$1),--('2026'!$I$5:$I$500=$B4))+SUMPRODUCT(--('2026'!$A$5:$A$500=$AS$1),--('2026'!$J$5:$J$500=$B4))</f>
        <v/>
      </c>
      <c r="AU4" s="51">
        <f>SUMPRODUCT(--('2026'!$A$5:$A$500=$AU$1),--('2026'!$C$5:$C$500=$B4))+SUMPRODUCT(--('2026'!$A$5:$A$500=$AU$1),--('2026'!$F$5:$F$500=$B4))+SUMPRODUCT(--('2026'!$A$5:$A$500=$AU$1),--('2026'!$D$5:$D$500=$B4))+SUMPRODUCT(--('2026'!$A$5:$A$500=$AU$1),--('2026'!$G$5:$G$500=$B4))</f>
        <v/>
      </c>
      <c r="AV4" s="51">
        <f>SUMPRODUCT(--('2026'!$A$5:$A$500=$AU$1),--('2026'!$I$5:$I$500=$B4))+SUMPRODUCT(--('2026'!$A$5:$A$500=$AU$1),--('2026'!$J$5:$J$500=$B4))</f>
        <v/>
      </c>
      <c r="AW4" s="51">
        <f>SUMPRODUCT(--('2026'!$A$5:$A$500=$AW$1),--('2026'!$C$5:$C$500=$B4))+SUMPRODUCT(--('2026'!$A$5:$A$500=$AW$1),--('2026'!$F$5:$F$500=$B4))+SUMPRODUCT(--('2026'!$A$5:$A$500=$AW$1),--('2026'!$D$5:$D$500=$B4))+SUMPRODUCT(--('2026'!$A$5:$A$500=$AW$1),--('2026'!$G$5:$G$500=$B4))</f>
        <v/>
      </c>
      <c r="AX4" s="51">
        <f>SUMPRODUCT(--('2026'!$A$5:$A$500=$AW$1),--('2026'!$I$5:$I$500=$B4))+SUMPRODUCT(--('2026'!$A$5:$A$500=$AW$1),--('2026'!$J$5:$J$500=$B4))</f>
        <v/>
      </c>
      <c r="BA4" s="54" t="inlineStr">
        <is>
          <t>Nawaz</t>
        </is>
      </c>
      <c r="BB4" s="47">
        <f>IF(ISODD(COUNTIF(C4:AX4,"&gt;0")),COUNTIF(C4:AX4,"&gt;0")+1,COUNTIF(C4:AX4,"&gt;0"))/2</f>
        <v/>
      </c>
      <c r="BC4" s="52">
        <f>BB4/15</f>
        <v/>
      </c>
    </row>
    <row r="5" ht="15" customHeight="1" s="106">
      <c r="A5" t="n">
        <v>3</v>
      </c>
      <c r="B5" s="54" t="inlineStr">
        <is>
          <t>Farooq</t>
        </is>
      </c>
      <c r="C5" s="50">
        <f>SUMPRODUCT(--('2026'!$A$5:$A$500=$C$1),--('2026'!$C$5:$C$500=$B5))+SUMPRODUCT(--('2026'!$A$5:$A$500=$C$1),--('2026'!$F$5:$F$500=$B5))+SUMPRODUCT(--('2026'!$A$5:$A$500=$C$1),--('2026'!$D$5:$D$500=$B5))+SUMPRODUCT(--('2026'!$A$5:$A$500=$C$1),--('2026'!$G$5:$G$500=$B5))</f>
        <v/>
      </c>
      <c r="D5" s="50">
        <f>SUMPRODUCT(--('2026'!$A$5:$A$500=$C$1),--('2026'!$I$5:$I$500=$B5))+SUMPRODUCT(--('2026'!$A$5:$A$500=$C$1),--('2026'!$J$5:$J$500=$B5))</f>
        <v/>
      </c>
      <c r="E5" s="50">
        <f>SUMPRODUCT(--('2026'!$A$5:$A$500=$E$1),--('2026'!$C$5:$C$500=$B5))+SUMPRODUCT(--('2026'!$A$5:$A$500=$E$1),--('2026'!$F$5:$F$500=$B5))+SUMPRODUCT(--('2026'!$A$5:$A$500=$E$1),--('2026'!$D$5:$D$500=$B5))+SUMPRODUCT(--('2026'!$A$5:$A$500=$E$1),--('2026'!$G$5:$G$500=$B5))</f>
        <v/>
      </c>
      <c r="F5" s="50">
        <f>SUMPRODUCT(--('2026'!$A$5:$A$500=$E$1),--('2026'!$I$5:$I$500=$B5))+SUMPRODUCT(--('2026'!$A$5:$A$500=$E$1),--('2026'!$J$5:$J$500=$B5))</f>
        <v/>
      </c>
      <c r="G5" s="50">
        <f>SUMPRODUCT(--('2026'!$A$5:$A$500=$G$1),--('2026'!$C$5:$C$500=$B5))+SUMPRODUCT(--('2026'!$A$5:$A$500=$G$1),--('2026'!$F$5:$F$500=$B5))+SUMPRODUCT(--('2026'!$A$5:$A$500=$G$1),--('2026'!$D$5:$D$500=$B5))+SUMPRODUCT(--('2026'!$A$5:$A$500=$G$1),--('2026'!$G$5:$G$500=$B5))</f>
        <v/>
      </c>
      <c r="H5" s="80">
        <f>SUMPRODUCT(--('2026'!$A$5:$A$500=$G$1),--('2026'!$I$5:$I$500=$B5))+SUMPRODUCT(--('2026'!$A$5:$A$500=$G$1),--('2026'!$J$5:$J$500=$B5))</f>
        <v/>
      </c>
      <c r="I5" s="50">
        <f>SUMPRODUCT(--('2026'!$A$5:$A$500=$I$1),--('2026'!$C$5:$C$500=$B5))+SUMPRODUCT(--('2026'!$A$5:$A$500=$I$1),--('2026'!$F$5:$F$500=$B5))+SUMPRODUCT(--('2026'!$A$5:$A$500=$I$1),--('2026'!$D$5:$D$500=$B5))+SUMPRODUCT(--('2026'!$A$5:$A$500=$I$1),--('2026'!$G$5:$G$500=$B5))</f>
        <v/>
      </c>
      <c r="J5" s="50">
        <f>SUMPRODUCT(--('2026'!$A$5:$A$500=$I$1),--('2026'!$I$5:$I$500=$B5))+SUMPRODUCT(--('2026'!$A$5:$A$500=$I$1),--('2026'!$J$5:$J$500=$B5))</f>
        <v/>
      </c>
      <c r="K5" s="50">
        <f>SUMPRODUCT(--('2026'!$A$5:$A$500=$K$1),--('2026'!$C$5:$C$500=$B5))+SUMPRODUCT(--('2026'!$A$5:$A$500=$K$1),--('2026'!$F$5:$F$500=$B5))+SUMPRODUCT(--('2026'!$A$5:$A$500=$K$1),--('2026'!$D$5:$D$500=$B5))+SUMPRODUCT(--('2026'!$A$5:$A$500=$K$1),--('2026'!$G$5:$G$500=$B5))</f>
        <v/>
      </c>
      <c r="L5" s="50">
        <f>SUMPRODUCT(--('2026'!$A$5:$A$500=$K$1),--('2026'!$I$5:$I$500=$B5))+SUMPRODUCT(--('2026'!$A$5:$A$500=$K$1),--('2026'!$J$5:$J$500=$B5))</f>
        <v/>
      </c>
      <c r="M5" s="50">
        <f>SUMPRODUCT(--('2026'!$A$5:$A$500=$M$1),--('2026'!$C$5:$C$500=$B5))+SUMPRODUCT(--('2026'!$A$5:$A$500=$M$1),--('2026'!$F$5:$F$500=$B5))+SUMPRODUCT(--('2026'!$A$5:$A$500=$M$1),--('2026'!$D$5:$D$500=$B5))+SUMPRODUCT(--('2026'!$A$5:$A$500=$M$1),--('2026'!$G$5:$G$500=$B5))</f>
        <v/>
      </c>
      <c r="N5" s="50">
        <f>SUMPRODUCT(--('2026'!$A$5:$A$500=$M$1),--('2026'!$I$5:$I$500=$B5))+SUMPRODUCT(--('2026'!$A$5:$A$500=$M$1),--('2026'!$J$5:$J$500=$B5))</f>
        <v/>
      </c>
      <c r="O5" s="50">
        <f>SUMPRODUCT(--('2026'!$A$5:$A$500=$O$1),--('2026'!$C$5:$C$500=$B5))+SUMPRODUCT(--('2026'!$A$5:$A$500=$O$1),--('2026'!$F$5:$F$500=$B5))+SUMPRODUCT(--('2026'!$A$5:$A$500=$O$1),--('2026'!$D$5:$D$500=$B5))+SUMPRODUCT(--('2026'!$A$5:$A$500=$O$1),--('2026'!$G$5:$G$500=$B5))</f>
        <v/>
      </c>
      <c r="P5" s="80">
        <f>SUMPRODUCT(--('2026'!$A$5:$A$500=$O$1),--('2026'!$I$5:$I$500=$B5))+SUMPRODUCT(--('2026'!$A$5:$A$500=$O$1),--('2026'!$J$5:$J$500=$B5))</f>
        <v/>
      </c>
      <c r="Q5" s="50">
        <f>SUMPRODUCT(--('2026'!$A$5:$A$500=$Q$1),--('2026'!$C$5:$C$500=$B5))+SUMPRODUCT(--('2026'!$A$5:$A$500=$Q$1),--('2026'!$F$5:$F$500=$B5))+SUMPRODUCT(--('2026'!$A$5:$A$500=$Q$1),--('2026'!$D$5:$D$500=$B5))+SUMPRODUCT(--('2026'!$A$5:$A$500=$Q$1),--('2026'!$G$5:$G$500=$B5))</f>
        <v/>
      </c>
      <c r="R5" s="50">
        <f>SUMPRODUCT(--('2026'!$A$5:$A$500=$Q$1),--('2026'!$I$5:$I$500=$B5))+SUMPRODUCT(--('2026'!$A$5:$A$500=$Q$1),--('2026'!$J$5:$J$500=$B5))</f>
        <v/>
      </c>
      <c r="S5" s="50">
        <f>SUMPRODUCT(--('2026'!$A$5:$A$500=$S$1),--('2026'!$C$5:$C$500=$B5))+SUMPRODUCT(--('2026'!$A$5:$A$500=$S$1),--('2026'!$F$5:$F$500=$B5))+SUMPRODUCT(--('2026'!$A$5:$A$500=$S$1),--('2026'!$D$5:$D$500=$B5))+SUMPRODUCT(--('2026'!$A$5:$A$500=$S$1),--('2026'!$G$5:$G$500=$B5))</f>
        <v/>
      </c>
      <c r="T5" s="50">
        <f>SUMPRODUCT(--('2026'!$A$5:$A$500=$S$1),--('2026'!$I$5:$I$500=$B5))+SUMPRODUCT(--('2026'!$A$5:$A$500=$S$1),--('2026'!$J$5:$J$500=$B5))</f>
        <v/>
      </c>
      <c r="U5" s="50">
        <f>SUMPRODUCT(--('2026'!$A$5:$A$500=$U$1),--('2026'!$C$5:$C$500=$B5))+SUMPRODUCT(--('2026'!$A$5:$A$500=$U$1),--('2026'!$F$5:$F$500=$B5))+SUMPRODUCT(--('2026'!$A$5:$A$500=$U$1),--('2026'!$D$5:$D$500=$B5))+SUMPRODUCT(--('2026'!$A$5:$A$500=$U$1),--('2026'!$G$5:$G$500=$B5))</f>
        <v/>
      </c>
      <c r="V5" s="50">
        <f>SUMPRODUCT(--('2026'!$A$5:$A$500=$U$1),--('2026'!$I$5:$I$500=$B5))+SUMPRODUCT(--('2026'!$A$5:$A$500=$U$1),--('2026'!$J$5:$J$500=$B5))</f>
        <v/>
      </c>
      <c r="W5" s="60">
        <f>SUMPRODUCT(--('2026'!$A$5:$A$500=$W$1),--('2026'!$C$5:$C$500=$B5))+SUMPRODUCT(--('2026'!$A$5:$A$500=$W$1),--('2026'!$F$5:$F$500=$B5))+SUMPRODUCT(--('2026'!$A$5:$A$500=$W$1),--('2026'!$D$5:$D$500=$B5))+SUMPRODUCT(--('2026'!$A$5:$A$500=$W$1),--('2026'!$G$5:$G$500=$B5))</f>
        <v/>
      </c>
      <c r="X5" s="60">
        <f>SUMPRODUCT(--('2026'!$A$5:$A$500=$W$1),--('2026'!$I$5:$I$500=$B5))+SUMPRODUCT(--('2026'!$A$5:$A$500=$W$1),--('2026'!$J$5:$J$500=$B5))</f>
        <v/>
      </c>
      <c r="Y5" s="51">
        <f>SUMPRODUCT(--('2026'!$A$5:$A$500=$Y$1),--('2026'!$C$5:$C$500=$B5))+SUMPRODUCT(--('2026'!$A$5:$A$500=$Y$1),--('2026'!$F$5:$F$500=$B5))+SUMPRODUCT(--('2026'!$A$5:$A$500=$Y$1),--('2026'!$D$5:$D$500=$B5))+SUMPRODUCT(--('2026'!$A$5:$A$500=$Y$1),--('2026'!$G$5:$G$500=$B5))</f>
        <v/>
      </c>
      <c r="Z5" s="51">
        <f>SUMPRODUCT(--('2026'!$A$5:$A$500=$Y$1),--('2026'!$I$5:$I$500=$B5))+SUMPRODUCT(--('2026'!$A$5:$A$500=$Y$1),--('2026'!$J$5:$J$500=$B5))</f>
        <v/>
      </c>
      <c r="AA5" s="51">
        <f>SUMPRODUCT(--('2026'!$A$5:$A$500=$AA$1),--('2026'!$C$5:$C$500=$B5))+SUMPRODUCT(--('2026'!$A$5:$A$500=$AA$1),--('2026'!$F$5:$F$500=$B5))+SUMPRODUCT(--('2026'!$A$5:$A$500=$AA$1),--('2026'!$D$5:$D$500=$B5))+SUMPRODUCT(--('2026'!$A$5:$A$500=$AA$1),--('2026'!$G$5:$G$500=$B5))</f>
        <v/>
      </c>
      <c r="AB5" s="51">
        <f>SUMPRODUCT(--('2026'!$A$5:$A$500=$AA$1),--('2026'!$I$5:$I$500=$B5))+SUMPRODUCT(--('2026'!$A$5:$A$500=$AA$1),--('2026'!$J$5:$J$500=$B5))</f>
        <v/>
      </c>
      <c r="AC5" s="51">
        <f>SUMPRODUCT(--('2026'!$A$5:$A$500=$AC$1),--('2026'!$C$5:$C$500=$B5))+SUMPRODUCT(--('2026'!$A$5:$A$500=$AC$1),--('2026'!$F$5:$F$500=$B5))+SUMPRODUCT(--('2026'!$A$5:$A$500=$AC$1),--('2026'!$D$5:$D$500=$B5))+SUMPRODUCT(--('2026'!$A$5:$A$500=$AC$1),--('2026'!$G$5:$G$500=$B5))</f>
        <v/>
      </c>
      <c r="AD5" s="51">
        <f>SUMPRODUCT(--('2026'!$A$5:$A$500=$AC$1),--('2026'!$I$5:$I$500=$B5))+SUMPRODUCT(--('2026'!$A$5:$A$500=$AC$1),--('2026'!$J$5:$J$500=$B5))</f>
        <v/>
      </c>
      <c r="AE5" s="61">
        <f>SUMPRODUCT(--('2026'!$A$5:$A$500=$AE$1),--('2026'!$C$5:$C$500=$B5))+SUMPRODUCT(--('2026'!$A$5:$A$500=$AE$1),--('2026'!$F$5:$F$500=$B5))+SUMPRODUCT(--('2026'!$A$5:$A$500=$AE$1),--('2026'!$D$5:$D$500=$B5))+SUMPRODUCT(--('2026'!$A$5:$A$500=$AE$1),--('2026'!$G$5:$G$500=$B5))</f>
        <v/>
      </c>
      <c r="AF5" s="61">
        <f>SUMPRODUCT(--('2026'!$A$5:$A$500=$AE$1),--('2026'!$I$5:$I$500=$B5))+SUMPRODUCT(--('2026'!$A$5:$A$500=$AE$1),--('2026'!$J$5:$J$500=$B5))</f>
        <v/>
      </c>
      <c r="AG5" s="51">
        <f>SUMPRODUCT(--('2026'!$A$5:$A$500=$AG$1),--('2026'!$C$5:$C$500=$B5))+SUMPRODUCT(--('2026'!$A$5:$A$500=$AG$1),--('2026'!$F$5:$F$500=$B5))+SUMPRODUCT(--('2026'!$A$5:$A$500=$AG$1),--('2026'!$D$5:$D$500=$B5))+SUMPRODUCT(--('2026'!$A$5:$A$500=$AG$1),--('2026'!$G$5:$G$500=$B5))</f>
        <v/>
      </c>
      <c r="AH5" s="51">
        <f>SUMPRODUCT(--('2026'!$A$5:$A$500=$AG$1),--('2026'!$I$5:$I$500=$B5))+SUMPRODUCT(--('2026'!$A$5:$A$500=$AG$1),--('2026'!$J$5:$J$500=$B5))</f>
        <v/>
      </c>
      <c r="AI5" s="51">
        <f>SUMPRODUCT(--('2026'!$A$5:$A$500=$AI$1),--('2026'!$C$5:$C$500=$B5))+SUMPRODUCT(--('2026'!$A$5:$A$500=$AI$1),--('2026'!$F$5:$F$500=$B5))+SUMPRODUCT(--('2026'!$A$5:$A$500=$AI$1),--('2026'!$D$5:$D$500=$B5))+SUMPRODUCT(--('2026'!$A$5:$A$500=$AI$1),--('2026'!$G$5:$G$500=$B5))</f>
        <v/>
      </c>
      <c r="AJ5" s="51">
        <f>SUMPRODUCT(--('2026'!$A$5:$A$500=$AI$1),--('2026'!$I$5:$I$500=$B5))+SUMPRODUCT(--('2026'!$A$5:$A$500=$AI$1),--('2026'!$J$5:$J$500=$B5))</f>
        <v/>
      </c>
      <c r="AK5" s="51">
        <f>SUMPRODUCT(--('2026'!$A$5:$A$500=$AK$1),--('2026'!$C$5:$C$500=$B5))+SUMPRODUCT(--('2026'!$A$5:$A$500=$AK$1),--('2026'!$F$5:$F$500=$B5))+SUMPRODUCT(--('2026'!$A$5:$A$500=$AK$1),--('2026'!$D$5:$D$500=$B5))+SUMPRODUCT(--('2026'!$A$5:$A$500=$AK$1),--('2026'!$G$5:$G$500=$B5))</f>
        <v/>
      </c>
      <c r="AL5" s="51">
        <f>SUMPRODUCT(--('2026'!$A$5:$A$500=$AK$1),--('2026'!$I$5:$I$500=$B5))+SUMPRODUCT(--('2026'!$A$5:$A$500=$AK$1),--('2026'!$J$5:$J$500=$B5))</f>
        <v/>
      </c>
      <c r="AM5" s="51">
        <f>SUMPRODUCT(--('2026'!$A$5:$A$500=$AM$1),--('2026'!$C$5:$C$500=$B5))+SUMPRODUCT(--('2026'!$A$5:$A$500=$AM$1),--('2026'!$F$5:$F$500=$B5))+SUMPRODUCT(--('2026'!$A$5:$A$500=$AM$1),--('2026'!$D$5:$D$500=$B5))+SUMPRODUCT(--('2026'!$A$5:$A$500=$AM$1),--('2026'!$G$5:$G$500=$B5))</f>
        <v/>
      </c>
      <c r="AN5" s="51">
        <f>SUMPRODUCT(--('2026'!$A$5:$A$500=$AM$1),--('2026'!$I$5:$I$500=$B5))+SUMPRODUCT(--('2026'!$A$5:$A$500=$AM$1),--('2026'!$J$5:$J$500=$B5))</f>
        <v/>
      </c>
      <c r="AO5" s="51">
        <f>SUMPRODUCT(--('2026'!$A$5:$A$500=$AO$1),--('2026'!$C$5:$C$500=$B5))+SUMPRODUCT(--('2026'!$A$5:$A$500=$AO$1),--('2026'!$F$5:$F$500=$B5))+SUMPRODUCT(--('2026'!$A$5:$A$500=$AO$1),--('2026'!$D$5:$D$500=$B5))+SUMPRODUCT(--('2026'!$A$5:$A$500=$AO$1),--('2026'!$G$5:$G$500=$B5))</f>
        <v/>
      </c>
      <c r="AP5" s="51">
        <f>SUMPRODUCT(--('2026'!$A$5:$A$500=$AO$1),--('2026'!$I$5:$I$500=$B5))+SUMPRODUCT(--('2026'!$A$5:$A$500=$AO$1),--('2026'!$J$5:$J$500=$B5))</f>
        <v/>
      </c>
      <c r="AQ5" s="51">
        <f>SUMPRODUCT(--('2026'!$A$5:$A$500=$AQ$1),--('2026'!$C$5:$C$500=$B5))+SUMPRODUCT(--('2026'!$A$5:$A$500=$AQ$1),--('2026'!$F$5:$F$500=$B5))+SUMPRODUCT(--('2026'!$A$5:$A$500=$AQ$1),--('2026'!$D$5:$D$500=$B5))+SUMPRODUCT(--('2026'!$A$5:$A$500=$AQ$1),--('2026'!$G$5:$G$500=$B5))</f>
        <v/>
      </c>
      <c r="AR5" s="51">
        <f>SUMPRODUCT(--('2026'!$A$5:$A$500=$AQ$1),--('2026'!$I$5:$I$500=$B5))+SUMPRODUCT(--('2026'!$A$5:$A$500=$AQ$1),--('2026'!$J$5:$J$500=$B5))</f>
        <v/>
      </c>
      <c r="AS5" s="51">
        <f>SUMPRODUCT(--('2026'!$A$5:$A$500=$AS$1),--('2026'!$C$5:$C$500=$B5))+SUMPRODUCT(--('2026'!$A$5:$A$500=$AS$1),--('2026'!$F$5:$F$500=$B5))+SUMPRODUCT(--('2026'!$A$5:$A$500=$AS$1),--('2026'!$D$5:$D$500=$B5))+SUMPRODUCT(--('2026'!$A$5:$A$500=$AS$1),--('2026'!$G$5:$G$500=$B5))</f>
        <v/>
      </c>
      <c r="AT5" s="51">
        <f>SUMPRODUCT(--('2026'!$A$5:$A$500=$AS$1),--('2026'!$I$5:$I$500=$B5))+SUMPRODUCT(--('2026'!$A$5:$A$500=$AS$1),--('2026'!$J$5:$J$500=$B5))</f>
        <v/>
      </c>
      <c r="AU5" s="51">
        <f>SUMPRODUCT(--('2026'!$A$5:$A$500=$AU$1),--('2026'!$C$5:$C$500=$B5))+SUMPRODUCT(--('2026'!$A$5:$A$500=$AU$1),--('2026'!$F$5:$F$500=$B5))+SUMPRODUCT(--('2026'!$A$5:$A$500=$AU$1),--('2026'!$D$5:$D$500=$B5))+SUMPRODUCT(--('2026'!$A$5:$A$500=$AU$1),--('2026'!$G$5:$G$500=$B5))</f>
        <v/>
      </c>
      <c r="AV5" s="51">
        <f>SUMPRODUCT(--('2026'!$A$5:$A$500=$AU$1),--('2026'!$I$5:$I$500=$B5))+SUMPRODUCT(--('2026'!$A$5:$A$500=$AU$1),--('2026'!$J$5:$J$500=$B5))</f>
        <v/>
      </c>
      <c r="AW5" s="51">
        <f>SUMPRODUCT(--('2026'!$A$5:$A$500=$AW$1),--('2026'!$C$5:$C$500=$B5))+SUMPRODUCT(--('2026'!$A$5:$A$500=$AW$1),--('2026'!$F$5:$F$500=$B5))+SUMPRODUCT(--('2026'!$A$5:$A$500=$AW$1),--('2026'!$D$5:$D$500=$B5))+SUMPRODUCT(--('2026'!$A$5:$A$500=$AW$1),--('2026'!$G$5:$G$500=$B5))</f>
        <v/>
      </c>
      <c r="AX5" s="51">
        <f>SUMPRODUCT(--('2026'!$A$5:$A$500=$AW$1),--('2026'!$I$5:$I$500=$B5))+SUMPRODUCT(--('2026'!$A$5:$A$500=$AW$1),--('2026'!$J$5:$J$500=$B5))</f>
        <v/>
      </c>
      <c r="BA5" s="54" t="inlineStr">
        <is>
          <t>Farooq</t>
        </is>
      </c>
      <c r="BB5" s="47">
        <f>IF(ISODD(COUNTIF(C5:AX5,"&gt;0")),COUNTIF(C5:AX5,"&gt;0")+1,COUNTIF(C5:AX5,"&gt;0"))/2</f>
        <v/>
      </c>
      <c r="BC5" s="52">
        <f>BB5/15</f>
        <v/>
      </c>
    </row>
    <row r="6" ht="15" customHeight="1" s="106">
      <c r="A6" t="n">
        <v>4</v>
      </c>
      <c r="B6" s="54" t="inlineStr">
        <is>
          <t>Santosh</t>
        </is>
      </c>
      <c r="C6" s="50">
        <f>SUMPRODUCT(--('2026'!$A$5:$A$500=$C$1),--('2026'!$C$5:$C$500=$B6))+SUMPRODUCT(--('2026'!$A$5:$A$500=$C$1),--('2026'!$F$5:$F$500=$B6))+SUMPRODUCT(--('2026'!$A$5:$A$500=$C$1),--('2026'!$D$5:$D$500=$B6))+SUMPRODUCT(--('2026'!$A$5:$A$500=$C$1),--('2026'!$G$5:$G$500=$B6))</f>
        <v/>
      </c>
      <c r="D6" s="50">
        <f>SUMPRODUCT(--('2026'!$A$5:$A$500=$C$1),--('2026'!$I$5:$I$500=$B6))+SUMPRODUCT(--('2026'!$A$5:$A$500=$C$1),--('2026'!$J$5:$J$500=$B6))</f>
        <v/>
      </c>
      <c r="E6" s="79">
        <f>SUMPRODUCT(--('2026'!$A$5:$A$500=$E$1),--('2026'!$C$5:$C$500=$B6))+SUMPRODUCT(--('2026'!$A$5:$A$500=$E$1),--('2026'!$F$5:$F$500=$B6))+SUMPRODUCT(--('2026'!$A$5:$A$500=$E$1),--('2026'!$D$5:$D$500=$B6))+SUMPRODUCT(--('2026'!$A$5:$A$500=$E$1),--('2026'!$G$5:$G$500=$B6))</f>
        <v/>
      </c>
      <c r="F6" s="81">
        <f>SUMPRODUCT(--('2026'!$A$5:$A$500=$E$1),--('2026'!$I$5:$I$500=$B6))+SUMPRODUCT(--('2026'!$A$5:$A$500=$E$1),--('2026'!$J$5:$J$500=$B6))</f>
        <v/>
      </c>
      <c r="G6" s="50">
        <f>SUMPRODUCT(--('2026'!$A$5:$A$500=$G$1),--('2026'!$C$5:$C$500=$B6))+SUMPRODUCT(--('2026'!$A$5:$A$500=$G$1),--('2026'!$F$5:$F$500=$B6))+SUMPRODUCT(--('2026'!$A$5:$A$500=$G$1),--('2026'!$D$5:$D$500=$B6))+SUMPRODUCT(--('2026'!$A$5:$A$500=$G$1),--('2026'!$G$5:$G$500=$B6))</f>
        <v/>
      </c>
      <c r="H6" s="50">
        <f>SUMPRODUCT(--('2026'!$A$5:$A$500=$G$1),--('2026'!$I$5:$I$500=$B6))+SUMPRODUCT(--('2026'!$A$5:$A$500=$G$1),--('2026'!$J$5:$J$500=$B6))</f>
        <v/>
      </c>
      <c r="I6" s="50">
        <f>SUMPRODUCT(--('2026'!$A$5:$A$500=$I$1),--('2026'!$C$5:$C$500=$B6))+SUMPRODUCT(--('2026'!$A$5:$A$500=$I$1),--('2026'!$F$5:$F$500=$B6))+SUMPRODUCT(--('2026'!$A$5:$A$500=$I$1),--('2026'!$D$5:$D$500=$B6))+SUMPRODUCT(--('2026'!$A$5:$A$500=$I$1),--('2026'!$G$5:$G$500=$B6))</f>
        <v/>
      </c>
      <c r="J6" s="50">
        <f>SUMPRODUCT(--('2026'!$A$5:$A$500=$I$1),--('2026'!$I$5:$I$500=$B6))+SUMPRODUCT(--('2026'!$A$5:$A$500=$I$1),--('2026'!$J$5:$J$500=$B6))</f>
        <v/>
      </c>
      <c r="K6" s="50">
        <f>SUMPRODUCT(--('2026'!$A$5:$A$500=$K$1),--('2026'!$C$5:$C$500=$B6))+SUMPRODUCT(--('2026'!$A$5:$A$500=$K$1),--('2026'!$F$5:$F$500=$B6))+SUMPRODUCT(--('2026'!$A$5:$A$500=$K$1),--('2026'!$D$5:$D$500=$B6))+SUMPRODUCT(--('2026'!$A$5:$A$500=$K$1),--('2026'!$G$5:$G$500=$B6))</f>
        <v/>
      </c>
      <c r="L6" s="50">
        <f>SUMPRODUCT(--('2026'!$A$5:$A$500=$K$1),--('2026'!$I$5:$I$500=$B6))+SUMPRODUCT(--('2026'!$A$5:$A$500=$K$1),--('2026'!$J$5:$J$500=$B6))</f>
        <v/>
      </c>
      <c r="M6" s="50">
        <f>SUMPRODUCT(--('2026'!$A$5:$A$500=$M$1),--('2026'!$C$5:$C$500=$B6))+SUMPRODUCT(--('2026'!$A$5:$A$500=$M$1),--('2026'!$F$5:$F$500=$B6))+SUMPRODUCT(--('2026'!$A$5:$A$500=$M$1),--('2026'!$D$5:$D$500=$B6))+SUMPRODUCT(--('2026'!$A$5:$A$500=$M$1),--('2026'!$G$5:$G$500=$B6))</f>
        <v/>
      </c>
      <c r="N6" s="50">
        <f>SUMPRODUCT(--('2026'!$A$5:$A$500=$M$1),--('2026'!$I$5:$I$500=$B6))+SUMPRODUCT(--('2026'!$A$5:$A$500=$M$1),--('2026'!$J$5:$J$500=$B6))</f>
        <v/>
      </c>
      <c r="O6" s="50">
        <f>SUMPRODUCT(--('2026'!$A$5:$A$500=$O$1),--('2026'!$C$5:$C$500=$B6))+SUMPRODUCT(--('2026'!$A$5:$A$500=$O$1),--('2026'!$F$5:$F$500=$B6))+SUMPRODUCT(--('2026'!$A$5:$A$500=$O$1),--('2026'!$D$5:$D$500=$B6))+SUMPRODUCT(--('2026'!$A$5:$A$500=$O$1),--('2026'!$G$5:$G$500=$B6))</f>
        <v/>
      </c>
      <c r="P6" s="50">
        <f>SUMPRODUCT(--('2026'!$A$5:$A$500=$O$1),--('2026'!$I$5:$I$500=$B6))+SUMPRODUCT(--('2026'!$A$5:$A$500=$O$1),--('2026'!$J$5:$J$500=$B6))</f>
        <v/>
      </c>
      <c r="Q6" s="50">
        <f>SUMPRODUCT(--('2026'!$A$5:$A$500=$Q$1),--('2026'!$C$5:$C$500=$B6))+SUMPRODUCT(--('2026'!$A$5:$A$500=$Q$1),--('2026'!$F$5:$F$500=$B6))+SUMPRODUCT(--('2026'!$A$5:$A$500=$Q$1),--('2026'!$D$5:$D$500=$B6))+SUMPRODUCT(--('2026'!$A$5:$A$500=$Q$1),--('2026'!$G$5:$G$500=$B6))</f>
        <v/>
      </c>
      <c r="R6" s="50">
        <f>SUMPRODUCT(--('2026'!$A$5:$A$500=$Q$1),--('2026'!$I$5:$I$500=$B6))+SUMPRODUCT(--('2026'!$A$5:$A$500=$Q$1),--('2026'!$J$5:$J$500=$B6))</f>
        <v/>
      </c>
      <c r="S6" s="50">
        <f>SUMPRODUCT(--('2026'!$A$5:$A$500=$S$1),--('2026'!$C$5:$C$500=$B6))+SUMPRODUCT(--('2026'!$A$5:$A$500=$S$1),--('2026'!$F$5:$F$500=$B6))+SUMPRODUCT(--('2026'!$A$5:$A$500=$S$1),--('2026'!$D$5:$D$500=$B6))+SUMPRODUCT(--('2026'!$A$5:$A$500=$S$1),--('2026'!$G$5:$G$500=$B6))</f>
        <v/>
      </c>
      <c r="T6" s="50">
        <f>SUMPRODUCT(--('2026'!$A$5:$A$500=$S$1),--('2026'!$I$5:$I$500=$B6))+SUMPRODUCT(--('2026'!$A$5:$A$500=$S$1),--('2026'!$J$5:$J$500=$B6))</f>
        <v/>
      </c>
      <c r="U6" s="50">
        <f>SUMPRODUCT(--('2026'!$A$5:$A$500=$U$1),--('2026'!$C$5:$C$500=$B6))+SUMPRODUCT(--('2026'!$A$5:$A$500=$U$1),--('2026'!$F$5:$F$500=$B6))+SUMPRODUCT(--('2026'!$A$5:$A$500=$U$1),--('2026'!$D$5:$D$500=$B6))+SUMPRODUCT(--('2026'!$A$5:$A$500=$U$1),--('2026'!$G$5:$G$500=$B6))</f>
        <v/>
      </c>
      <c r="V6" s="80">
        <f>SUMPRODUCT(--('2026'!$A$5:$A$500=$U$1),--('2026'!$I$5:$I$500=$B6))+SUMPRODUCT(--('2026'!$A$5:$A$500=$U$1),--('2026'!$J$5:$J$500=$B6))</f>
        <v/>
      </c>
      <c r="W6" s="60">
        <f>SUMPRODUCT(--('2026'!$A$5:$A$500=$W$1),--('2026'!$C$5:$C$500=$B6))+SUMPRODUCT(--('2026'!$A$5:$A$500=$W$1),--('2026'!$F$5:$F$500=$B6))+SUMPRODUCT(--('2026'!$A$5:$A$500=$W$1),--('2026'!$D$5:$D$500=$B6))+SUMPRODUCT(--('2026'!$A$5:$A$500=$W$1),--('2026'!$G$5:$G$500=$B6))</f>
        <v/>
      </c>
      <c r="X6" s="60">
        <f>SUMPRODUCT(--('2026'!$A$5:$A$500=$W$1),--('2026'!$I$5:$I$500=$B6))+SUMPRODUCT(--('2026'!$A$5:$A$500=$W$1),--('2026'!$J$5:$J$500=$B6))</f>
        <v/>
      </c>
      <c r="Y6" s="50">
        <f>SUMPRODUCT(--('2026'!$A$5:$A$500=$Y$1),--('2026'!$C$5:$C$500=$B6))+SUMPRODUCT(--('2026'!$A$5:$A$500=$Y$1),--('2026'!$F$5:$F$500=$B6))+SUMPRODUCT(--('2026'!$A$5:$A$500=$Y$1),--('2026'!$D$5:$D$500=$B6))+SUMPRODUCT(--('2026'!$A$5:$A$500=$Y$1),--('2026'!$G$5:$G$500=$B6))</f>
        <v/>
      </c>
      <c r="Z6" s="50">
        <f>SUMPRODUCT(--('2026'!$A$5:$A$500=$Y$1),--('2026'!$I$5:$I$500=$B6))+SUMPRODUCT(--('2026'!$A$5:$A$500=$Y$1),--('2026'!$J$5:$J$500=$B6))</f>
        <v/>
      </c>
      <c r="AA6" s="50">
        <f>SUMPRODUCT(--('2026'!$A$5:$A$500=$AA$1),--('2026'!$C$5:$C$500=$B6))+SUMPRODUCT(--('2026'!$A$5:$A$500=$AA$1),--('2026'!$F$5:$F$500=$B6))+SUMPRODUCT(--('2026'!$A$5:$A$500=$AA$1),--('2026'!$D$5:$D$500=$B6))+SUMPRODUCT(--('2026'!$A$5:$A$500=$AA$1),--('2026'!$G$5:$G$500=$B6))</f>
        <v/>
      </c>
      <c r="AB6" s="50">
        <f>SUMPRODUCT(--('2026'!$A$5:$A$500=$AA$1),--('2026'!$I$5:$I$500=$B6))+SUMPRODUCT(--('2026'!$A$5:$A$500=$AA$1),--('2026'!$J$5:$J$500=$B6))</f>
        <v/>
      </c>
      <c r="AC6" s="50">
        <f>SUMPRODUCT(--('2026'!$A$5:$A$500=$AC$1),--('2026'!$C$5:$C$500=$B6))+SUMPRODUCT(--('2026'!$A$5:$A$500=$AC$1),--('2026'!$F$5:$F$500=$B6))+SUMPRODUCT(--('2026'!$A$5:$A$500=$AC$1),--('2026'!$D$5:$D$500=$B6))+SUMPRODUCT(--('2026'!$A$5:$A$500=$AC$1),--('2026'!$G$5:$G$500=$B6))</f>
        <v/>
      </c>
      <c r="AD6" s="50">
        <f>SUMPRODUCT(--('2026'!$A$5:$A$500=$AC$1),--('2026'!$I$5:$I$500=$B6))+SUMPRODUCT(--('2026'!$A$5:$A$500=$AC$1),--('2026'!$J$5:$J$500=$B6))</f>
        <v/>
      </c>
      <c r="AE6" s="60">
        <f>SUMPRODUCT(--('2026'!$A$5:$A$500=$AE$1),--('2026'!$C$5:$C$500=$B6))+SUMPRODUCT(--('2026'!$A$5:$A$500=$AE$1),--('2026'!$F$5:$F$500=$B6))+SUMPRODUCT(--('2026'!$A$5:$A$500=$AE$1),--('2026'!$D$5:$D$500=$B6))+SUMPRODUCT(--('2026'!$A$5:$A$500=$AE$1),--('2026'!$G$5:$G$500=$B6))</f>
        <v/>
      </c>
      <c r="AF6" s="60">
        <f>SUMPRODUCT(--('2026'!$A$5:$A$500=$AE$1),--('2026'!$I$5:$I$500=$B6))+SUMPRODUCT(--('2026'!$A$5:$A$500=$AE$1),--('2026'!$J$5:$J$500=$B6))</f>
        <v/>
      </c>
      <c r="AG6" s="50">
        <f>SUMPRODUCT(--('2026'!$A$5:$A$500=$AG$1),--('2026'!$C$5:$C$500=$B6))+SUMPRODUCT(--('2026'!$A$5:$A$500=$AG$1),--('2026'!$F$5:$F$500=$B6))+SUMPRODUCT(--('2026'!$A$5:$A$500=$AG$1),--('2026'!$D$5:$D$500=$B6))+SUMPRODUCT(--('2026'!$A$5:$A$500=$AG$1),--('2026'!$G$5:$G$500=$B6))</f>
        <v/>
      </c>
      <c r="AH6" s="50">
        <f>SUMPRODUCT(--('2026'!$A$5:$A$500=$AG$1),--('2026'!$I$5:$I$500=$B6))+SUMPRODUCT(--('2026'!$A$5:$A$500=$AG$1),--('2026'!$J$5:$J$500=$B6))</f>
        <v/>
      </c>
      <c r="AI6" s="50">
        <f>SUMPRODUCT(--('2026'!$A$5:$A$500=$AI$1),--('2026'!$C$5:$C$500=$B6))+SUMPRODUCT(--('2026'!$A$5:$A$500=$AI$1),--('2026'!$F$5:$F$500=$B6))+SUMPRODUCT(--('2026'!$A$5:$A$500=$AI$1),--('2026'!$D$5:$D$500=$B6))+SUMPRODUCT(--('2026'!$A$5:$A$500=$AI$1),--('2026'!$G$5:$G$500=$B6))</f>
        <v/>
      </c>
      <c r="AJ6" s="50">
        <f>SUMPRODUCT(--('2026'!$A$5:$A$500=$AI$1),--('2026'!$I$5:$I$500=$B6))+SUMPRODUCT(--('2026'!$A$5:$A$500=$AI$1),--('2026'!$J$5:$J$500=$B6))</f>
        <v/>
      </c>
      <c r="AK6" s="50">
        <f>SUMPRODUCT(--('2026'!$A$5:$A$500=$AK$1),--('2026'!$C$5:$C$500=$B6))+SUMPRODUCT(--('2026'!$A$5:$A$500=$AK$1),--('2026'!$F$5:$F$500=$B6))+SUMPRODUCT(--('2026'!$A$5:$A$500=$AK$1),--('2026'!$D$5:$D$500=$B6))+SUMPRODUCT(--('2026'!$A$5:$A$500=$AK$1),--('2026'!$G$5:$G$500=$B6))</f>
        <v/>
      </c>
      <c r="AL6" s="50">
        <f>SUMPRODUCT(--('2026'!$A$5:$A$500=$AK$1),--('2026'!$I$5:$I$500=$B6))+SUMPRODUCT(--('2026'!$A$5:$A$500=$AK$1),--('2026'!$J$5:$J$500=$B6))</f>
        <v/>
      </c>
      <c r="AM6" s="50">
        <f>SUMPRODUCT(--('2026'!$A$5:$A$500=$AM$1),--('2026'!$C$5:$C$500=$B6))+SUMPRODUCT(--('2026'!$A$5:$A$500=$AM$1),--('2026'!$F$5:$F$500=$B6))+SUMPRODUCT(--('2026'!$A$5:$A$500=$AM$1),--('2026'!$D$5:$D$500=$B6))+SUMPRODUCT(--('2026'!$A$5:$A$500=$AM$1),--('2026'!$G$5:$G$500=$B6))</f>
        <v/>
      </c>
      <c r="AN6" s="50">
        <f>SUMPRODUCT(--('2026'!$A$5:$A$500=$AM$1),--('2026'!$I$5:$I$500=$B6))+SUMPRODUCT(--('2026'!$A$5:$A$500=$AM$1),--('2026'!$J$5:$J$500=$B6))</f>
        <v/>
      </c>
      <c r="AO6" s="50">
        <f>SUMPRODUCT(--('2026'!$A$5:$A$500=$AO$1),--('2026'!$C$5:$C$500=$B6))+SUMPRODUCT(--('2026'!$A$5:$A$500=$AO$1),--('2026'!$F$5:$F$500=$B6))+SUMPRODUCT(--('2026'!$A$5:$A$500=$AO$1),--('2026'!$D$5:$D$500=$B6))+SUMPRODUCT(--('2026'!$A$5:$A$500=$AO$1),--('2026'!$G$5:$G$500=$B6))</f>
        <v/>
      </c>
      <c r="AP6" s="50">
        <f>SUMPRODUCT(--('2026'!$A$5:$A$500=$AO$1),--('2026'!$I$5:$I$500=$B6))+SUMPRODUCT(--('2026'!$A$5:$A$500=$AO$1),--('2026'!$J$5:$J$500=$B6))</f>
        <v/>
      </c>
      <c r="AQ6" s="50">
        <f>SUMPRODUCT(--('2026'!$A$5:$A$500=$AQ$1),--('2026'!$C$5:$C$500=$B6))+SUMPRODUCT(--('2026'!$A$5:$A$500=$AQ$1),--('2026'!$F$5:$F$500=$B6))+SUMPRODUCT(--('2026'!$A$5:$A$500=$AQ$1),--('2026'!$D$5:$D$500=$B6))+SUMPRODUCT(--('2026'!$A$5:$A$500=$AQ$1),--('2026'!$G$5:$G$500=$B6))</f>
        <v/>
      </c>
      <c r="AR6" s="50">
        <f>SUMPRODUCT(--('2026'!$A$5:$A$500=$AQ$1),--('2026'!$I$5:$I$500=$B6))+SUMPRODUCT(--('2026'!$A$5:$A$500=$AQ$1),--('2026'!$J$5:$J$500=$B6))</f>
        <v/>
      </c>
      <c r="AS6" s="50">
        <f>SUMPRODUCT(--('2026'!$A$5:$A$500=$AS$1),--('2026'!$C$5:$C$500=$B6))+SUMPRODUCT(--('2026'!$A$5:$A$500=$AS$1),--('2026'!$F$5:$F$500=$B6))+SUMPRODUCT(--('2026'!$A$5:$A$500=$AS$1),--('2026'!$D$5:$D$500=$B6))+SUMPRODUCT(--('2026'!$A$5:$A$500=$AS$1),--('2026'!$G$5:$G$500=$B6))</f>
        <v/>
      </c>
      <c r="AT6" s="50">
        <f>SUMPRODUCT(--('2026'!$A$5:$A$500=$AS$1),--('2026'!$I$5:$I$500=$B6))+SUMPRODUCT(--('2026'!$A$5:$A$500=$AS$1),--('2026'!$J$5:$J$500=$B6))</f>
        <v/>
      </c>
      <c r="AU6" s="50">
        <f>SUMPRODUCT(--('2026'!$A$5:$A$500=$AU$1),--('2026'!$C$5:$C$500=$B6))+SUMPRODUCT(--('2026'!$A$5:$A$500=$AU$1),--('2026'!$F$5:$F$500=$B6))+SUMPRODUCT(--('2026'!$A$5:$A$500=$AU$1),--('2026'!$D$5:$D$500=$B6))+SUMPRODUCT(--('2026'!$A$5:$A$500=$AU$1),--('2026'!$G$5:$G$500=$B6))</f>
        <v/>
      </c>
      <c r="AV6" s="50">
        <f>SUMPRODUCT(--('2026'!$A$5:$A$500=$AU$1),--('2026'!$I$5:$I$500=$B6))+SUMPRODUCT(--('2026'!$A$5:$A$500=$AU$1),--('2026'!$J$5:$J$500=$B6))</f>
        <v/>
      </c>
      <c r="AW6" s="50">
        <f>SUMPRODUCT(--('2026'!$A$5:$A$500=$AW$1),--('2026'!$C$5:$C$500=$B6))+SUMPRODUCT(--('2026'!$A$5:$A$500=$AW$1),--('2026'!$F$5:$F$500=$B6))+SUMPRODUCT(--('2026'!$A$5:$A$500=$AW$1),--('2026'!$D$5:$D$500=$B6))+SUMPRODUCT(--('2026'!$A$5:$A$500=$AW$1),--('2026'!$G$5:$G$500=$B6))</f>
        <v/>
      </c>
      <c r="AX6" s="50">
        <f>SUMPRODUCT(--('2026'!$A$5:$A$500=$AW$1),--('2026'!$I$5:$I$500=$B6))+SUMPRODUCT(--('2026'!$A$5:$A$500=$AW$1),--('2026'!$J$5:$J$500=$B6))</f>
        <v/>
      </c>
      <c r="BA6" s="54" t="inlineStr">
        <is>
          <t>Santosh</t>
        </is>
      </c>
      <c r="BB6" s="47">
        <f>IF(ISODD(COUNTIF(C6:AX6,"&gt;0")),COUNTIF(C6:AX6,"&gt;0")+1,COUNTIF(C6:AX6,"&gt;0"))/2</f>
        <v/>
      </c>
      <c r="BC6" s="52">
        <f>BB6/15</f>
        <v/>
      </c>
    </row>
    <row r="7" ht="15" customHeight="1" s="106">
      <c r="A7" t="n">
        <v>5</v>
      </c>
      <c r="B7" s="54" t="inlineStr">
        <is>
          <t>Rukhsar</t>
        </is>
      </c>
      <c r="C7" s="50">
        <f>SUMPRODUCT(--('2026'!$A$5:$A$500=$C$1),--('2026'!$C$5:$C$500=$B7))+SUMPRODUCT(--('2026'!$A$5:$A$500=$C$1),--('2026'!$F$5:$F$500=$B7))+SUMPRODUCT(--('2026'!$A$5:$A$500=$C$1),--('2026'!$D$5:$D$500=$B7))+SUMPRODUCT(--('2026'!$A$5:$A$500=$C$1),--('2026'!$G$5:$G$500=$B7))</f>
        <v/>
      </c>
      <c r="D7" s="50">
        <f>SUMPRODUCT(--('2026'!$A$5:$A$500=$C$1),--('2026'!$I$5:$I$500=$B7))+SUMPRODUCT(--('2026'!$A$5:$A$500=$C$1),--('2026'!$J$5:$J$500=$B7))</f>
        <v/>
      </c>
      <c r="E7" s="50">
        <f>SUMPRODUCT(--('2026'!$A$5:$A$500=$E$1),--('2026'!$C$5:$C$500=$B7))+SUMPRODUCT(--('2026'!$A$5:$A$500=$E$1),--('2026'!$F$5:$F$500=$B7))+SUMPRODUCT(--('2026'!$A$5:$A$500=$E$1),--('2026'!$D$5:$D$500=$B7))+SUMPRODUCT(--('2026'!$A$5:$A$500=$E$1),--('2026'!$G$5:$G$500=$B7))</f>
        <v/>
      </c>
      <c r="F7" s="50">
        <f>SUMPRODUCT(--('2026'!$A$5:$A$500=$E$1),--('2026'!$I$5:$I$500=$B7))+SUMPRODUCT(--('2026'!$A$5:$A$500=$E$1),--('2026'!$J$5:$J$500=$B7))</f>
        <v/>
      </c>
      <c r="G7" s="50">
        <f>SUMPRODUCT(--('2026'!$A$5:$A$500=$G$1),--('2026'!$C$5:$C$500=$B7))+SUMPRODUCT(--('2026'!$A$5:$A$500=$G$1),--('2026'!$F$5:$F$500=$B7))+SUMPRODUCT(--('2026'!$A$5:$A$500=$G$1),--('2026'!$D$5:$D$500=$B7))+SUMPRODUCT(--('2026'!$A$5:$A$500=$G$1),--('2026'!$G$5:$G$500=$B7))</f>
        <v/>
      </c>
      <c r="H7" s="80">
        <f>SUMPRODUCT(--('2026'!$A$5:$A$500=$G$1),--('2026'!$I$5:$I$500=$B7))+SUMPRODUCT(--('2026'!$A$5:$A$500=$G$1),--('2026'!$J$5:$J$500=$B7))</f>
        <v/>
      </c>
      <c r="I7" s="50">
        <f>SUMPRODUCT(--('2026'!$A$5:$A$500=$I$1),--('2026'!$C$5:$C$500=$B7))+SUMPRODUCT(--('2026'!$A$5:$A$500=$I$1),--('2026'!$F$5:$F$500=$B7))+SUMPRODUCT(--('2026'!$A$5:$A$500=$I$1),--('2026'!$D$5:$D$500=$B7))+SUMPRODUCT(--('2026'!$A$5:$A$500=$I$1),--('2026'!$G$5:$G$500=$B7))</f>
        <v/>
      </c>
      <c r="J7" s="50">
        <f>SUMPRODUCT(--('2026'!$A$5:$A$500=$I$1),--('2026'!$I$5:$I$500=$B7))+SUMPRODUCT(--('2026'!$A$5:$A$500=$I$1),--('2026'!$J$5:$J$500=$B7))</f>
        <v/>
      </c>
      <c r="K7" s="50">
        <f>SUMPRODUCT(--('2026'!$A$5:$A$500=$K$1),--('2026'!$C$5:$C$500=$B7))+SUMPRODUCT(--('2026'!$A$5:$A$500=$K$1),--('2026'!$F$5:$F$500=$B7))+SUMPRODUCT(--('2026'!$A$5:$A$500=$K$1),--('2026'!$D$5:$D$500=$B7))+SUMPRODUCT(--('2026'!$A$5:$A$500=$K$1),--('2026'!$G$5:$G$500=$B7))</f>
        <v/>
      </c>
      <c r="L7" s="50">
        <f>SUMPRODUCT(--('2026'!$A$5:$A$500=$K$1),--('2026'!$I$5:$I$500=$B7))+SUMPRODUCT(--('2026'!$A$5:$A$500=$K$1),--('2026'!$J$5:$J$500=$B7))</f>
        <v/>
      </c>
      <c r="M7" s="50">
        <f>SUMPRODUCT(--('2026'!$A$5:$A$500=$M$1),--('2026'!$C$5:$C$500=$B7))+SUMPRODUCT(--('2026'!$A$5:$A$500=$M$1),--('2026'!$F$5:$F$500=$B7))+SUMPRODUCT(--('2026'!$A$5:$A$500=$M$1),--('2026'!$D$5:$D$500=$B7))+SUMPRODUCT(--('2026'!$A$5:$A$500=$M$1),--('2026'!$G$5:$G$500=$B7))</f>
        <v/>
      </c>
      <c r="N7" s="80">
        <f>SUMPRODUCT(--('2026'!$A$5:$A$500=$M$1),--('2026'!$I$5:$I$500=$B7))+SUMPRODUCT(--('2026'!$A$5:$A$500=$M$1),--('2026'!$J$5:$J$500=$B7))</f>
        <v/>
      </c>
      <c r="O7" s="50">
        <f>SUMPRODUCT(--('2026'!$A$5:$A$500=$O$1),--('2026'!$C$5:$C$500=$B7))+SUMPRODUCT(--('2026'!$A$5:$A$500=$O$1),--('2026'!$F$5:$F$500=$B7))+SUMPRODUCT(--('2026'!$A$5:$A$500=$O$1),--('2026'!$D$5:$D$500=$B7))+SUMPRODUCT(--('2026'!$A$5:$A$500=$O$1),--('2026'!$G$5:$G$500=$B7))</f>
        <v/>
      </c>
      <c r="P7" s="50">
        <f>SUMPRODUCT(--('2026'!$A$5:$A$500=$O$1),--('2026'!$I$5:$I$500=$B7))+SUMPRODUCT(--('2026'!$A$5:$A$500=$O$1),--('2026'!$J$5:$J$500=$B7))</f>
        <v/>
      </c>
      <c r="Q7" s="50">
        <f>SUMPRODUCT(--('2026'!$A$5:$A$500=$Q$1),--('2026'!$C$5:$C$500=$B7))+SUMPRODUCT(--('2026'!$A$5:$A$500=$Q$1),--('2026'!$F$5:$F$500=$B7))+SUMPRODUCT(--('2026'!$A$5:$A$500=$Q$1),--('2026'!$D$5:$D$500=$B7))+SUMPRODUCT(--('2026'!$A$5:$A$500=$Q$1),--('2026'!$G$5:$G$500=$B7))</f>
        <v/>
      </c>
      <c r="R7" s="80">
        <f>SUMPRODUCT(--('2026'!$A$5:$A$500=$Q$1),--('2026'!$I$5:$I$500=$B7))+SUMPRODUCT(--('2026'!$A$5:$A$500=$Q$1),--('2026'!$J$5:$J$500=$B7))</f>
        <v/>
      </c>
      <c r="S7" s="50">
        <f>SUMPRODUCT(--('2026'!$A$5:$A$500=$S$1),--('2026'!$C$5:$C$500=$B7))+SUMPRODUCT(--('2026'!$A$5:$A$500=$S$1),--('2026'!$F$5:$F$500=$B7))+SUMPRODUCT(--('2026'!$A$5:$A$500=$S$1),--('2026'!$D$5:$D$500=$B7))+SUMPRODUCT(--('2026'!$A$5:$A$500=$S$1),--('2026'!$G$5:$G$500=$B7))</f>
        <v/>
      </c>
      <c r="T7" s="80">
        <f>SUMPRODUCT(--('2026'!$A$5:$A$500=$S$1),--('2026'!$I$5:$I$500=$B7))+SUMPRODUCT(--('2026'!$A$5:$A$500=$S$1),--('2026'!$J$5:$J$500=$B7))</f>
        <v/>
      </c>
      <c r="U7" s="50">
        <f>SUMPRODUCT(--('2026'!$A$5:$A$500=$U$1),--('2026'!$C$5:$C$500=$B7))+SUMPRODUCT(--('2026'!$A$5:$A$500=$U$1),--('2026'!$F$5:$F$500=$B7))+SUMPRODUCT(--('2026'!$A$5:$A$500=$U$1),--('2026'!$D$5:$D$500=$B7))+SUMPRODUCT(--('2026'!$A$5:$A$500=$U$1),--('2026'!$G$5:$G$500=$B7))</f>
        <v/>
      </c>
      <c r="V7" s="50">
        <f>SUMPRODUCT(--('2026'!$A$5:$A$500=$U$1),--('2026'!$I$5:$I$500=$B7))+SUMPRODUCT(--('2026'!$A$5:$A$500=$U$1),--('2026'!$J$5:$J$500=$B7))</f>
        <v/>
      </c>
      <c r="W7" s="60">
        <f>SUMPRODUCT(--('2026'!$A$5:$A$500=$W$1),--('2026'!$C$5:$C$500=$B7))+SUMPRODUCT(--('2026'!$A$5:$A$500=$W$1),--('2026'!$F$5:$F$500=$B7))+SUMPRODUCT(--('2026'!$A$5:$A$500=$W$1),--('2026'!$D$5:$D$500=$B7))+SUMPRODUCT(--('2026'!$A$5:$A$500=$W$1),--('2026'!$G$5:$G$500=$B7))</f>
        <v/>
      </c>
      <c r="X7" s="80">
        <f>SUMPRODUCT(--('2026'!$A$5:$A$500=$W$1),--('2026'!$I$5:$I$500=$B7))+SUMPRODUCT(--('2026'!$A$5:$A$500=$W$1),--('2026'!$J$5:$J$500=$B7))</f>
        <v/>
      </c>
      <c r="Y7" s="51">
        <f>SUMPRODUCT(--('2026'!$A$5:$A$500=$Y$1),--('2026'!$C$5:$C$500=$B7))+SUMPRODUCT(--('2026'!$A$5:$A$500=$Y$1),--('2026'!$F$5:$F$500=$B7))+SUMPRODUCT(--('2026'!$A$5:$A$500=$Y$1),--('2026'!$D$5:$D$500=$B7))+SUMPRODUCT(--('2026'!$A$5:$A$500=$Y$1),--('2026'!$G$5:$G$500=$B7))</f>
        <v/>
      </c>
      <c r="Z7" s="51">
        <f>SUMPRODUCT(--('2026'!$A$5:$A$500=$Y$1),--('2026'!$I$5:$I$500=$B7))+SUMPRODUCT(--('2026'!$A$5:$A$500=$Y$1),--('2026'!$J$5:$J$500=$B7))</f>
        <v/>
      </c>
      <c r="AA7" s="51">
        <f>SUMPRODUCT(--('2026'!$A$5:$A$500=$AA$1),--('2026'!$C$5:$C$500=$B7))+SUMPRODUCT(--('2026'!$A$5:$A$500=$AA$1),--('2026'!$F$5:$F$500=$B7))+SUMPRODUCT(--('2026'!$A$5:$A$500=$AA$1),--('2026'!$D$5:$D$500=$B7))+SUMPRODUCT(--('2026'!$A$5:$A$500=$AA$1),--('2026'!$G$5:$G$500=$B7))</f>
        <v/>
      </c>
      <c r="AB7" s="51">
        <f>SUMPRODUCT(--('2026'!$A$5:$A$500=$AA$1),--('2026'!$I$5:$I$500=$B7))+SUMPRODUCT(--('2026'!$A$5:$A$500=$AA$1),--('2026'!$J$5:$J$500=$B7))</f>
        <v/>
      </c>
      <c r="AC7" s="51">
        <f>SUMPRODUCT(--('2026'!$A$5:$A$500=$AC$1),--('2026'!$C$5:$C$500=$B7))+SUMPRODUCT(--('2026'!$A$5:$A$500=$AC$1),--('2026'!$F$5:$F$500=$B7))+SUMPRODUCT(--('2026'!$A$5:$A$500=$AC$1),--('2026'!$D$5:$D$500=$B7))+SUMPRODUCT(--('2026'!$A$5:$A$500=$AC$1),--('2026'!$G$5:$G$500=$B7))</f>
        <v/>
      </c>
      <c r="AD7" s="51">
        <f>SUMPRODUCT(--('2026'!$A$5:$A$500=$AC$1),--('2026'!$I$5:$I$500=$B7))+SUMPRODUCT(--('2026'!$A$5:$A$500=$AC$1),--('2026'!$J$5:$J$500=$B7))</f>
        <v/>
      </c>
      <c r="AE7" s="61">
        <f>SUMPRODUCT(--('2026'!$A$5:$A$500=$AE$1),--('2026'!$C$5:$C$500=$B7))+SUMPRODUCT(--('2026'!$A$5:$A$500=$AE$1),--('2026'!$F$5:$F$500=$B7))+SUMPRODUCT(--('2026'!$A$5:$A$500=$AE$1),--('2026'!$D$5:$D$500=$B7))+SUMPRODUCT(--('2026'!$A$5:$A$500=$AE$1),--('2026'!$G$5:$G$500=$B7))</f>
        <v/>
      </c>
      <c r="AF7" s="61">
        <f>SUMPRODUCT(--('2026'!$A$5:$A$500=$AE$1),--('2026'!$I$5:$I$500=$B7))+SUMPRODUCT(--('2026'!$A$5:$A$500=$AE$1),--('2026'!$J$5:$J$500=$B7))</f>
        <v/>
      </c>
      <c r="AG7" s="51">
        <f>SUMPRODUCT(--('2026'!$A$5:$A$500=$AG$1),--('2026'!$C$5:$C$500=$B7))+SUMPRODUCT(--('2026'!$A$5:$A$500=$AG$1),--('2026'!$F$5:$F$500=$B7))+SUMPRODUCT(--('2026'!$A$5:$A$500=$AG$1),--('2026'!$D$5:$D$500=$B7))+SUMPRODUCT(--('2026'!$A$5:$A$500=$AG$1),--('2026'!$G$5:$G$500=$B7))</f>
        <v/>
      </c>
      <c r="AH7" s="51">
        <f>SUMPRODUCT(--('2026'!$A$5:$A$500=$AG$1),--('2026'!$I$5:$I$500=$B7))+SUMPRODUCT(--('2026'!$A$5:$A$500=$AG$1),--('2026'!$J$5:$J$500=$B7))</f>
        <v/>
      </c>
      <c r="AI7" s="51">
        <f>SUMPRODUCT(--('2026'!$A$5:$A$500=$AI$1),--('2026'!$C$5:$C$500=$B7))+SUMPRODUCT(--('2026'!$A$5:$A$500=$AI$1),--('2026'!$F$5:$F$500=$B7))+SUMPRODUCT(--('2026'!$A$5:$A$500=$AI$1),--('2026'!$D$5:$D$500=$B7))+SUMPRODUCT(--('2026'!$A$5:$A$500=$AI$1),--('2026'!$G$5:$G$500=$B7))</f>
        <v/>
      </c>
      <c r="AJ7" s="51">
        <f>SUMPRODUCT(--('2026'!$A$5:$A$500=$AI$1),--('2026'!$I$5:$I$500=$B7))+SUMPRODUCT(--('2026'!$A$5:$A$500=$AI$1),--('2026'!$J$5:$J$500=$B7))</f>
        <v/>
      </c>
      <c r="AK7" s="51">
        <f>SUMPRODUCT(--('2026'!$A$5:$A$500=$AK$1),--('2026'!$C$5:$C$500=$B7))+SUMPRODUCT(--('2026'!$A$5:$A$500=$AK$1),--('2026'!$F$5:$F$500=$B7))+SUMPRODUCT(--('2026'!$A$5:$A$500=$AK$1),--('2026'!$D$5:$D$500=$B7))+SUMPRODUCT(--('2026'!$A$5:$A$500=$AK$1),--('2026'!$G$5:$G$500=$B7))</f>
        <v/>
      </c>
      <c r="AL7" s="51">
        <f>SUMPRODUCT(--('2026'!$A$5:$A$500=$AK$1),--('2026'!$I$5:$I$500=$B7))+SUMPRODUCT(--('2026'!$A$5:$A$500=$AK$1),--('2026'!$J$5:$J$500=$B7))</f>
        <v/>
      </c>
      <c r="AM7" s="51">
        <f>SUMPRODUCT(--('2026'!$A$5:$A$500=$AM$1),--('2026'!$C$5:$C$500=$B7))+SUMPRODUCT(--('2026'!$A$5:$A$500=$AM$1),--('2026'!$F$5:$F$500=$B7))+SUMPRODUCT(--('2026'!$A$5:$A$500=$AM$1),--('2026'!$D$5:$D$500=$B7))+SUMPRODUCT(--('2026'!$A$5:$A$500=$AM$1),--('2026'!$G$5:$G$500=$B7))</f>
        <v/>
      </c>
      <c r="AN7" s="51">
        <f>SUMPRODUCT(--('2026'!$A$5:$A$500=$AM$1),--('2026'!$I$5:$I$500=$B7))+SUMPRODUCT(--('2026'!$A$5:$A$500=$AM$1),--('2026'!$J$5:$J$500=$B7))</f>
        <v/>
      </c>
      <c r="AO7" s="51">
        <f>SUMPRODUCT(--('2026'!$A$5:$A$500=$AO$1),--('2026'!$C$5:$C$500=$B7))+SUMPRODUCT(--('2026'!$A$5:$A$500=$AO$1),--('2026'!$F$5:$F$500=$B7))+SUMPRODUCT(--('2026'!$A$5:$A$500=$AO$1),--('2026'!$D$5:$D$500=$B7))+SUMPRODUCT(--('2026'!$A$5:$A$500=$AO$1),--('2026'!$G$5:$G$500=$B7))</f>
        <v/>
      </c>
      <c r="AP7" s="51">
        <f>SUMPRODUCT(--('2026'!$A$5:$A$500=$AO$1),--('2026'!$I$5:$I$500=$B7))+SUMPRODUCT(--('2026'!$A$5:$A$500=$AO$1),--('2026'!$J$5:$J$500=$B7))</f>
        <v/>
      </c>
      <c r="AQ7" s="51">
        <f>SUMPRODUCT(--('2026'!$A$5:$A$500=$AQ$1),--('2026'!$C$5:$C$500=$B7))+SUMPRODUCT(--('2026'!$A$5:$A$500=$AQ$1),--('2026'!$F$5:$F$500=$B7))+SUMPRODUCT(--('2026'!$A$5:$A$500=$AQ$1),--('2026'!$D$5:$D$500=$B7))+SUMPRODUCT(--('2026'!$A$5:$A$500=$AQ$1),--('2026'!$G$5:$G$500=$B7))</f>
        <v/>
      </c>
      <c r="AR7" s="51">
        <f>SUMPRODUCT(--('2026'!$A$5:$A$500=$AQ$1),--('2026'!$I$5:$I$500=$B7))+SUMPRODUCT(--('2026'!$A$5:$A$500=$AQ$1),--('2026'!$J$5:$J$500=$B7))</f>
        <v/>
      </c>
      <c r="AS7" s="51">
        <f>SUMPRODUCT(--('2026'!$A$5:$A$500=$AS$1),--('2026'!$C$5:$C$500=$B7))+SUMPRODUCT(--('2026'!$A$5:$A$500=$AS$1),--('2026'!$F$5:$F$500=$B7))+SUMPRODUCT(--('2026'!$A$5:$A$500=$AS$1),--('2026'!$D$5:$D$500=$B7))+SUMPRODUCT(--('2026'!$A$5:$A$500=$AS$1),--('2026'!$G$5:$G$500=$B7))</f>
        <v/>
      </c>
      <c r="AT7" s="51">
        <f>SUMPRODUCT(--('2026'!$A$5:$A$500=$AS$1),--('2026'!$I$5:$I$500=$B7))+SUMPRODUCT(--('2026'!$A$5:$A$500=$AS$1),--('2026'!$J$5:$J$500=$B7))</f>
        <v/>
      </c>
      <c r="AU7" s="51">
        <f>SUMPRODUCT(--('2026'!$A$5:$A$500=$AU$1),--('2026'!$C$5:$C$500=$B7))+SUMPRODUCT(--('2026'!$A$5:$A$500=$AU$1),--('2026'!$F$5:$F$500=$B7))+SUMPRODUCT(--('2026'!$A$5:$A$500=$AU$1),--('2026'!$D$5:$D$500=$B7))+SUMPRODUCT(--('2026'!$A$5:$A$500=$AU$1),--('2026'!$G$5:$G$500=$B7))</f>
        <v/>
      </c>
      <c r="AV7" s="51">
        <f>SUMPRODUCT(--('2026'!$A$5:$A$500=$AU$1),--('2026'!$I$5:$I$500=$B7))+SUMPRODUCT(--('2026'!$A$5:$A$500=$AU$1),--('2026'!$J$5:$J$500=$B7))</f>
        <v/>
      </c>
      <c r="AW7" s="51">
        <f>SUMPRODUCT(--('2026'!$A$5:$A$500=$AW$1),--('2026'!$C$5:$C$500=$B7))+SUMPRODUCT(--('2026'!$A$5:$A$500=$AW$1),--('2026'!$F$5:$F$500=$B7))+SUMPRODUCT(--('2026'!$A$5:$A$500=$AW$1),--('2026'!$D$5:$D$500=$B7))+SUMPRODUCT(--('2026'!$A$5:$A$500=$AW$1),--('2026'!$G$5:$G$500=$B7))</f>
        <v/>
      </c>
      <c r="AX7" s="51">
        <f>SUMPRODUCT(--('2026'!$A$5:$A$500=$AW$1),--('2026'!$I$5:$I$500=$B7))+SUMPRODUCT(--('2026'!$A$5:$A$500=$AW$1),--('2026'!$J$5:$J$500=$B7))</f>
        <v/>
      </c>
      <c r="BA7" s="54" t="inlineStr">
        <is>
          <t>Rukhsar</t>
        </is>
      </c>
      <c r="BB7" s="47">
        <f>IF(ISODD(COUNTIF(C7:AX7,"&gt;0")),COUNTIF(C7:AX7,"&gt;0")+1,COUNTIF(C7:AX7,"&gt;0"))/2</f>
        <v/>
      </c>
      <c r="BC7" s="52">
        <f>BB7/15</f>
        <v/>
      </c>
    </row>
    <row r="8" ht="15" customHeight="1" s="106">
      <c r="A8" t="n">
        <v>6</v>
      </c>
      <c r="B8" s="54" t="inlineStr">
        <is>
          <t>Waqas</t>
        </is>
      </c>
      <c r="C8" s="50">
        <f>SUMPRODUCT(--('2026'!$A$5:$A$500=$C$1),--('2026'!$C$5:$C$500=$B8))+SUMPRODUCT(--('2026'!$A$5:$A$500=$C$1),--('2026'!$F$5:$F$500=$B8))+SUMPRODUCT(--('2026'!$A$5:$A$500=$C$1),--('2026'!$D$5:$D$500=$B8))+SUMPRODUCT(--('2026'!$A$5:$A$500=$C$1),--('2026'!$G$5:$G$500=$B8))</f>
        <v/>
      </c>
      <c r="D8" s="50">
        <f>SUMPRODUCT(--('2026'!$A$5:$A$500=$C$1),--('2026'!$I$5:$I$500=$B8))+SUMPRODUCT(--('2026'!$A$5:$A$500=$C$1),--('2026'!$J$5:$J$500=$B8))</f>
        <v/>
      </c>
      <c r="E8" s="50">
        <f>SUMPRODUCT(--('2026'!$A$5:$A$500=$E$1),--('2026'!$C$5:$C$500=$B8))+SUMPRODUCT(--('2026'!$A$5:$A$500=$E$1),--('2026'!$F$5:$F$500=$B8))+SUMPRODUCT(--('2026'!$A$5:$A$500=$E$1),--('2026'!$D$5:$D$500=$B8))+SUMPRODUCT(--('2026'!$A$5:$A$500=$E$1),--('2026'!$G$5:$G$500=$B8))</f>
        <v/>
      </c>
      <c r="F8" s="50">
        <f>SUMPRODUCT(--('2026'!$A$5:$A$500=$E$1),--('2026'!$I$5:$I$500=$B8))+SUMPRODUCT(--('2026'!$A$5:$A$500=$E$1),--('2026'!$J$5:$J$500=$B8))</f>
        <v/>
      </c>
      <c r="G8" s="50">
        <f>SUMPRODUCT(--('2026'!$A$5:$A$500=$G$1),--('2026'!$C$5:$C$500=$B8))+SUMPRODUCT(--('2026'!$A$5:$A$500=$G$1),--('2026'!$F$5:$F$500=$B8))+SUMPRODUCT(--('2026'!$A$5:$A$500=$G$1),--('2026'!$D$5:$D$500=$B8))+SUMPRODUCT(--('2026'!$A$5:$A$500=$G$1),--('2026'!$G$5:$G$500=$B8))</f>
        <v/>
      </c>
      <c r="H8" s="50">
        <f>SUMPRODUCT(--('2026'!$A$5:$A$500=$G$1),--('2026'!$I$5:$I$500=$B8))+SUMPRODUCT(--('2026'!$A$5:$A$500=$G$1),--('2026'!$J$5:$J$500=$B8))</f>
        <v/>
      </c>
      <c r="I8" s="50">
        <f>SUMPRODUCT(--('2026'!$A$5:$A$500=$I$1),--('2026'!$C$5:$C$500=$B8))+SUMPRODUCT(--('2026'!$A$5:$A$500=$I$1),--('2026'!$F$5:$F$500=$B8))+SUMPRODUCT(--('2026'!$A$5:$A$500=$I$1),--('2026'!$D$5:$D$500=$B8))+SUMPRODUCT(--('2026'!$A$5:$A$500=$I$1),--('2026'!$G$5:$G$500=$B8))</f>
        <v/>
      </c>
      <c r="J8" s="50">
        <f>SUMPRODUCT(--('2026'!$A$5:$A$500=$I$1),--('2026'!$I$5:$I$500=$B8))+SUMPRODUCT(--('2026'!$A$5:$A$500=$I$1),--('2026'!$J$5:$J$500=$B8))</f>
        <v/>
      </c>
      <c r="K8" s="50">
        <f>SUMPRODUCT(--('2026'!$A$5:$A$500=$K$1),--('2026'!$C$5:$C$500=$B8))+SUMPRODUCT(--('2026'!$A$5:$A$500=$K$1),--('2026'!$F$5:$F$500=$B8))+SUMPRODUCT(--('2026'!$A$5:$A$500=$K$1),--('2026'!$D$5:$D$500=$B8))+SUMPRODUCT(--('2026'!$A$5:$A$500=$K$1),--('2026'!$G$5:$G$500=$B8))</f>
        <v/>
      </c>
      <c r="L8" s="50">
        <f>SUMPRODUCT(--('2026'!$A$5:$A$500=$K$1),--('2026'!$I$5:$I$500=$B8))+SUMPRODUCT(--('2026'!$A$5:$A$500=$K$1),--('2026'!$J$5:$J$500=$B8))</f>
        <v/>
      </c>
      <c r="M8" s="50">
        <f>SUMPRODUCT(--('2026'!$A$5:$A$500=$M$1),--('2026'!$C$5:$C$500=$B8))+SUMPRODUCT(--('2026'!$A$5:$A$500=$M$1),--('2026'!$F$5:$F$500=$B8))+SUMPRODUCT(--('2026'!$A$5:$A$500=$M$1),--('2026'!$D$5:$D$500=$B8))+SUMPRODUCT(--('2026'!$A$5:$A$500=$M$1),--('2026'!$G$5:$G$500=$B8))</f>
        <v/>
      </c>
      <c r="N8" s="80">
        <f>SUMPRODUCT(--('2026'!$A$5:$A$500=$M$1),--('2026'!$I$5:$I$500=$B8))+SUMPRODUCT(--('2026'!$A$5:$A$500=$M$1),--('2026'!$J$5:$J$500=$B8))</f>
        <v/>
      </c>
      <c r="O8" s="50">
        <f>SUMPRODUCT(--('2026'!$A$5:$A$500=$O$1),--('2026'!$C$5:$C$500=$B8))+SUMPRODUCT(--('2026'!$A$5:$A$500=$O$1),--('2026'!$F$5:$F$500=$B8))+SUMPRODUCT(--('2026'!$A$5:$A$500=$O$1),--('2026'!$D$5:$D$500=$B8))+SUMPRODUCT(--('2026'!$A$5:$A$500=$O$1),--('2026'!$G$5:$G$500=$B8))</f>
        <v/>
      </c>
      <c r="P8" s="50">
        <f>SUMPRODUCT(--('2026'!$A$5:$A$500=$O$1),--('2026'!$I$5:$I$500=$B8))+SUMPRODUCT(--('2026'!$A$5:$A$500=$O$1),--('2026'!$J$5:$J$500=$B8))</f>
        <v/>
      </c>
      <c r="Q8" s="50">
        <f>SUMPRODUCT(--('2026'!$A$5:$A$500=$Q$1),--('2026'!$C$5:$C$500=$B8))+SUMPRODUCT(--('2026'!$A$5:$A$500=$Q$1),--('2026'!$F$5:$F$500=$B8))+SUMPRODUCT(--('2026'!$A$5:$A$500=$Q$1),--('2026'!$D$5:$D$500=$B8))+SUMPRODUCT(--('2026'!$A$5:$A$500=$Q$1),--('2026'!$G$5:$G$500=$B8))</f>
        <v/>
      </c>
      <c r="R8" s="50">
        <f>SUMPRODUCT(--('2026'!$A$5:$A$500=$Q$1),--('2026'!$I$5:$I$500=$B8))+SUMPRODUCT(--('2026'!$A$5:$A$500=$Q$1),--('2026'!$J$5:$J$500=$B8))</f>
        <v/>
      </c>
      <c r="S8" s="50">
        <f>SUMPRODUCT(--('2026'!$A$5:$A$500=$S$1),--('2026'!$C$5:$C$500=$B8))+SUMPRODUCT(--('2026'!$A$5:$A$500=$S$1),--('2026'!$F$5:$F$500=$B8))+SUMPRODUCT(--('2026'!$A$5:$A$500=$S$1),--('2026'!$D$5:$D$500=$B8))+SUMPRODUCT(--('2026'!$A$5:$A$500=$S$1),--('2026'!$G$5:$G$500=$B8))</f>
        <v/>
      </c>
      <c r="T8" s="50">
        <f>SUMPRODUCT(--('2026'!$A$5:$A$500=$S$1),--('2026'!$I$5:$I$500=$B8))+SUMPRODUCT(--('2026'!$A$5:$A$500=$S$1),--('2026'!$J$5:$J$500=$B8))</f>
        <v/>
      </c>
      <c r="U8" s="50">
        <f>SUMPRODUCT(--('2026'!$A$5:$A$500=$U$1),--('2026'!$C$5:$C$500=$B8))+SUMPRODUCT(--('2026'!$A$5:$A$500=$U$1),--('2026'!$F$5:$F$500=$B8))+SUMPRODUCT(--('2026'!$A$5:$A$500=$U$1),--('2026'!$D$5:$D$500=$B8))+SUMPRODUCT(--('2026'!$A$5:$A$500=$U$1),--('2026'!$G$5:$G$500=$B8))</f>
        <v/>
      </c>
      <c r="V8" s="50">
        <f>SUMPRODUCT(--('2026'!$A$5:$A$500=$U$1),--('2026'!$I$5:$I$500=$B8))+SUMPRODUCT(--('2026'!$A$5:$A$500=$U$1),--('2026'!$J$5:$J$500=$B8))</f>
        <v/>
      </c>
      <c r="W8" s="60">
        <f>SUMPRODUCT(--('2026'!$A$5:$A$500=$W$1),--('2026'!$C$5:$C$500=$B8))+SUMPRODUCT(--('2026'!$A$5:$A$500=$W$1),--('2026'!$F$5:$F$500=$B8))+SUMPRODUCT(--('2026'!$A$5:$A$500=$W$1),--('2026'!$D$5:$D$500=$B8))+SUMPRODUCT(--('2026'!$A$5:$A$500=$W$1),--('2026'!$G$5:$G$500=$B8))</f>
        <v/>
      </c>
      <c r="X8" s="60">
        <f>SUMPRODUCT(--('2026'!$A$5:$A$500=$W$1),--('2026'!$I$5:$I$500=$B8))+SUMPRODUCT(--('2026'!$A$5:$A$500=$W$1),--('2026'!$J$5:$J$500=$B8))</f>
        <v/>
      </c>
      <c r="Y8" s="51">
        <f>SUMPRODUCT(--('2026'!$A$5:$A$500=$Y$1),--('2026'!$C$5:$C$500=$B8))+SUMPRODUCT(--('2026'!$A$5:$A$500=$Y$1),--('2026'!$F$5:$F$500=$B8))+SUMPRODUCT(--('2026'!$A$5:$A$500=$Y$1),--('2026'!$D$5:$D$500=$B8))+SUMPRODUCT(--('2026'!$A$5:$A$500=$Y$1),--('2026'!$G$5:$G$500=$B8))</f>
        <v/>
      </c>
      <c r="Z8" s="51">
        <f>SUMPRODUCT(--('2026'!$A$5:$A$500=$Y$1),--('2026'!$I$5:$I$500=$B8))+SUMPRODUCT(--('2026'!$A$5:$A$500=$Y$1),--('2026'!$J$5:$J$500=$B8))</f>
        <v/>
      </c>
      <c r="AA8" s="51">
        <f>SUMPRODUCT(--('2026'!$A$5:$A$500=$AA$1),--('2026'!$C$5:$C$500=$B8))+SUMPRODUCT(--('2026'!$A$5:$A$500=$AA$1),--('2026'!$F$5:$F$500=$B8))+SUMPRODUCT(--('2026'!$A$5:$A$500=$AA$1),--('2026'!$D$5:$D$500=$B8))+SUMPRODUCT(--('2026'!$A$5:$A$500=$AA$1),--('2026'!$G$5:$G$500=$B8))</f>
        <v/>
      </c>
      <c r="AB8" s="51">
        <f>SUMPRODUCT(--('2026'!$A$5:$A$500=$AA$1),--('2026'!$I$5:$I$500=$B8))+SUMPRODUCT(--('2026'!$A$5:$A$500=$AA$1),--('2026'!$J$5:$J$500=$B8))</f>
        <v/>
      </c>
      <c r="AC8" s="51">
        <f>SUMPRODUCT(--('2026'!$A$5:$A$500=$AC$1),--('2026'!$C$5:$C$500=$B8))+SUMPRODUCT(--('2026'!$A$5:$A$500=$AC$1),--('2026'!$F$5:$F$500=$B8))+SUMPRODUCT(--('2026'!$A$5:$A$500=$AC$1),--('2026'!$D$5:$D$500=$B8))+SUMPRODUCT(--('2026'!$A$5:$A$500=$AC$1),--('2026'!$G$5:$G$500=$B8))</f>
        <v/>
      </c>
      <c r="AD8" s="51">
        <f>SUMPRODUCT(--('2026'!$A$5:$A$500=$AC$1),--('2026'!$I$5:$I$500=$B8))+SUMPRODUCT(--('2026'!$A$5:$A$500=$AC$1),--('2026'!$J$5:$J$500=$B8))</f>
        <v/>
      </c>
      <c r="AE8" s="61">
        <f>SUMPRODUCT(--('2026'!$A$5:$A$500=$AE$1),--('2026'!$C$5:$C$500=$B8))+SUMPRODUCT(--('2026'!$A$5:$A$500=$AE$1),--('2026'!$F$5:$F$500=$B8))+SUMPRODUCT(--('2026'!$A$5:$A$500=$AE$1),--('2026'!$D$5:$D$500=$B8))+SUMPRODUCT(--('2026'!$A$5:$A$500=$AE$1),--('2026'!$G$5:$G$500=$B8))</f>
        <v/>
      </c>
      <c r="AF8" s="61">
        <f>SUMPRODUCT(--('2026'!$A$5:$A$500=$AE$1),--('2026'!$I$5:$I$500=$B8))+SUMPRODUCT(--('2026'!$A$5:$A$500=$AE$1),--('2026'!$J$5:$J$500=$B8))</f>
        <v/>
      </c>
      <c r="AG8" s="51">
        <f>SUMPRODUCT(--('2026'!$A$5:$A$500=$AG$1),--('2026'!$C$5:$C$500=$B8))+SUMPRODUCT(--('2026'!$A$5:$A$500=$AG$1),--('2026'!$F$5:$F$500=$B8))+SUMPRODUCT(--('2026'!$A$5:$A$500=$AG$1),--('2026'!$D$5:$D$500=$B8))+SUMPRODUCT(--('2026'!$A$5:$A$500=$AG$1),--('2026'!$G$5:$G$500=$B8))</f>
        <v/>
      </c>
      <c r="AH8" s="51">
        <f>SUMPRODUCT(--('2026'!$A$5:$A$500=$AG$1),--('2026'!$I$5:$I$500=$B8))+SUMPRODUCT(--('2026'!$A$5:$A$500=$AG$1),--('2026'!$J$5:$J$500=$B8))</f>
        <v/>
      </c>
      <c r="AI8" s="51">
        <f>SUMPRODUCT(--('2026'!$A$5:$A$500=$AI$1),--('2026'!$C$5:$C$500=$B8))+SUMPRODUCT(--('2026'!$A$5:$A$500=$AI$1),--('2026'!$F$5:$F$500=$B8))+SUMPRODUCT(--('2026'!$A$5:$A$500=$AI$1),--('2026'!$D$5:$D$500=$B8))+SUMPRODUCT(--('2026'!$A$5:$A$500=$AI$1),--('2026'!$G$5:$G$500=$B8))</f>
        <v/>
      </c>
      <c r="AJ8" s="51">
        <f>SUMPRODUCT(--('2026'!$A$5:$A$500=$AI$1),--('2026'!$I$5:$I$500=$B8))+SUMPRODUCT(--('2026'!$A$5:$A$500=$AI$1),--('2026'!$J$5:$J$500=$B8))</f>
        <v/>
      </c>
      <c r="AK8" s="51">
        <f>SUMPRODUCT(--('2026'!$A$5:$A$500=$AK$1),--('2026'!$C$5:$C$500=$B8))+SUMPRODUCT(--('2026'!$A$5:$A$500=$AK$1),--('2026'!$F$5:$F$500=$B8))+SUMPRODUCT(--('2026'!$A$5:$A$500=$AK$1),--('2026'!$D$5:$D$500=$B8))+SUMPRODUCT(--('2026'!$A$5:$A$500=$AK$1),--('2026'!$G$5:$G$500=$B8))</f>
        <v/>
      </c>
      <c r="AL8" s="51">
        <f>SUMPRODUCT(--('2026'!$A$5:$A$500=$AK$1),--('2026'!$I$5:$I$500=$B8))+SUMPRODUCT(--('2026'!$A$5:$A$500=$AK$1),--('2026'!$J$5:$J$500=$B8))</f>
        <v/>
      </c>
      <c r="AM8" s="51">
        <f>SUMPRODUCT(--('2026'!$A$5:$A$500=$AM$1),--('2026'!$C$5:$C$500=$B8))+SUMPRODUCT(--('2026'!$A$5:$A$500=$AM$1),--('2026'!$F$5:$F$500=$B8))+SUMPRODUCT(--('2026'!$A$5:$A$500=$AM$1),--('2026'!$D$5:$D$500=$B8))+SUMPRODUCT(--('2026'!$A$5:$A$500=$AM$1),--('2026'!$G$5:$G$500=$B8))</f>
        <v/>
      </c>
      <c r="AN8" s="51">
        <f>SUMPRODUCT(--('2026'!$A$5:$A$500=$AM$1),--('2026'!$I$5:$I$500=$B8))+SUMPRODUCT(--('2026'!$A$5:$A$500=$AM$1),--('2026'!$J$5:$J$500=$B8))</f>
        <v/>
      </c>
      <c r="AO8" s="51">
        <f>SUMPRODUCT(--('2026'!$A$5:$A$500=$AO$1),--('2026'!$C$5:$C$500=$B8))+SUMPRODUCT(--('2026'!$A$5:$A$500=$AO$1),--('2026'!$F$5:$F$500=$B8))+SUMPRODUCT(--('2026'!$A$5:$A$500=$AO$1),--('2026'!$D$5:$D$500=$B8))+SUMPRODUCT(--('2026'!$A$5:$A$500=$AO$1),--('2026'!$G$5:$G$500=$B8))</f>
        <v/>
      </c>
      <c r="AP8" s="51">
        <f>SUMPRODUCT(--('2026'!$A$5:$A$500=$AO$1),--('2026'!$I$5:$I$500=$B8))+SUMPRODUCT(--('2026'!$A$5:$A$500=$AO$1),--('2026'!$J$5:$J$500=$B8))</f>
        <v/>
      </c>
      <c r="AQ8" s="51">
        <f>SUMPRODUCT(--('2026'!$A$5:$A$500=$AQ$1),--('2026'!$C$5:$C$500=$B8))+SUMPRODUCT(--('2026'!$A$5:$A$500=$AQ$1),--('2026'!$F$5:$F$500=$B8))+SUMPRODUCT(--('2026'!$A$5:$A$500=$AQ$1),--('2026'!$D$5:$D$500=$B8))+SUMPRODUCT(--('2026'!$A$5:$A$500=$AQ$1),--('2026'!$G$5:$G$500=$B8))</f>
        <v/>
      </c>
      <c r="AR8" s="51">
        <f>SUMPRODUCT(--('2026'!$A$5:$A$500=$AQ$1),--('2026'!$I$5:$I$500=$B8))+SUMPRODUCT(--('2026'!$A$5:$A$500=$AQ$1),--('2026'!$J$5:$J$500=$B8))</f>
        <v/>
      </c>
      <c r="AS8" s="51">
        <f>SUMPRODUCT(--('2026'!$A$5:$A$500=$AS$1),--('2026'!$C$5:$C$500=$B8))+SUMPRODUCT(--('2026'!$A$5:$A$500=$AS$1),--('2026'!$F$5:$F$500=$B8))+SUMPRODUCT(--('2026'!$A$5:$A$500=$AS$1),--('2026'!$D$5:$D$500=$B8))+SUMPRODUCT(--('2026'!$A$5:$A$500=$AS$1),--('2026'!$G$5:$G$500=$B8))</f>
        <v/>
      </c>
      <c r="AT8" s="51">
        <f>SUMPRODUCT(--('2026'!$A$5:$A$500=$AS$1),--('2026'!$I$5:$I$500=$B8))+SUMPRODUCT(--('2026'!$A$5:$A$500=$AS$1),--('2026'!$J$5:$J$500=$B8))</f>
        <v/>
      </c>
      <c r="AU8" s="51">
        <f>SUMPRODUCT(--('2026'!$A$5:$A$500=$AU$1),--('2026'!$C$5:$C$500=$B8))+SUMPRODUCT(--('2026'!$A$5:$A$500=$AU$1),--('2026'!$F$5:$F$500=$B8))+SUMPRODUCT(--('2026'!$A$5:$A$500=$AU$1),--('2026'!$D$5:$D$500=$B8))+SUMPRODUCT(--('2026'!$A$5:$A$500=$AU$1),--('2026'!$G$5:$G$500=$B8))</f>
        <v/>
      </c>
      <c r="AV8" s="51">
        <f>SUMPRODUCT(--('2026'!$A$5:$A$500=$AU$1),--('2026'!$I$5:$I$500=$B8))+SUMPRODUCT(--('2026'!$A$5:$A$500=$AU$1),--('2026'!$J$5:$J$500=$B8))</f>
        <v/>
      </c>
      <c r="AW8" s="51">
        <f>SUMPRODUCT(--('2026'!$A$5:$A$500=$AW$1),--('2026'!$C$5:$C$500=$B8))+SUMPRODUCT(--('2026'!$A$5:$A$500=$AW$1),--('2026'!$F$5:$F$500=$B8))+SUMPRODUCT(--('2026'!$A$5:$A$500=$AW$1),--('2026'!$D$5:$D$500=$B8))+SUMPRODUCT(--('2026'!$A$5:$A$500=$AW$1),--('2026'!$G$5:$G$500=$B8))</f>
        <v/>
      </c>
      <c r="AX8" s="51">
        <f>SUMPRODUCT(--('2026'!$A$5:$A$500=$AW$1),--('2026'!$I$5:$I$500=$B8))+SUMPRODUCT(--('2026'!$A$5:$A$500=$AW$1),--('2026'!$J$5:$J$500=$B8))</f>
        <v/>
      </c>
      <c r="BA8" s="54" t="inlineStr">
        <is>
          <t>Waqas</t>
        </is>
      </c>
      <c r="BB8" s="47">
        <f>IF(ISODD(COUNTIF(C8:AX8,"&gt;0")),COUNTIF(C8:AX8,"&gt;0")+1,COUNTIF(C8:AX8,"&gt;0"))/2</f>
        <v/>
      </c>
      <c r="BC8" s="52">
        <f>BB8/15</f>
        <v/>
      </c>
    </row>
    <row r="9" ht="15" customHeight="1" s="106">
      <c r="A9" t="n">
        <v>7</v>
      </c>
      <c r="B9" s="54" t="inlineStr">
        <is>
          <t>Sandip</t>
        </is>
      </c>
      <c r="C9" s="50">
        <f>SUMPRODUCT(--('2026'!$A$5:$A$500=$C$1),--('2026'!$C$5:$C$500=$B9))+SUMPRODUCT(--('2026'!$A$5:$A$500=$C$1),--('2026'!$F$5:$F$500=$B9))+SUMPRODUCT(--('2026'!$A$5:$A$500=$C$1),--('2026'!$D$5:$D$500=$B9))+SUMPRODUCT(--('2026'!$A$5:$A$500=$C$1),--('2026'!$G$5:$G$500=$B9))</f>
        <v/>
      </c>
      <c r="D9" s="50">
        <f>SUMPRODUCT(--('2026'!$A$5:$A$500=$C$1),--('2026'!$I$5:$I$500=$B9))+SUMPRODUCT(--('2026'!$A$5:$A$500=$C$1),--('2026'!$J$5:$J$500=$B9))</f>
        <v/>
      </c>
      <c r="E9" s="50">
        <f>SUMPRODUCT(--('2026'!$A$5:$A$500=$E$1),--('2026'!$C$5:$C$500=$B9))+SUMPRODUCT(--('2026'!$A$5:$A$500=$E$1),--('2026'!$F$5:$F$500=$B9))+SUMPRODUCT(--('2026'!$A$5:$A$500=$E$1),--('2026'!$D$5:$D$500=$B9))+SUMPRODUCT(--('2026'!$A$5:$A$500=$E$1),--('2026'!$G$5:$G$500=$B9))</f>
        <v/>
      </c>
      <c r="F9" s="50">
        <f>SUMPRODUCT(--('2026'!$A$5:$A$500=$E$1),--('2026'!$I$5:$I$500=$B9))+SUMPRODUCT(--('2026'!$A$5:$A$500=$E$1),--('2026'!$J$5:$J$500=$B9))</f>
        <v/>
      </c>
      <c r="G9" s="50">
        <f>SUMPRODUCT(--('2026'!$A$5:$A$500=$G$1),--('2026'!$C$5:$C$500=$B9))+SUMPRODUCT(--('2026'!$A$5:$A$500=$G$1),--('2026'!$F$5:$F$500=$B9))+SUMPRODUCT(--('2026'!$A$5:$A$500=$G$1),--('2026'!$D$5:$D$500=$B9))+SUMPRODUCT(--('2026'!$A$5:$A$500=$G$1),--('2026'!$G$5:$G$500=$B9))</f>
        <v/>
      </c>
      <c r="H9" s="80">
        <f>SUMPRODUCT(--('2026'!$A$5:$A$500=$G$1),--('2026'!$I$5:$I$500=$B9))+SUMPRODUCT(--('2026'!$A$5:$A$500=$G$1),--('2026'!$J$5:$J$500=$B9))</f>
        <v/>
      </c>
      <c r="I9" s="50">
        <f>SUMPRODUCT(--('2026'!$A$5:$A$500=$I$1),--('2026'!$C$5:$C$500=$B9))+SUMPRODUCT(--('2026'!$A$5:$A$500=$I$1),--('2026'!$F$5:$F$500=$B9))+SUMPRODUCT(--('2026'!$A$5:$A$500=$I$1),--('2026'!$D$5:$D$500=$B9))+SUMPRODUCT(--('2026'!$A$5:$A$500=$I$1),--('2026'!$G$5:$G$500=$B9))</f>
        <v/>
      </c>
      <c r="J9" s="50">
        <f>SUMPRODUCT(--('2026'!$A$5:$A$500=$I$1),--('2026'!$I$5:$I$500=$B9))+SUMPRODUCT(--('2026'!$A$5:$A$500=$I$1),--('2026'!$J$5:$J$500=$B9))</f>
        <v/>
      </c>
      <c r="K9" s="50">
        <f>SUMPRODUCT(--('2026'!$A$5:$A$500=$K$1),--('2026'!$C$5:$C$500=$B9))+SUMPRODUCT(--('2026'!$A$5:$A$500=$K$1),--('2026'!$F$5:$F$500=$B9))+SUMPRODUCT(--('2026'!$A$5:$A$500=$K$1),--('2026'!$D$5:$D$500=$B9))+SUMPRODUCT(--('2026'!$A$5:$A$500=$K$1),--('2026'!$G$5:$G$500=$B9))</f>
        <v/>
      </c>
      <c r="L9" s="50">
        <f>SUMPRODUCT(--('2026'!$A$5:$A$500=$K$1),--('2026'!$I$5:$I$500=$B9))+SUMPRODUCT(--('2026'!$A$5:$A$500=$K$1),--('2026'!$J$5:$J$500=$B9))</f>
        <v/>
      </c>
      <c r="M9" s="50">
        <f>SUMPRODUCT(--('2026'!$A$5:$A$500=$M$1),--('2026'!$C$5:$C$500=$B9))+SUMPRODUCT(--('2026'!$A$5:$A$500=$M$1),--('2026'!$F$5:$F$500=$B9))+SUMPRODUCT(--('2026'!$A$5:$A$500=$M$1),--('2026'!$D$5:$D$500=$B9))+SUMPRODUCT(--('2026'!$A$5:$A$500=$M$1),--('2026'!$G$5:$G$500=$B9))</f>
        <v/>
      </c>
      <c r="N9" s="50">
        <f>SUMPRODUCT(--('2026'!$A$5:$A$500=$M$1),--('2026'!$I$5:$I$500=$B9))+SUMPRODUCT(--('2026'!$A$5:$A$500=$M$1),--('2026'!$J$5:$J$500=$B9))</f>
        <v/>
      </c>
      <c r="O9" s="50">
        <f>SUMPRODUCT(--('2026'!$A$5:$A$500=$O$1),--('2026'!$C$5:$C$500=$B9))+SUMPRODUCT(--('2026'!$A$5:$A$500=$O$1),--('2026'!$F$5:$F$500=$B9))+SUMPRODUCT(--('2026'!$A$5:$A$500=$O$1),--('2026'!$D$5:$D$500=$B9))+SUMPRODUCT(--('2026'!$A$5:$A$500=$O$1),--('2026'!$G$5:$G$500=$B9))</f>
        <v/>
      </c>
      <c r="P9" s="50">
        <f>SUMPRODUCT(--('2026'!$A$5:$A$500=$O$1),--('2026'!$I$5:$I$500=$B9))+SUMPRODUCT(--('2026'!$A$5:$A$500=$O$1),--('2026'!$J$5:$J$500=$B9))</f>
        <v/>
      </c>
      <c r="Q9" s="50">
        <f>SUMPRODUCT(--('2026'!$A$5:$A$500=$Q$1),--('2026'!$C$5:$C$500=$B9))+SUMPRODUCT(--('2026'!$A$5:$A$500=$Q$1),--('2026'!$F$5:$F$500=$B9))+SUMPRODUCT(--('2026'!$A$5:$A$500=$Q$1),--('2026'!$D$5:$D$500=$B9))+SUMPRODUCT(--('2026'!$A$5:$A$500=$Q$1),--('2026'!$G$5:$G$500=$B9))</f>
        <v/>
      </c>
      <c r="R9" s="50">
        <f>SUMPRODUCT(--('2026'!$A$5:$A$500=$Q$1),--('2026'!$I$5:$I$500=$B9))+SUMPRODUCT(--('2026'!$A$5:$A$500=$Q$1),--('2026'!$J$5:$J$500=$B9))</f>
        <v/>
      </c>
      <c r="S9" s="50">
        <f>SUMPRODUCT(--('2026'!$A$5:$A$500=$S$1),--('2026'!$C$5:$C$500=$B9))+SUMPRODUCT(--('2026'!$A$5:$A$500=$S$1),--('2026'!$F$5:$F$500=$B9))+SUMPRODUCT(--('2026'!$A$5:$A$500=$S$1),--('2026'!$D$5:$D$500=$B9))+SUMPRODUCT(--('2026'!$A$5:$A$500=$S$1),--('2026'!$G$5:$G$500=$B9))</f>
        <v/>
      </c>
      <c r="T9" s="50">
        <f>SUMPRODUCT(--('2026'!$A$5:$A$500=$S$1),--('2026'!$I$5:$I$500=$B9))+SUMPRODUCT(--('2026'!$A$5:$A$500=$S$1),--('2026'!$J$5:$J$500=$B9))</f>
        <v/>
      </c>
      <c r="U9" s="50">
        <f>SUMPRODUCT(--('2026'!$A$5:$A$500=$U$1),--('2026'!$C$5:$C$500=$B9))+SUMPRODUCT(--('2026'!$A$5:$A$500=$U$1),--('2026'!$F$5:$F$500=$B9))+SUMPRODUCT(--('2026'!$A$5:$A$500=$U$1),--('2026'!$D$5:$D$500=$B9))+SUMPRODUCT(--('2026'!$A$5:$A$500=$U$1),--('2026'!$G$5:$G$500=$B9))</f>
        <v/>
      </c>
      <c r="V9" s="50">
        <f>SUMPRODUCT(--('2026'!$A$5:$A$500=$U$1),--('2026'!$I$5:$I$500=$B9))+SUMPRODUCT(--('2026'!$A$5:$A$500=$U$1),--('2026'!$J$5:$J$500=$B9))</f>
        <v/>
      </c>
      <c r="W9" s="60">
        <f>SUMPRODUCT(--('2026'!$A$5:$A$500=$W$1),--('2026'!$C$5:$C$500=$B9))+SUMPRODUCT(--('2026'!$A$5:$A$500=$W$1),--('2026'!$F$5:$F$500=$B9))+SUMPRODUCT(--('2026'!$A$5:$A$500=$W$1),--('2026'!$D$5:$D$500=$B9))+SUMPRODUCT(--('2026'!$A$5:$A$500=$W$1),--('2026'!$G$5:$G$500=$B9))</f>
        <v/>
      </c>
      <c r="X9" s="60">
        <f>SUMPRODUCT(--('2026'!$A$5:$A$500=$W$1),--('2026'!$I$5:$I$500=$B9))+SUMPRODUCT(--('2026'!$A$5:$A$500=$W$1),--('2026'!$J$5:$J$500=$B9))</f>
        <v/>
      </c>
      <c r="Y9" s="51">
        <f>SUMPRODUCT(--('2026'!$A$5:$A$500=$Y$1),--('2026'!$C$5:$C$500=$B9))+SUMPRODUCT(--('2026'!$A$5:$A$500=$Y$1),--('2026'!$F$5:$F$500=$B9))+SUMPRODUCT(--('2026'!$A$5:$A$500=$Y$1),--('2026'!$D$5:$D$500=$B9))+SUMPRODUCT(--('2026'!$A$5:$A$500=$Y$1),--('2026'!$G$5:$G$500=$B9))</f>
        <v/>
      </c>
      <c r="Z9" s="51">
        <f>SUMPRODUCT(--('2026'!$A$5:$A$500=$Y$1),--('2026'!$I$5:$I$500=$B9))+SUMPRODUCT(--('2026'!$A$5:$A$500=$Y$1),--('2026'!$J$5:$J$500=$B9))</f>
        <v/>
      </c>
      <c r="AA9" s="51">
        <f>SUMPRODUCT(--('2026'!$A$5:$A$500=$AA$1),--('2026'!$C$5:$C$500=$B9))+SUMPRODUCT(--('2026'!$A$5:$A$500=$AA$1),--('2026'!$F$5:$F$500=$B9))+SUMPRODUCT(--('2026'!$A$5:$A$500=$AA$1),--('2026'!$D$5:$D$500=$B9))+SUMPRODUCT(--('2026'!$A$5:$A$500=$AA$1),--('2026'!$G$5:$G$500=$B9))</f>
        <v/>
      </c>
      <c r="AB9" s="51">
        <f>SUMPRODUCT(--('2026'!$A$5:$A$500=$AA$1),--('2026'!$I$5:$I$500=$B9))+SUMPRODUCT(--('2026'!$A$5:$A$500=$AA$1),--('2026'!$J$5:$J$500=$B9))</f>
        <v/>
      </c>
      <c r="AC9" s="51">
        <f>SUMPRODUCT(--('2026'!$A$5:$A$500=$AC$1),--('2026'!$C$5:$C$500=$B9))+SUMPRODUCT(--('2026'!$A$5:$A$500=$AC$1),--('2026'!$F$5:$F$500=$B9))+SUMPRODUCT(--('2026'!$A$5:$A$500=$AC$1),--('2026'!$D$5:$D$500=$B9))+SUMPRODUCT(--('2026'!$A$5:$A$500=$AC$1),--('2026'!$G$5:$G$500=$B9))</f>
        <v/>
      </c>
      <c r="AD9" s="51">
        <f>SUMPRODUCT(--('2026'!$A$5:$A$500=$AC$1),--('2026'!$I$5:$I$500=$B9))+SUMPRODUCT(--('2026'!$A$5:$A$500=$AC$1),--('2026'!$J$5:$J$500=$B9))</f>
        <v/>
      </c>
      <c r="AE9" s="61">
        <f>SUMPRODUCT(--('2026'!$A$5:$A$500=$AE$1),--('2026'!$C$5:$C$500=$B9))+SUMPRODUCT(--('2026'!$A$5:$A$500=$AE$1),--('2026'!$F$5:$F$500=$B9))+SUMPRODUCT(--('2026'!$A$5:$A$500=$AE$1),--('2026'!$D$5:$D$500=$B9))+SUMPRODUCT(--('2026'!$A$5:$A$500=$AE$1),--('2026'!$G$5:$G$500=$B9))</f>
        <v/>
      </c>
      <c r="AF9" s="61">
        <f>SUMPRODUCT(--('2026'!$A$5:$A$500=$AE$1),--('2026'!$I$5:$I$500=$B9))+SUMPRODUCT(--('2026'!$A$5:$A$500=$AE$1),--('2026'!$J$5:$J$500=$B9))</f>
        <v/>
      </c>
      <c r="AG9" s="51">
        <f>SUMPRODUCT(--('2026'!$A$5:$A$500=$AG$1),--('2026'!$C$5:$C$500=$B9))+SUMPRODUCT(--('2026'!$A$5:$A$500=$AG$1),--('2026'!$F$5:$F$500=$B9))+SUMPRODUCT(--('2026'!$A$5:$A$500=$AG$1),--('2026'!$D$5:$D$500=$B9))+SUMPRODUCT(--('2026'!$A$5:$A$500=$AG$1),--('2026'!$G$5:$G$500=$B9))</f>
        <v/>
      </c>
      <c r="AH9" s="51">
        <f>SUMPRODUCT(--('2026'!$A$5:$A$500=$AG$1),--('2026'!$I$5:$I$500=$B9))+SUMPRODUCT(--('2026'!$A$5:$A$500=$AG$1),--('2026'!$J$5:$J$500=$B9))</f>
        <v/>
      </c>
      <c r="AI9" s="51">
        <f>SUMPRODUCT(--('2026'!$A$5:$A$500=$AI$1),--('2026'!$C$5:$C$500=$B9))+SUMPRODUCT(--('2026'!$A$5:$A$500=$AI$1),--('2026'!$F$5:$F$500=$B9))+SUMPRODUCT(--('2026'!$A$5:$A$500=$AI$1),--('2026'!$D$5:$D$500=$B9))+SUMPRODUCT(--('2026'!$A$5:$A$500=$AI$1),--('2026'!$G$5:$G$500=$B9))</f>
        <v/>
      </c>
      <c r="AJ9" s="51">
        <f>SUMPRODUCT(--('2026'!$A$5:$A$500=$AI$1),--('2026'!$I$5:$I$500=$B9))+SUMPRODUCT(--('2026'!$A$5:$A$500=$AI$1),--('2026'!$J$5:$J$500=$B9))</f>
        <v/>
      </c>
      <c r="AK9" s="51">
        <f>SUMPRODUCT(--('2026'!$A$5:$A$500=$AK$1),--('2026'!$C$5:$C$500=$B9))+SUMPRODUCT(--('2026'!$A$5:$A$500=$AK$1),--('2026'!$F$5:$F$500=$B9))+SUMPRODUCT(--('2026'!$A$5:$A$500=$AK$1),--('2026'!$D$5:$D$500=$B9))+SUMPRODUCT(--('2026'!$A$5:$A$500=$AK$1),--('2026'!$G$5:$G$500=$B9))</f>
        <v/>
      </c>
      <c r="AL9" s="51">
        <f>SUMPRODUCT(--('2026'!$A$5:$A$500=$AK$1),--('2026'!$I$5:$I$500=$B9))+SUMPRODUCT(--('2026'!$A$5:$A$500=$AK$1),--('2026'!$J$5:$J$500=$B9))</f>
        <v/>
      </c>
      <c r="AM9" s="51">
        <f>SUMPRODUCT(--('2026'!$A$5:$A$500=$AM$1),--('2026'!$C$5:$C$500=$B9))+SUMPRODUCT(--('2026'!$A$5:$A$500=$AM$1),--('2026'!$F$5:$F$500=$B9))+SUMPRODUCT(--('2026'!$A$5:$A$500=$AM$1),--('2026'!$D$5:$D$500=$B9))+SUMPRODUCT(--('2026'!$A$5:$A$500=$AM$1),--('2026'!$G$5:$G$500=$B9))</f>
        <v/>
      </c>
      <c r="AN9" s="51">
        <f>SUMPRODUCT(--('2026'!$A$5:$A$500=$AM$1),--('2026'!$I$5:$I$500=$B9))+SUMPRODUCT(--('2026'!$A$5:$A$500=$AM$1),--('2026'!$J$5:$J$500=$B9))</f>
        <v/>
      </c>
      <c r="AO9" s="51">
        <f>SUMPRODUCT(--('2026'!$A$5:$A$500=$AO$1),--('2026'!$C$5:$C$500=$B9))+SUMPRODUCT(--('2026'!$A$5:$A$500=$AO$1),--('2026'!$F$5:$F$500=$B9))+SUMPRODUCT(--('2026'!$A$5:$A$500=$AO$1),--('2026'!$D$5:$D$500=$B9))+SUMPRODUCT(--('2026'!$A$5:$A$500=$AO$1),--('2026'!$G$5:$G$500=$B9))</f>
        <v/>
      </c>
      <c r="AP9" s="51">
        <f>SUMPRODUCT(--('2026'!$A$5:$A$500=$AO$1),--('2026'!$I$5:$I$500=$B9))+SUMPRODUCT(--('2026'!$A$5:$A$500=$AO$1),--('2026'!$J$5:$J$500=$B9))</f>
        <v/>
      </c>
      <c r="AQ9" s="51">
        <f>SUMPRODUCT(--('2026'!$A$5:$A$500=$AQ$1),--('2026'!$C$5:$C$500=$B9))+SUMPRODUCT(--('2026'!$A$5:$A$500=$AQ$1),--('2026'!$F$5:$F$500=$B9))+SUMPRODUCT(--('2026'!$A$5:$A$500=$AQ$1),--('2026'!$D$5:$D$500=$B9))+SUMPRODUCT(--('2026'!$A$5:$A$500=$AQ$1),--('2026'!$G$5:$G$500=$B9))</f>
        <v/>
      </c>
      <c r="AR9" s="51">
        <f>SUMPRODUCT(--('2026'!$A$5:$A$500=$AQ$1),--('2026'!$I$5:$I$500=$B9))+SUMPRODUCT(--('2026'!$A$5:$A$500=$AQ$1),--('2026'!$J$5:$J$500=$B9))</f>
        <v/>
      </c>
      <c r="AS9" s="51">
        <f>SUMPRODUCT(--('2026'!$A$5:$A$500=$AS$1),--('2026'!$C$5:$C$500=$B9))+SUMPRODUCT(--('2026'!$A$5:$A$500=$AS$1),--('2026'!$F$5:$F$500=$B9))+SUMPRODUCT(--('2026'!$A$5:$A$500=$AS$1),--('2026'!$D$5:$D$500=$B9))+SUMPRODUCT(--('2026'!$A$5:$A$500=$AS$1),--('2026'!$G$5:$G$500=$B9))</f>
        <v/>
      </c>
      <c r="AT9" s="51">
        <f>SUMPRODUCT(--('2026'!$A$5:$A$500=$AS$1),--('2026'!$I$5:$I$500=$B9))+SUMPRODUCT(--('2026'!$A$5:$A$500=$AS$1),--('2026'!$J$5:$J$500=$B9))</f>
        <v/>
      </c>
      <c r="AU9" s="51">
        <f>SUMPRODUCT(--('2026'!$A$5:$A$500=$AU$1),--('2026'!$C$5:$C$500=$B9))+SUMPRODUCT(--('2026'!$A$5:$A$500=$AU$1),--('2026'!$F$5:$F$500=$B9))+SUMPRODUCT(--('2026'!$A$5:$A$500=$AU$1),--('2026'!$D$5:$D$500=$B9))+SUMPRODUCT(--('2026'!$A$5:$A$500=$AU$1),--('2026'!$G$5:$G$500=$B9))</f>
        <v/>
      </c>
      <c r="AV9" s="51">
        <f>SUMPRODUCT(--('2026'!$A$5:$A$500=$AU$1),--('2026'!$I$5:$I$500=$B9))+SUMPRODUCT(--('2026'!$A$5:$A$500=$AU$1),--('2026'!$J$5:$J$500=$B9))</f>
        <v/>
      </c>
      <c r="AW9" s="51">
        <f>SUMPRODUCT(--('2026'!$A$5:$A$500=$AW$1),--('2026'!$C$5:$C$500=$B9))+SUMPRODUCT(--('2026'!$A$5:$A$500=$AW$1),--('2026'!$F$5:$F$500=$B9))+SUMPRODUCT(--('2026'!$A$5:$A$500=$AW$1),--('2026'!$D$5:$D$500=$B9))+SUMPRODUCT(--('2026'!$A$5:$A$500=$AW$1),--('2026'!$G$5:$G$500=$B9))</f>
        <v/>
      </c>
      <c r="AX9" s="51">
        <f>SUMPRODUCT(--('2026'!$A$5:$A$500=$AW$1),--('2026'!$I$5:$I$500=$B9))+SUMPRODUCT(--('2026'!$A$5:$A$500=$AW$1),--('2026'!$J$5:$J$500=$B9))</f>
        <v/>
      </c>
      <c r="BA9" s="54" t="inlineStr">
        <is>
          <t>Sandip</t>
        </is>
      </c>
      <c r="BB9" s="47">
        <f>IF(ISODD(COUNTIF(C9:AX9,"&gt;0")),COUNTIF(C9:AX9,"&gt;0")+1,COUNTIF(C9:AX9,"&gt;0"))/2</f>
        <v/>
      </c>
      <c r="BC9" s="52">
        <f>BB9/15</f>
        <v/>
      </c>
    </row>
    <row r="10" ht="15" customHeight="1" s="106">
      <c r="A10" t="n">
        <v>8</v>
      </c>
      <c r="B10" s="54" t="inlineStr">
        <is>
          <t>Usman</t>
        </is>
      </c>
      <c r="C10" s="50">
        <f>SUMPRODUCT(--('2026'!$A$5:$A$500=$C$1),--('2026'!$C$5:$C$500=$B10))+SUMPRODUCT(--('2026'!$A$5:$A$500=$C$1),--('2026'!$F$5:$F$500=$B10))+SUMPRODUCT(--('2026'!$A$5:$A$500=$C$1),--('2026'!$D$5:$D$500=$B10))+SUMPRODUCT(--('2026'!$A$5:$A$500=$C$1),--('2026'!$G$5:$G$500=$B10))</f>
        <v/>
      </c>
      <c r="D10" s="50">
        <f>SUMPRODUCT(--('2026'!$A$5:$A$500=$C$1),--('2026'!$I$5:$I$500=$B10))+SUMPRODUCT(--('2026'!$A$5:$A$500=$C$1),--('2026'!$J$5:$J$500=$B10))</f>
        <v/>
      </c>
      <c r="E10" s="50">
        <f>SUMPRODUCT(--('2026'!$A$5:$A$500=$E$1),--('2026'!$C$5:$C$500=$B10))+SUMPRODUCT(--('2026'!$A$5:$A$500=$E$1),--('2026'!$F$5:$F$500=$B10))+SUMPRODUCT(--('2026'!$A$5:$A$500=$E$1),--('2026'!$D$5:$D$500=$B10))+SUMPRODUCT(--('2026'!$A$5:$A$500=$E$1),--('2026'!$G$5:$G$500=$B10))</f>
        <v/>
      </c>
      <c r="F10" s="50">
        <f>SUMPRODUCT(--('2026'!$A$5:$A$500=$E$1),--('2026'!$I$5:$I$500=$B10))+SUMPRODUCT(--('2026'!$A$5:$A$500=$E$1),--('2026'!$J$5:$J$500=$B10))</f>
        <v/>
      </c>
      <c r="G10" s="50">
        <f>SUMPRODUCT(--('2026'!$A$5:$A$500=$G$1),--('2026'!$C$5:$C$500=$B10))+SUMPRODUCT(--('2026'!$A$5:$A$500=$G$1),--('2026'!$F$5:$F$500=$B10))+SUMPRODUCT(--('2026'!$A$5:$A$500=$G$1),--('2026'!$D$5:$D$500=$B10))+SUMPRODUCT(--('2026'!$A$5:$A$500=$G$1),--('2026'!$G$5:$G$500=$B10))</f>
        <v/>
      </c>
      <c r="H10" s="50">
        <f>SUMPRODUCT(--('2026'!$A$5:$A$500=$G$1),--('2026'!$I$5:$I$500=$B10))+SUMPRODUCT(--('2026'!$A$5:$A$500=$G$1),--('2026'!$J$5:$J$500=$B10))</f>
        <v/>
      </c>
      <c r="I10" s="50">
        <f>SUMPRODUCT(--('2026'!$A$5:$A$500=$I$1),--('2026'!$C$5:$C$500=$B10))+SUMPRODUCT(--('2026'!$A$5:$A$500=$I$1),--('2026'!$F$5:$F$500=$B10))+SUMPRODUCT(--('2026'!$A$5:$A$500=$I$1),--('2026'!$D$5:$D$500=$B10))+SUMPRODUCT(--('2026'!$A$5:$A$500=$I$1),--('2026'!$G$5:$G$500=$B10))</f>
        <v/>
      </c>
      <c r="J10" s="50">
        <f>SUMPRODUCT(--('2026'!$A$5:$A$500=$I$1),--('2026'!$I$5:$I$500=$B10))+SUMPRODUCT(--('2026'!$A$5:$A$500=$I$1),--('2026'!$J$5:$J$500=$B10))</f>
        <v/>
      </c>
      <c r="K10" s="50">
        <f>SUMPRODUCT(--('2026'!$A$5:$A$500=$K$1),--('2026'!$C$5:$C$500=$B10))+SUMPRODUCT(--('2026'!$A$5:$A$500=$K$1),--('2026'!$F$5:$F$500=$B10))+SUMPRODUCT(--('2026'!$A$5:$A$500=$K$1),--('2026'!$D$5:$D$500=$B10))+SUMPRODUCT(--('2026'!$A$5:$A$500=$K$1),--('2026'!$G$5:$G$500=$B10))</f>
        <v/>
      </c>
      <c r="L10" s="50">
        <f>SUMPRODUCT(--('2026'!$A$5:$A$500=$K$1),--('2026'!$I$5:$I$500=$B10))+SUMPRODUCT(--('2026'!$A$5:$A$500=$K$1),--('2026'!$J$5:$J$500=$B10))</f>
        <v/>
      </c>
      <c r="M10" s="50">
        <f>SUMPRODUCT(--('2026'!$A$5:$A$500=$M$1),--('2026'!$C$5:$C$500=$B10))+SUMPRODUCT(--('2026'!$A$5:$A$500=$M$1),--('2026'!$F$5:$F$500=$B10))+SUMPRODUCT(--('2026'!$A$5:$A$500=$M$1),--('2026'!$D$5:$D$500=$B10))+SUMPRODUCT(--('2026'!$A$5:$A$500=$M$1),--('2026'!$G$5:$G$500=$B10))</f>
        <v/>
      </c>
      <c r="N10" s="50">
        <f>SUMPRODUCT(--('2026'!$A$5:$A$500=$M$1),--('2026'!$I$5:$I$500=$B10))+SUMPRODUCT(--('2026'!$A$5:$A$500=$M$1),--('2026'!$J$5:$J$500=$B10))</f>
        <v/>
      </c>
      <c r="O10" s="50">
        <f>SUMPRODUCT(--('2026'!$A$5:$A$500=$O$1),--('2026'!$C$5:$C$500=$B10))+SUMPRODUCT(--('2026'!$A$5:$A$500=$O$1),--('2026'!$F$5:$F$500=$B10))+SUMPRODUCT(--('2026'!$A$5:$A$500=$O$1),--('2026'!$D$5:$D$500=$B10))+SUMPRODUCT(--('2026'!$A$5:$A$500=$O$1),--('2026'!$G$5:$G$500=$B10))</f>
        <v/>
      </c>
      <c r="P10" s="50">
        <f>SUMPRODUCT(--('2026'!$A$5:$A$500=$O$1),--('2026'!$I$5:$I$500=$B10))+SUMPRODUCT(--('2026'!$A$5:$A$500=$O$1),--('2026'!$J$5:$J$500=$B10))</f>
        <v/>
      </c>
      <c r="Q10" s="50">
        <f>SUMPRODUCT(--('2026'!$A$5:$A$500=$Q$1),--('2026'!$C$5:$C$500=$B10))+SUMPRODUCT(--('2026'!$A$5:$A$500=$Q$1),--('2026'!$F$5:$F$500=$B10))+SUMPRODUCT(--('2026'!$A$5:$A$500=$Q$1),--('2026'!$D$5:$D$500=$B10))+SUMPRODUCT(--('2026'!$A$5:$A$500=$Q$1),--('2026'!$G$5:$G$500=$B10))</f>
        <v/>
      </c>
      <c r="R10" s="50">
        <f>SUMPRODUCT(--('2026'!$A$5:$A$500=$Q$1),--('2026'!$I$5:$I$500=$B10))+SUMPRODUCT(--('2026'!$A$5:$A$500=$Q$1),--('2026'!$J$5:$J$500=$B10))</f>
        <v/>
      </c>
      <c r="S10" s="50">
        <f>SUMPRODUCT(--('2026'!$A$5:$A$500=$S$1),--('2026'!$C$5:$C$500=$B10))+SUMPRODUCT(--('2026'!$A$5:$A$500=$S$1),--('2026'!$F$5:$F$500=$B10))+SUMPRODUCT(--('2026'!$A$5:$A$500=$S$1),--('2026'!$D$5:$D$500=$B10))+SUMPRODUCT(--('2026'!$A$5:$A$500=$S$1),--('2026'!$G$5:$G$500=$B10))</f>
        <v/>
      </c>
      <c r="T10" s="50">
        <f>SUMPRODUCT(--('2026'!$A$5:$A$500=$S$1),--('2026'!$I$5:$I$500=$B10))+SUMPRODUCT(--('2026'!$A$5:$A$500=$S$1),--('2026'!$J$5:$J$500=$B10))</f>
        <v/>
      </c>
      <c r="U10" s="50">
        <f>SUMPRODUCT(--('2026'!$A$5:$A$500=$U$1),--('2026'!$C$5:$C$500=$B10))+SUMPRODUCT(--('2026'!$A$5:$A$500=$U$1),--('2026'!$F$5:$F$500=$B10))+SUMPRODUCT(--('2026'!$A$5:$A$500=$U$1),--('2026'!$D$5:$D$500=$B10))+SUMPRODUCT(--('2026'!$A$5:$A$500=$U$1),--('2026'!$G$5:$G$500=$B10))</f>
        <v/>
      </c>
      <c r="V10" s="50">
        <f>SUMPRODUCT(--('2026'!$A$5:$A$500=$U$1),--('2026'!$I$5:$I$500=$B10))+SUMPRODUCT(--('2026'!$A$5:$A$500=$U$1),--('2026'!$J$5:$J$500=$B10))</f>
        <v/>
      </c>
      <c r="W10" s="60">
        <f>SUMPRODUCT(--('2026'!$A$5:$A$500=$W$1),--('2026'!$C$5:$C$500=$B10))+SUMPRODUCT(--('2026'!$A$5:$A$500=$W$1),--('2026'!$F$5:$F$500=$B10))+SUMPRODUCT(--('2026'!$A$5:$A$500=$W$1),--('2026'!$D$5:$D$500=$B10))+SUMPRODUCT(--('2026'!$A$5:$A$500=$W$1),--('2026'!$G$5:$G$500=$B10))</f>
        <v/>
      </c>
      <c r="X10" s="60">
        <f>SUMPRODUCT(--('2026'!$A$5:$A$500=$W$1),--('2026'!$I$5:$I$500=$B10))+SUMPRODUCT(--('2026'!$A$5:$A$500=$W$1),--('2026'!$J$5:$J$500=$B10))</f>
        <v/>
      </c>
      <c r="Y10" s="50">
        <f>SUMPRODUCT(--('2026'!$A$5:$A$500=$Y$1),--('2026'!$C$5:$C$500=$B10))+SUMPRODUCT(--('2026'!$A$5:$A$500=$Y$1),--('2026'!$F$5:$F$500=$B10))+SUMPRODUCT(--('2026'!$A$5:$A$500=$Y$1),--('2026'!$D$5:$D$500=$B10))+SUMPRODUCT(--('2026'!$A$5:$A$500=$Y$1),--('2026'!$G$5:$G$500=$B10))</f>
        <v/>
      </c>
      <c r="Z10" s="50">
        <f>SUMPRODUCT(--('2026'!$A$5:$A$500=$Y$1),--('2026'!$I$5:$I$500=$B10))+SUMPRODUCT(--('2026'!$A$5:$A$500=$Y$1),--('2026'!$J$5:$J$500=$B10))</f>
        <v/>
      </c>
      <c r="AA10" s="50">
        <f>SUMPRODUCT(--('2026'!$A$5:$A$500=$AA$1),--('2026'!$C$5:$C$500=$B10))+SUMPRODUCT(--('2026'!$A$5:$A$500=$AA$1),--('2026'!$F$5:$F$500=$B10))+SUMPRODUCT(--('2026'!$A$5:$A$500=$AA$1),--('2026'!$D$5:$D$500=$B10))+SUMPRODUCT(--('2026'!$A$5:$A$500=$AA$1),--('2026'!$G$5:$G$500=$B10))</f>
        <v/>
      </c>
      <c r="AB10" s="50">
        <f>SUMPRODUCT(--('2026'!$A$5:$A$500=$AA$1),--('2026'!$I$5:$I$500=$B10))+SUMPRODUCT(--('2026'!$A$5:$A$500=$AA$1),--('2026'!$J$5:$J$500=$B10))</f>
        <v/>
      </c>
      <c r="AC10" s="50">
        <f>SUMPRODUCT(--('2026'!$A$5:$A$500=$AC$1),--('2026'!$C$5:$C$500=$B10))+SUMPRODUCT(--('2026'!$A$5:$A$500=$AC$1),--('2026'!$F$5:$F$500=$B10))+SUMPRODUCT(--('2026'!$A$5:$A$500=$AC$1),--('2026'!$D$5:$D$500=$B10))+SUMPRODUCT(--('2026'!$A$5:$A$500=$AC$1),--('2026'!$G$5:$G$500=$B10))</f>
        <v/>
      </c>
      <c r="AD10" s="50">
        <f>SUMPRODUCT(--('2026'!$A$5:$A$500=$AC$1),--('2026'!$I$5:$I$500=$B10))+SUMPRODUCT(--('2026'!$A$5:$A$500=$AC$1),--('2026'!$J$5:$J$500=$B10))</f>
        <v/>
      </c>
      <c r="AE10" s="50">
        <f>SUMPRODUCT(--('2026'!$A$5:$A$500=$AE$1),--('2026'!$C$5:$C$500=$B10))+SUMPRODUCT(--('2026'!$A$5:$A$500=$AE$1),--('2026'!$F$5:$F$500=$B10))+SUMPRODUCT(--('2026'!$A$5:$A$500=$AE$1),--('2026'!$D$5:$D$500=$B10))+SUMPRODUCT(--('2026'!$A$5:$A$500=$AE$1),--('2026'!$G$5:$G$500=$B10))</f>
        <v/>
      </c>
      <c r="AF10" s="50">
        <f>SUMPRODUCT(--('2026'!$A$5:$A$500=$AE$1),--('2026'!$I$5:$I$500=$B10))+SUMPRODUCT(--('2026'!$A$5:$A$500=$AE$1),--('2026'!$J$5:$J$500=$B10))</f>
        <v/>
      </c>
      <c r="AG10" s="50">
        <f>SUMPRODUCT(--('2026'!$A$5:$A$500=$AG$1),--('2026'!$C$5:$C$500=$B10))+SUMPRODUCT(--('2026'!$A$5:$A$500=$AG$1),--('2026'!$F$5:$F$500=$B10))+SUMPRODUCT(--('2026'!$A$5:$A$500=$AG$1),--('2026'!$D$5:$D$500=$B10))+SUMPRODUCT(--('2026'!$A$5:$A$500=$AG$1),--('2026'!$G$5:$G$500=$B10))</f>
        <v/>
      </c>
      <c r="AH10" s="50">
        <f>SUMPRODUCT(--('2026'!$A$5:$A$500=$AG$1),--('2026'!$I$5:$I$500=$B10))+SUMPRODUCT(--('2026'!$A$5:$A$500=$AG$1),--('2026'!$J$5:$J$500=$B10))</f>
        <v/>
      </c>
      <c r="AI10" s="50">
        <f>SUMPRODUCT(--('2026'!$A$5:$A$500=$AI$1),--('2026'!$C$5:$C$500=$B10))+SUMPRODUCT(--('2026'!$A$5:$A$500=$AI$1),--('2026'!$F$5:$F$500=$B10))+SUMPRODUCT(--('2026'!$A$5:$A$500=$AI$1),--('2026'!$D$5:$D$500=$B10))+SUMPRODUCT(--('2026'!$A$5:$A$500=$AI$1),--('2026'!$G$5:$G$500=$B10))</f>
        <v/>
      </c>
      <c r="AJ10" s="50">
        <f>SUMPRODUCT(--('2026'!$A$5:$A$500=$AI$1),--('2026'!$I$5:$I$500=$B10))+SUMPRODUCT(--('2026'!$A$5:$A$500=$AI$1),--('2026'!$J$5:$J$500=$B10))</f>
        <v/>
      </c>
      <c r="AK10" s="50">
        <f>SUMPRODUCT(--('2026'!$A$5:$A$500=$AK$1),--('2026'!$C$5:$C$500=$B10))+SUMPRODUCT(--('2026'!$A$5:$A$500=$AK$1),--('2026'!$F$5:$F$500=$B10))+SUMPRODUCT(--('2026'!$A$5:$A$500=$AK$1),--('2026'!$D$5:$D$500=$B10))+SUMPRODUCT(--('2026'!$A$5:$A$500=$AK$1),--('2026'!$G$5:$G$500=$B10))</f>
        <v/>
      </c>
      <c r="AL10" s="50">
        <f>SUMPRODUCT(--('2026'!$A$5:$A$500=$AK$1),--('2026'!$I$5:$I$500=$B10))+SUMPRODUCT(--('2026'!$A$5:$A$500=$AK$1),--('2026'!$J$5:$J$500=$B10))</f>
        <v/>
      </c>
      <c r="AM10" s="50">
        <f>SUMPRODUCT(--('2026'!$A$5:$A$500=$AM$1),--('2026'!$C$5:$C$500=$B10))+SUMPRODUCT(--('2026'!$A$5:$A$500=$AM$1),--('2026'!$F$5:$F$500=$B10))+SUMPRODUCT(--('2026'!$A$5:$A$500=$AM$1),--('2026'!$D$5:$D$500=$B10))+SUMPRODUCT(--('2026'!$A$5:$A$500=$AM$1),--('2026'!$G$5:$G$500=$B10))</f>
        <v/>
      </c>
      <c r="AN10" s="50">
        <f>SUMPRODUCT(--('2026'!$A$5:$A$500=$AM$1),--('2026'!$I$5:$I$500=$B10))+SUMPRODUCT(--('2026'!$A$5:$A$500=$AM$1),--('2026'!$J$5:$J$500=$B10))</f>
        <v/>
      </c>
      <c r="AO10" s="50">
        <f>SUMPRODUCT(--('2026'!$A$5:$A$500=$AO$1),--('2026'!$C$5:$C$500=$B10))+SUMPRODUCT(--('2026'!$A$5:$A$500=$AO$1),--('2026'!$F$5:$F$500=$B10))+SUMPRODUCT(--('2026'!$A$5:$A$500=$AO$1),--('2026'!$D$5:$D$500=$B10))+SUMPRODUCT(--('2026'!$A$5:$A$500=$AO$1),--('2026'!$G$5:$G$500=$B10))</f>
        <v/>
      </c>
      <c r="AP10" s="50">
        <f>SUMPRODUCT(--('2026'!$A$5:$A$500=$AO$1),--('2026'!$I$5:$I$500=$B10))+SUMPRODUCT(--('2026'!$A$5:$A$500=$AO$1),--('2026'!$J$5:$J$500=$B10))</f>
        <v/>
      </c>
      <c r="AQ10" s="50">
        <f>SUMPRODUCT(--('2026'!$A$5:$A$500=$AQ$1),--('2026'!$C$5:$C$500=$B10))+SUMPRODUCT(--('2026'!$A$5:$A$500=$AQ$1),--('2026'!$F$5:$F$500=$B10))+SUMPRODUCT(--('2026'!$A$5:$A$500=$AQ$1),--('2026'!$D$5:$D$500=$B10))+SUMPRODUCT(--('2026'!$A$5:$A$500=$AQ$1),--('2026'!$G$5:$G$500=$B10))</f>
        <v/>
      </c>
      <c r="AR10" s="50">
        <f>SUMPRODUCT(--('2026'!$A$5:$A$500=$AQ$1),--('2026'!$I$5:$I$500=$B10))+SUMPRODUCT(--('2026'!$A$5:$A$500=$AQ$1),--('2026'!$J$5:$J$500=$B10))</f>
        <v/>
      </c>
      <c r="AS10" s="50">
        <f>SUMPRODUCT(--('2026'!$A$5:$A$500=$AS$1),--('2026'!$C$5:$C$500=$B10))+SUMPRODUCT(--('2026'!$A$5:$A$500=$AS$1),--('2026'!$F$5:$F$500=$B10))+SUMPRODUCT(--('2026'!$A$5:$A$500=$AS$1),--('2026'!$D$5:$D$500=$B10))+SUMPRODUCT(--('2026'!$A$5:$A$500=$AS$1),--('2026'!$G$5:$G$500=$B10))</f>
        <v/>
      </c>
      <c r="AT10" s="50">
        <f>SUMPRODUCT(--('2026'!$A$5:$A$500=$AS$1),--('2026'!$I$5:$I$500=$B10))+SUMPRODUCT(--('2026'!$A$5:$A$500=$AS$1),--('2026'!$J$5:$J$500=$B10))</f>
        <v/>
      </c>
      <c r="AU10" s="50">
        <f>SUMPRODUCT(--('2026'!$A$5:$A$500=$AU$1),--('2026'!$C$5:$C$500=$B10))+SUMPRODUCT(--('2026'!$A$5:$A$500=$AU$1),--('2026'!$F$5:$F$500=$B10))+SUMPRODUCT(--('2026'!$A$5:$A$500=$AU$1),--('2026'!$D$5:$D$500=$B10))+SUMPRODUCT(--('2026'!$A$5:$A$500=$AU$1),--('2026'!$G$5:$G$500=$B10))</f>
        <v/>
      </c>
      <c r="AV10" s="50">
        <f>SUMPRODUCT(--('2026'!$A$5:$A$500=$AU$1),--('2026'!$I$5:$I$500=$B10))+SUMPRODUCT(--('2026'!$A$5:$A$500=$AU$1),--('2026'!$J$5:$J$500=$B10))</f>
        <v/>
      </c>
      <c r="AW10" s="50">
        <f>SUMPRODUCT(--('2026'!$A$5:$A$500=$AW$1),--('2026'!$C$5:$C$500=$B10))+SUMPRODUCT(--('2026'!$A$5:$A$500=$AW$1),--('2026'!$F$5:$F$500=$B10))+SUMPRODUCT(--('2026'!$A$5:$A$500=$AW$1),--('2026'!$D$5:$D$500=$B10))+SUMPRODUCT(--('2026'!$A$5:$A$500=$AW$1),--('2026'!$G$5:$G$500=$B10))</f>
        <v/>
      </c>
      <c r="AX10" s="50">
        <f>SUMPRODUCT(--('2026'!$A$5:$A$500=$AW$1),--('2026'!$I$5:$I$500=$B10))+SUMPRODUCT(--('2026'!$A$5:$A$500=$AW$1),--('2026'!$J$5:$J$500=$B10))</f>
        <v/>
      </c>
      <c r="BA10" s="54" t="inlineStr">
        <is>
          <t>Usman</t>
        </is>
      </c>
      <c r="BB10" s="47">
        <f>IF(ISODD(COUNTIF(C10:AX10,"&gt;0")),COUNTIF(C10:AX10,"&gt;0")+1,COUNTIF(C10:AX10,"&gt;0"))/2</f>
        <v/>
      </c>
      <c r="BC10" s="52">
        <f>BB10/15</f>
        <v/>
      </c>
    </row>
    <row r="11" ht="15" customHeight="1" s="106">
      <c r="A11" t="n">
        <v>9</v>
      </c>
      <c r="B11" s="54" t="inlineStr">
        <is>
          <t>Samir</t>
        </is>
      </c>
      <c r="C11" s="50">
        <f>SUMPRODUCT(--('2026'!$A$5:$A$500=$C$1),--('2026'!$C$5:$C$500=$B11))+SUMPRODUCT(--('2026'!$A$5:$A$500=$C$1),--('2026'!$F$5:$F$500=$B11))+SUMPRODUCT(--('2026'!$A$5:$A$500=$C$1),--('2026'!$D$5:$D$500=$B11))+SUMPRODUCT(--('2026'!$A$5:$A$500=$C$1),--('2026'!$G$5:$G$500=$B11))</f>
        <v/>
      </c>
      <c r="D11" s="50">
        <f>SUMPRODUCT(--('2026'!$A$5:$A$500=$C$1),--('2026'!$I$5:$I$500=$B11))+SUMPRODUCT(--('2026'!$A$5:$A$500=$C$1),--('2026'!$J$5:$J$500=$B11))</f>
        <v/>
      </c>
      <c r="E11" s="50">
        <f>SUMPRODUCT(--('2026'!$A$5:$A$500=$E$1),--('2026'!$C$5:$C$500=$B11))+SUMPRODUCT(--('2026'!$A$5:$A$500=$E$1),--('2026'!$F$5:$F$500=$B11))+SUMPRODUCT(--('2026'!$A$5:$A$500=$E$1),--('2026'!$D$5:$D$500=$B11))+SUMPRODUCT(--('2026'!$A$5:$A$500=$E$1),--('2026'!$G$5:$G$500=$B11))</f>
        <v/>
      </c>
      <c r="F11" s="50">
        <f>SUMPRODUCT(--('2026'!$A$5:$A$500=$E$1),--('2026'!$I$5:$I$500=$B11))+SUMPRODUCT(--('2026'!$A$5:$A$500=$E$1),--('2026'!$J$5:$J$500=$B11))</f>
        <v/>
      </c>
      <c r="G11" s="50">
        <f>SUMPRODUCT(--('2026'!$A$5:$A$500=$G$1),--('2026'!$C$5:$C$500=$B11))+SUMPRODUCT(--('2026'!$A$5:$A$500=$G$1),--('2026'!$F$5:$F$500=$B11))+SUMPRODUCT(--('2026'!$A$5:$A$500=$G$1),--('2026'!$D$5:$D$500=$B11))+SUMPRODUCT(--('2026'!$A$5:$A$500=$G$1),--('2026'!$G$5:$G$500=$B11))</f>
        <v/>
      </c>
      <c r="H11" s="50">
        <f>SUMPRODUCT(--('2026'!$A$5:$A$500=$G$1),--('2026'!$I$5:$I$500=$B11))+SUMPRODUCT(--('2026'!$A$5:$A$500=$G$1),--('2026'!$J$5:$J$500=$B11))</f>
        <v/>
      </c>
      <c r="I11" s="50">
        <f>SUMPRODUCT(--('2026'!$A$5:$A$500=$I$1),--('2026'!$C$5:$C$500=$B11))+SUMPRODUCT(--('2026'!$A$5:$A$500=$I$1),--('2026'!$F$5:$F$500=$B11))+SUMPRODUCT(--('2026'!$A$5:$A$500=$I$1),--('2026'!$D$5:$D$500=$B11))+SUMPRODUCT(--('2026'!$A$5:$A$500=$I$1),--('2026'!$G$5:$G$500=$B11))</f>
        <v/>
      </c>
      <c r="J11" s="50">
        <f>SUMPRODUCT(--('2026'!$A$5:$A$500=$I$1),--('2026'!$I$5:$I$500=$B11))+SUMPRODUCT(--('2026'!$A$5:$A$500=$I$1),--('2026'!$J$5:$J$500=$B11))</f>
        <v/>
      </c>
      <c r="K11" s="50">
        <f>SUMPRODUCT(--('2026'!$A$5:$A$500=$K$1),--('2026'!$C$5:$C$500=$B11))+SUMPRODUCT(--('2026'!$A$5:$A$500=$K$1),--('2026'!$F$5:$F$500=$B11))+SUMPRODUCT(--('2026'!$A$5:$A$500=$K$1),--('2026'!$D$5:$D$500=$B11))+SUMPRODUCT(--('2026'!$A$5:$A$500=$K$1),--('2026'!$G$5:$G$500=$B11))</f>
        <v/>
      </c>
      <c r="L11" s="50">
        <f>SUMPRODUCT(--('2026'!$A$5:$A$500=$K$1),--('2026'!$I$5:$I$500=$B11))+SUMPRODUCT(--('2026'!$A$5:$A$500=$K$1),--('2026'!$J$5:$J$500=$B11))</f>
        <v/>
      </c>
      <c r="M11" s="50">
        <f>SUMPRODUCT(--('2026'!$A$5:$A$500=$M$1),--('2026'!$C$5:$C$500=$B11))+SUMPRODUCT(--('2026'!$A$5:$A$500=$M$1),--('2026'!$F$5:$F$500=$B11))+SUMPRODUCT(--('2026'!$A$5:$A$500=$M$1),--('2026'!$D$5:$D$500=$B11))+SUMPRODUCT(--('2026'!$A$5:$A$500=$M$1),--('2026'!$G$5:$G$500=$B11))</f>
        <v/>
      </c>
      <c r="N11" s="50">
        <f>SUMPRODUCT(--('2026'!$A$5:$A$500=$M$1),--('2026'!$I$5:$I$500=$B11))+SUMPRODUCT(--('2026'!$A$5:$A$500=$M$1),--('2026'!$J$5:$J$500=$B11))</f>
        <v/>
      </c>
      <c r="O11" s="50">
        <f>SUMPRODUCT(--('2026'!$A$5:$A$500=$O$1),--('2026'!$C$5:$C$500=$B11))+SUMPRODUCT(--('2026'!$A$5:$A$500=$O$1),--('2026'!$F$5:$F$500=$B11))+SUMPRODUCT(--('2026'!$A$5:$A$500=$O$1),--('2026'!$D$5:$D$500=$B11))+SUMPRODUCT(--('2026'!$A$5:$A$500=$O$1),--('2026'!$G$5:$G$500=$B11))</f>
        <v/>
      </c>
      <c r="P11" s="50">
        <f>SUMPRODUCT(--('2026'!$A$5:$A$500=$O$1),--('2026'!$I$5:$I$500=$B11))+SUMPRODUCT(--('2026'!$A$5:$A$500=$O$1),--('2026'!$J$5:$J$500=$B11))</f>
        <v/>
      </c>
      <c r="Q11" s="50">
        <f>SUMPRODUCT(--('2026'!$A$5:$A$500=$Q$1),--('2026'!$C$5:$C$500=$B11))+SUMPRODUCT(--('2026'!$A$5:$A$500=$Q$1),--('2026'!$F$5:$F$500=$B11))+SUMPRODUCT(--('2026'!$A$5:$A$500=$Q$1),--('2026'!$D$5:$D$500=$B11))+SUMPRODUCT(--('2026'!$A$5:$A$500=$Q$1),--('2026'!$G$5:$G$500=$B11))</f>
        <v/>
      </c>
      <c r="R11" s="50">
        <f>SUMPRODUCT(--('2026'!$A$5:$A$500=$Q$1),--('2026'!$I$5:$I$500=$B11))+SUMPRODUCT(--('2026'!$A$5:$A$500=$Q$1),--('2026'!$J$5:$J$500=$B11))</f>
        <v/>
      </c>
      <c r="S11" s="50">
        <f>SUMPRODUCT(--('2026'!$A$5:$A$500=$S$1),--('2026'!$C$5:$C$500=$B11))+SUMPRODUCT(--('2026'!$A$5:$A$500=$S$1),--('2026'!$F$5:$F$500=$B11))+SUMPRODUCT(--('2026'!$A$5:$A$500=$S$1),--('2026'!$D$5:$D$500=$B11))+SUMPRODUCT(--('2026'!$A$5:$A$500=$S$1),--('2026'!$G$5:$G$500=$B11))</f>
        <v/>
      </c>
      <c r="T11" s="50">
        <f>SUMPRODUCT(--('2026'!$A$5:$A$500=$S$1),--('2026'!$I$5:$I$500=$B11))+SUMPRODUCT(--('2026'!$A$5:$A$500=$S$1),--('2026'!$J$5:$J$500=$B11))</f>
        <v/>
      </c>
      <c r="U11" s="50">
        <f>SUMPRODUCT(--('2026'!$A$5:$A$500=$U$1),--('2026'!$C$5:$C$500=$B11))+SUMPRODUCT(--('2026'!$A$5:$A$500=$U$1),--('2026'!$F$5:$F$500=$B11))+SUMPRODUCT(--('2026'!$A$5:$A$500=$U$1),--('2026'!$D$5:$D$500=$B11))+SUMPRODUCT(--('2026'!$A$5:$A$500=$U$1),--('2026'!$G$5:$G$500=$B11))</f>
        <v/>
      </c>
      <c r="V11" s="50">
        <f>SUMPRODUCT(--('2026'!$A$5:$A$500=$U$1),--('2026'!$I$5:$I$500=$B11))+SUMPRODUCT(--('2026'!$A$5:$A$500=$U$1),--('2026'!$J$5:$J$500=$B11))</f>
        <v/>
      </c>
      <c r="W11" s="60">
        <f>SUMPRODUCT(--('2026'!$A$5:$A$500=$W$1),--('2026'!$C$5:$C$500=$B11))+SUMPRODUCT(--('2026'!$A$5:$A$500=$W$1),--('2026'!$F$5:$F$500=$B11))+SUMPRODUCT(--('2026'!$A$5:$A$500=$W$1),--('2026'!$D$5:$D$500=$B11))+SUMPRODUCT(--('2026'!$A$5:$A$500=$W$1),--('2026'!$G$5:$G$500=$B11))</f>
        <v/>
      </c>
      <c r="X11" s="60">
        <f>SUMPRODUCT(--('2026'!$A$5:$A$500=$W$1),--('2026'!$I$5:$I$500=$B11))+SUMPRODUCT(--('2026'!$A$5:$A$500=$W$1),--('2026'!$J$5:$J$500=$B11))</f>
        <v/>
      </c>
      <c r="Y11" s="51">
        <f>SUMPRODUCT(--('2026'!$A$5:$A$500=$Y$1),--('2026'!$C$5:$C$500=$B11))+SUMPRODUCT(--('2026'!$A$5:$A$500=$Y$1),--('2026'!$F$5:$F$500=$B11))+SUMPRODUCT(--('2026'!$A$5:$A$500=$Y$1),--('2026'!$D$5:$D$500=$B11))+SUMPRODUCT(--('2026'!$A$5:$A$500=$Y$1),--('2026'!$G$5:$G$500=$B11))</f>
        <v/>
      </c>
      <c r="Z11" s="51">
        <f>SUMPRODUCT(--('2026'!$A$5:$A$500=$Y$1),--('2026'!$I$5:$I$500=$B11))+SUMPRODUCT(--('2026'!$A$5:$A$500=$Y$1),--('2026'!$J$5:$J$500=$B11))</f>
        <v/>
      </c>
      <c r="AA11" s="51">
        <f>SUMPRODUCT(--('2026'!$A$5:$A$500=$AA$1),--('2026'!$C$5:$C$500=$B11))+SUMPRODUCT(--('2026'!$A$5:$A$500=$AA$1),--('2026'!$F$5:$F$500=$B11))+SUMPRODUCT(--('2026'!$A$5:$A$500=$AA$1),--('2026'!$D$5:$D$500=$B11))+SUMPRODUCT(--('2026'!$A$5:$A$500=$AA$1),--('2026'!$G$5:$G$500=$B11))</f>
        <v/>
      </c>
      <c r="AB11" s="51">
        <f>SUMPRODUCT(--('2026'!$A$5:$A$500=$AA$1),--('2026'!$I$5:$I$500=$B11))+SUMPRODUCT(--('2026'!$A$5:$A$500=$AA$1),--('2026'!$J$5:$J$500=$B11))</f>
        <v/>
      </c>
      <c r="AC11" s="51">
        <f>SUMPRODUCT(--('2026'!$A$5:$A$500=$AC$1),--('2026'!$C$5:$C$500=$B11))+SUMPRODUCT(--('2026'!$A$5:$A$500=$AC$1),--('2026'!$F$5:$F$500=$B11))+SUMPRODUCT(--('2026'!$A$5:$A$500=$AC$1),--('2026'!$D$5:$D$500=$B11))+SUMPRODUCT(--('2026'!$A$5:$A$500=$AC$1),--('2026'!$G$5:$G$500=$B11))</f>
        <v/>
      </c>
      <c r="AD11" s="51">
        <f>SUMPRODUCT(--('2026'!$A$5:$A$500=$AC$1),--('2026'!$I$5:$I$500=$B11))+SUMPRODUCT(--('2026'!$A$5:$A$500=$AC$1),--('2026'!$J$5:$J$500=$B11))</f>
        <v/>
      </c>
      <c r="AE11" s="61">
        <f>SUMPRODUCT(--('2026'!$A$5:$A$500=$AE$1),--('2026'!$C$5:$C$500=$B11))+SUMPRODUCT(--('2026'!$A$5:$A$500=$AE$1),--('2026'!$F$5:$F$500=$B11))+SUMPRODUCT(--('2026'!$A$5:$A$500=$AE$1),--('2026'!$D$5:$D$500=$B11))+SUMPRODUCT(--('2026'!$A$5:$A$500=$AE$1),--('2026'!$G$5:$G$500=$B11))</f>
        <v/>
      </c>
      <c r="AF11" s="61">
        <f>SUMPRODUCT(--('2026'!$A$5:$A$500=$AE$1),--('2026'!$I$5:$I$500=$B11))+SUMPRODUCT(--('2026'!$A$5:$A$500=$AE$1),--('2026'!$J$5:$J$500=$B11))</f>
        <v/>
      </c>
      <c r="AG11" s="51">
        <f>SUMPRODUCT(--('2026'!$A$5:$A$500=$AG$1),--('2026'!$C$5:$C$500=$B11))+SUMPRODUCT(--('2026'!$A$5:$A$500=$AG$1),--('2026'!$F$5:$F$500=$B11))+SUMPRODUCT(--('2026'!$A$5:$A$500=$AG$1),--('2026'!$D$5:$D$500=$B11))+SUMPRODUCT(--('2026'!$A$5:$A$500=$AG$1),--('2026'!$G$5:$G$500=$B11))</f>
        <v/>
      </c>
      <c r="AH11" s="51">
        <f>SUMPRODUCT(--('2026'!$A$5:$A$500=$AG$1),--('2026'!$I$5:$I$500=$B11))+SUMPRODUCT(--('2026'!$A$5:$A$500=$AG$1),--('2026'!$J$5:$J$500=$B11))</f>
        <v/>
      </c>
      <c r="AI11" s="51">
        <f>SUMPRODUCT(--('2026'!$A$5:$A$500=$AI$1),--('2026'!$C$5:$C$500=$B11))+SUMPRODUCT(--('2026'!$A$5:$A$500=$AI$1),--('2026'!$F$5:$F$500=$B11))+SUMPRODUCT(--('2026'!$A$5:$A$500=$AI$1),--('2026'!$D$5:$D$500=$B11))+SUMPRODUCT(--('2026'!$A$5:$A$500=$AI$1),--('2026'!$G$5:$G$500=$B11))</f>
        <v/>
      </c>
      <c r="AJ11" s="51">
        <f>SUMPRODUCT(--('2026'!$A$5:$A$500=$AI$1),--('2026'!$I$5:$I$500=$B11))+SUMPRODUCT(--('2026'!$A$5:$A$500=$AI$1),--('2026'!$J$5:$J$500=$B11))</f>
        <v/>
      </c>
      <c r="AK11" s="51">
        <f>SUMPRODUCT(--('2026'!$A$5:$A$500=$AK$1),--('2026'!$C$5:$C$500=$B11))+SUMPRODUCT(--('2026'!$A$5:$A$500=$AK$1),--('2026'!$F$5:$F$500=$B11))+SUMPRODUCT(--('2026'!$A$5:$A$500=$AK$1),--('2026'!$D$5:$D$500=$B11))+SUMPRODUCT(--('2026'!$A$5:$A$500=$AK$1),--('2026'!$G$5:$G$500=$B11))</f>
        <v/>
      </c>
      <c r="AL11" s="51">
        <f>SUMPRODUCT(--('2026'!$A$5:$A$500=$AK$1),--('2026'!$I$5:$I$500=$B11))+SUMPRODUCT(--('2026'!$A$5:$A$500=$AK$1),--('2026'!$J$5:$J$500=$B11))</f>
        <v/>
      </c>
      <c r="AM11" s="51">
        <f>SUMPRODUCT(--('2026'!$A$5:$A$500=$AM$1),--('2026'!$C$5:$C$500=$B11))+SUMPRODUCT(--('2026'!$A$5:$A$500=$AM$1),--('2026'!$F$5:$F$500=$B11))+SUMPRODUCT(--('2026'!$A$5:$A$500=$AM$1),--('2026'!$D$5:$D$500=$B11))+SUMPRODUCT(--('2026'!$A$5:$A$500=$AM$1),--('2026'!$G$5:$G$500=$B11))</f>
        <v/>
      </c>
      <c r="AN11" s="51">
        <f>SUMPRODUCT(--('2026'!$A$5:$A$500=$AM$1),--('2026'!$I$5:$I$500=$B11))+SUMPRODUCT(--('2026'!$A$5:$A$500=$AM$1),--('2026'!$J$5:$J$500=$B11))</f>
        <v/>
      </c>
      <c r="AO11" s="51">
        <f>SUMPRODUCT(--('2026'!$A$5:$A$500=$AO$1),--('2026'!$C$5:$C$500=$B11))+SUMPRODUCT(--('2026'!$A$5:$A$500=$AO$1),--('2026'!$F$5:$F$500=$B11))+SUMPRODUCT(--('2026'!$A$5:$A$500=$AO$1),--('2026'!$D$5:$D$500=$B11))+SUMPRODUCT(--('2026'!$A$5:$A$500=$AO$1),--('2026'!$G$5:$G$500=$B11))</f>
        <v/>
      </c>
      <c r="AP11" s="51">
        <f>SUMPRODUCT(--('2026'!$A$5:$A$500=$AO$1),--('2026'!$I$5:$I$500=$B11))+SUMPRODUCT(--('2026'!$A$5:$A$500=$AO$1),--('2026'!$J$5:$J$500=$B11))</f>
        <v/>
      </c>
      <c r="AQ11" s="51">
        <f>SUMPRODUCT(--('2026'!$A$5:$A$500=$AQ$1),--('2026'!$C$5:$C$500=$B11))+SUMPRODUCT(--('2026'!$A$5:$A$500=$AQ$1),--('2026'!$F$5:$F$500=$B11))+SUMPRODUCT(--('2026'!$A$5:$A$500=$AQ$1),--('2026'!$D$5:$D$500=$B11))+SUMPRODUCT(--('2026'!$A$5:$A$500=$AQ$1),--('2026'!$G$5:$G$500=$B11))</f>
        <v/>
      </c>
      <c r="AR11" s="51">
        <f>SUMPRODUCT(--('2026'!$A$5:$A$500=$AQ$1),--('2026'!$I$5:$I$500=$B11))+SUMPRODUCT(--('2026'!$A$5:$A$500=$AQ$1),--('2026'!$J$5:$J$500=$B11))</f>
        <v/>
      </c>
      <c r="AS11" s="51">
        <f>SUMPRODUCT(--('2026'!$A$5:$A$500=$AS$1),--('2026'!$C$5:$C$500=$B11))+SUMPRODUCT(--('2026'!$A$5:$A$500=$AS$1),--('2026'!$F$5:$F$500=$B11))+SUMPRODUCT(--('2026'!$A$5:$A$500=$AS$1),--('2026'!$D$5:$D$500=$B11))+SUMPRODUCT(--('2026'!$A$5:$A$500=$AS$1),--('2026'!$G$5:$G$500=$B11))</f>
        <v/>
      </c>
      <c r="AT11" s="51">
        <f>SUMPRODUCT(--('2026'!$A$5:$A$500=$AS$1),--('2026'!$I$5:$I$500=$B11))+SUMPRODUCT(--('2026'!$A$5:$A$500=$AS$1),--('2026'!$J$5:$J$500=$B11))</f>
        <v/>
      </c>
      <c r="AU11" s="51">
        <f>SUMPRODUCT(--('2026'!$A$5:$A$500=$AU$1),--('2026'!$C$5:$C$500=$B11))+SUMPRODUCT(--('2026'!$A$5:$A$500=$AU$1),--('2026'!$F$5:$F$500=$B11))+SUMPRODUCT(--('2026'!$A$5:$A$500=$AU$1),--('2026'!$D$5:$D$500=$B11))+SUMPRODUCT(--('2026'!$A$5:$A$500=$AU$1),--('2026'!$G$5:$G$500=$B11))</f>
        <v/>
      </c>
      <c r="AV11" s="51">
        <f>SUMPRODUCT(--('2026'!$A$5:$A$500=$AU$1),--('2026'!$I$5:$I$500=$B11))+SUMPRODUCT(--('2026'!$A$5:$A$500=$AU$1),--('2026'!$J$5:$J$500=$B11))</f>
        <v/>
      </c>
      <c r="AW11" s="51">
        <f>SUMPRODUCT(--('2026'!$A$5:$A$500=$AW$1),--('2026'!$C$5:$C$500=$B11))+SUMPRODUCT(--('2026'!$A$5:$A$500=$AW$1),--('2026'!$F$5:$F$500=$B11))+SUMPRODUCT(--('2026'!$A$5:$A$500=$AW$1),--('2026'!$D$5:$D$500=$B11))+SUMPRODUCT(--('2026'!$A$5:$A$500=$AW$1),--('2026'!$G$5:$G$500=$B11))</f>
        <v/>
      </c>
      <c r="AX11" s="51">
        <f>SUMPRODUCT(--('2026'!$A$5:$A$500=$AW$1),--('2026'!$I$5:$I$500=$B11))+SUMPRODUCT(--('2026'!$A$5:$A$500=$AW$1),--('2026'!$J$5:$J$500=$B11))</f>
        <v/>
      </c>
      <c r="BA11" s="54" t="inlineStr">
        <is>
          <t>Samir</t>
        </is>
      </c>
      <c r="BB11" s="47">
        <f>IF(ISODD(COUNTIF(C11:AX11,"&gt;0")),COUNTIF(C11:AX11,"&gt;0")+1,COUNTIF(C11:AX11,"&gt;0"))/2</f>
        <v/>
      </c>
      <c r="BC11" s="52">
        <f>BB11/15</f>
        <v/>
      </c>
    </row>
    <row r="12" ht="15" customHeight="1" s="106">
      <c r="A12" t="n">
        <v>10</v>
      </c>
      <c r="B12" s="54" t="inlineStr">
        <is>
          <t>Tousif</t>
        </is>
      </c>
      <c r="C12" s="50">
        <f>SUMPRODUCT(--('2026'!$A$5:$A$500=$C$1),--('2026'!$C$5:$C$500=$B12))+SUMPRODUCT(--('2026'!$A$5:$A$500=$C$1),--('2026'!$F$5:$F$500=$B12))+SUMPRODUCT(--('2026'!$A$5:$A$500=$C$1),--('2026'!$D$5:$D$500=$B12))+SUMPRODUCT(--('2026'!$A$5:$A$500=$C$1),--('2026'!$G$5:$G$500=$B12))</f>
        <v/>
      </c>
      <c r="D12" s="50">
        <f>SUMPRODUCT(--('2026'!$A$5:$A$500=$C$1),--('2026'!$I$5:$I$500=$B12))+SUMPRODUCT(--('2026'!$A$5:$A$500=$C$1),--('2026'!$J$5:$J$500=$B12))</f>
        <v/>
      </c>
      <c r="E12" s="50">
        <f>SUMPRODUCT(--('2026'!$A$5:$A$500=$E$1),--('2026'!$C$5:$C$500=$B12))+SUMPRODUCT(--('2026'!$A$5:$A$500=$E$1),--('2026'!$F$5:$F$500=$B12))+SUMPRODUCT(--('2026'!$A$5:$A$500=$E$1),--('2026'!$D$5:$D$500=$B12))+SUMPRODUCT(--('2026'!$A$5:$A$500=$E$1),--('2026'!$G$5:$G$500=$B12))</f>
        <v/>
      </c>
      <c r="F12" s="50">
        <f>SUMPRODUCT(--('2026'!$A$5:$A$500=$E$1),--('2026'!$I$5:$I$500=$B12))+SUMPRODUCT(--('2026'!$A$5:$A$500=$E$1),--('2026'!$J$5:$J$500=$B12))</f>
        <v/>
      </c>
      <c r="G12" s="50">
        <f>SUMPRODUCT(--('2026'!$A$5:$A$500=$G$1),--('2026'!$C$5:$C$500=$B12))+SUMPRODUCT(--('2026'!$A$5:$A$500=$G$1),--('2026'!$F$5:$F$500=$B12))+SUMPRODUCT(--('2026'!$A$5:$A$500=$G$1),--('2026'!$D$5:$D$500=$B12))+SUMPRODUCT(--('2026'!$A$5:$A$500=$G$1),--('2026'!$G$5:$G$500=$B12))</f>
        <v/>
      </c>
      <c r="H12" s="50">
        <f>SUMPRODUCT(--('2026'!$A$5:$A$500=$G$1),--('2026'!$I$5:$I$500=$B12))+SUMPRODUCT(--('2026'!$A$5:$A$500=$G$1),--('2026'!$J$5:$J$500=$B12))</f>
        <v/>
      </c>
      <c r="I12" s="50">
        <f>SUMPRODUCT(--('2026'!$A$5:$A$500=$I$1),--('2026'!$C$5:$C$500=$B12))+SUMPRODUCT(--('2026'!$A$5:$A$500=$I$1),--('2026'!$F$5:$F$500=$B12))+SUMPRODUCT(--('2026'!$A$5:$A$500=$I$1),--('2026'!$D$5:$D$500=$B12))+SUMPRODUCT(--('2026'!$A$5:$A$500=$I$1),--('2026'!$G$5:$G$500=$B12))</f>
        <v/>
      </c>
      <c r="J12" s="50">
        <f>SUMPRODUCT(--('2026'!$A$5:$A$500=$I$1),--('2026'!$I$5:$I$500=$B12))+SUMPRODUCT(--('2026'!$A$5:$A$500=$I$1),--('2026'!$J$5:$J$500=$B12))</f>
        <v/>
      </c>
      <c r="K12" s="50">
        <f>SUMPRODUCT(--('2026'!$A$5:$A$500=$K$1),--('2026'!$C$5:$C$500=$B12))+SUMPRODUCT(--('2026'!$A$5:$A$500=$K$1),--('2026'!$F$5:$F$500=$B12))+SUMPRODUCT(--('2026'!$A$5:$A$500=$K$1),--('2026'!$D$5:$D$500=$B12))+SUMPRODUCT(--('2026'!$A$5:$A$500=$K$1),--('2026'!$G$5:$G$500=$B12))</f>
        <v/>
      </c>
      <c r="L12" s="50">
        <f>SUMPRODUCT(--('2026'!$A$5:$A$500=$K$1),--('2026'!$I$5:$I$500=$B12))+SUMPRODUCT(--('2026'!$A$5:$A$500=$K$1),--('2026'!$J$5:$J$500=$B12))</f>
        <v/>
      </c>
      <c r="M12" s="50">
        <f>SUMPRODUCT(--('2026'!$A$5:$A$500=$M$1),--('2026'!$C$5:$C$500=$B12))+SUMPRODUCT(--('2026'!$A$5:$A$500=$M$1),--('2026'!$F$5:$F$500=$B12))+SUMPRODUCT(--('2026'!$A$5:$A$500=$M$1),--('2026'!$D$5:$D$500=$B12))+SUMPRODUCT(--('2026'!$A$5:$A$500=$M$1),--('2026'!$G$5:$G$500=$B12))</f>
        <v/>
      </c>
      <c r="N12" s="50">
        <f>SUMPRODUCT(--('2026'!$A$5:$A$500=$M$1),--('2026'!$I$5:$I$500=$B12))+SUMPRODUCT(--('2026'!$A$5:$A$500=$M$1),--('2026'!$J$5:$J$500=$B12))</f>
        <v/>
      </c>
      <c r="O12" s="50">
        <f>SUMPRODUCT(--('2026'!$A$5:$A$500=$O$1),--('2026'!$C$5:$C$500=$B12))+SUMPRODUCT(--('2026'!$A$5:$A$500=$O$1),--('2026'!$F$5:$F$500=$B12))+SUMPRODUCT(--('2026'!$A$5:$A$500=$O$1),--('2026'!$D$5:$D$500=$B12))+SUMPRODUCT(--('2026'!$A$5:$A$500=$O$1),--('2026'!$G$5:$G$500=$B12))</f>
        <v/>
      </c>
      <c r="P12" s="50">
        <f>SUMPRODUCT(--('2026'!$A$5:$A$500=$O$1),--('2026'!$I$5:$I$500=$B12))+SUMPRODUCT(--('2026'!$A$5:$A$500=$O$1),--('2026'!$J$5:$J$500=$B12))</f>
        <v/>
      </c>
      <c r="Q12" s="50">
        <f>SUMPRODUCT(--('2026'!$A$5:$A$500=$Q$1),--('2026'!$C$5:$C$500=$B12))+SUMPRODUCT(--('2026'!$A$5:$A$500=$Q$1),--('2026'!$F$5:$F$500=$B12))+SUMPRODUCT(--('2026'!$A$5:$A$500=$Q$1),--('2026'!$D$5:$D$500=$B12))+SUMPRODUCT(--('2026'!$A$5:$A$500=$Q$1),--('2026'!$G$5:$G$500=$B12))</f>
        <v/>
      </c>
      <c r="R12" s="50">
        <f>SUMPRODUCT(--('2026'!$A$5:$A$500=$Q$1),--('2026'!$I$5:$I$500=$B12))+SUMPRODUCT(--('2026'!$A$5:$A$500=$Q$1),--('2026'!$J$5:$J$500=$B12))</f>
        <v/>
      </c>
      <c r="S12" s="50">
        <f>SUMPRODUCT(--('2026'!$A$5:$A$500=$S$1),--('2026'!$C$5:$C$500=$B12))+SUMPRODUCT(--('2026'!$A$5:$A$500=$S$1),--('2026'!$F$5:$F$500=$B12))+SUMPRODUCT(--('2026'!$A$5:$A$500=$S$1),--('2026'!$D$5:$D$500=$B12))+SUMPRODUCT(--('2026'!$A$5:$A$500=$S$1),--('2026'!$G$5:$G$500=$B12))</f>
        <v/>
      </c>
      <c r="T12" s="50">
        <f>SUMPRODUCT(--('2026'!$A$5:$A$500=$S$1),--('2026'!$I$5:$I$500=$B12))+SUMPRODUCT(--('2026'!$A$5:$A$500=$S$1),--('2026'!$J$5:$J$500=$B12))</f>
        <v/>
      </c>
      <c r="U12" s="50">
        <f>SUMPRODUCT(--('2026'!$A$5:$A$500=$U$1),--('2026'!$C$5:$C$500=$B12))+SUMPRODUCT(--('2026'!$A$5:$A$500=$U$1),--('2026'!$F$5:$F$500=$B12))+SUMPRODUCT(--('2026'!$A$5:$A$500=$U$1),--('2026'!$D$5:$D$500=$B12))+SUMPRODUCT(--('2026'!$A$5:$A$500=$U$1),--('2026'!$G$5:$G$500=$B12))</f>
        <v/>
      </c>
      <c r="V12" s="50">
        <f>SUMPRODUCT(--('2026'!$A$5:$A$500=$U$1),--('2026'!$I$5:$I$500=$B12))+SUMPRODUCT(--('2026'!$A$5:$A$500=$U$1),--('2026'!$J$5:$J$500=$B12))</f>
        <v/>
      </c>
      <c r="W12" s="60">
        <f>SUMPRODUCT(--('2026'!$A$5:$A$500=$W$1),--('2026'!$C$5:$C$500=$B12))+SUMPRODUCT(--('2026'!$A$5:$A$500=$W$1),--('2026'!$F$5:$F$500=$B12))+SUMPRODUCT(--('2026'!$A$5:$A$500=$W$1),--('2026'!$D$5:$D$500=$B12))+SUMPRODUCT(--('2026'!$A$5:$A$500=$W$1),--('2026'!$G$5:$G$500=$B12))</f>
        <v/>
      </c>
      <c r="X12" s="60">
        <f>SUMPRODUCT(--('2026'!$A$5:$A$500=$W$1),--('2026'!$I$5:$I$500=$B12))+SUMPRODUCT(--('2026'!$A$5:$A$500=$W$1),--('2026'!$J$5:$J$500=$B12))</f>
        <v/>
      </c>
      <c r="Y12" s="50">
        <f>SUMPRODUCT(--('2026'!$A$5:$A$500=$Y$1),--('2026'!$C$5:$C$500=$B12))+SUMPRODUCT(--('2026'!$A$5:$A$500=$Y$1),--('2026'!$F$5:$F$500=$B12))+SUMPRODUCT(--('2026'!$A$5:$A$500=$Y$1),--('2026'!$D$5:$D$500=$B12))+SUMPRODUCT(--('2026'!$A$5:$A$500=$Y$1),--('2026'!$G$5:$G$500=$B12))</f>
        <v/>
      </c>
      <c r="Z12" s="50">
        <f>SUMPRODUCT(--('2026'!$A$5:$A$500=$Y$1),--('2026'!$I$5:$I$500=$B12))+SUMPRODUCT(--('2026'!$A$5:$A$500=$Y$1),--('2026'!$J$5:$J$500=$B12))</f>
        <v/>
      </c>
      <c r="AA12" s="50">
        <f>SUMPRODUCT(--('2026'!$A$5:$A$500=$AA$1),--('2026'!$C$5:$C$500=$B12))+SUMPRODUCT(--('2026'!$A$5:$A$500=$AA$1),--('2026'!$F$5:$F$500=$B12))+SUMPRODUCT(--('2026'!$A$5:$A$500=$AA$1),--('2026'!$D$5:$D$500=$B12))+SUMPRODUCT(--('2026'!$A$5:$A$500=$AA$1),--('2026'!$G$5:$G$500=$B12))</f>
        <v/>
      </c>
      <c r="AB12" s="50">
        <f>SUMPRODUCT(--('2026'!$A$5:$A$500=$AA$1),--('2026'!$I$5:$I$500=$B12))+SUMPRODUCT(--('2026'!$A$5:$A$500=$AA$1),--('2026'!$J$5:$J$500=$B12))</f>
        <v/>
      </c>
      <c r="AC12" s="50">
        <f>SUMPRODUCT(--('2026'!$A$5:$A$500=$AC$1),--('2026'!$C$5:$C$500=$B12))+SUMPRODUCT(--('2026'!$A$5:$A$500=$AC$1),--('2026'!$F$5:$F$500=$B12))+SUMPRODUCT(--('2026'!$A$5:$A$500=$AC$1),--('2026'!$D$5:$D$500=$B12))+SUMPRODUCT(--('2026'!$A$5:$A$500=$AC$1),--('2026'!$G$5:$G$500=$B12))</f>
        <v/>
      </c>
      <c r="AD12" s="50">
        <f>SUMPRODUCT(--('2026'!$A$5:$A$500=$AC$1),--('2026'!$I$5:$I$500=$B12))+SUMPRODUCT(--('2026'!$A$5:$A$500=$AC$1),--('2026'!$J$5:$J$500=$B12))</f>
        <v/>
      </c>
      <c r="AE12" s="60">
        <f>SUMPRODUCT(--('2026'!$A$5:$A$500=$AE$1),--('2026'!$C$5:$C$500=$B12))+SUMPRODUCT(--('2026'!$A$5:$A$500=$AE$1),--('2026'!$F$5:$F$500=$B12))+SUMPRODUCT(--('2026'!$A$5:$A$500=$AE$1),--('2026'!$D$5:$D$500=$B12))+SUMPRODUCT(--('2026'!$A$5:$A$500=$AE$1),--('2026'!$G$5:$G$500=$B12))</f>
        <v/>
      </c>
      <c r="AF12" s="60">
        <f>SUMPRODUCT(--('2026'!$A$5:$A$500=$AE$1),--('2026'!$I$5:$I$500=$B12))+SUMPRODUCT(--('2026'!$A$5:$A$500=$AE$1),--('2026'!$J$5:$J$500=$B12))</f>
        <v/>
      </c>
      <c r="AG12" s="50">
        <f>SUMPRODUCT(--('2026'!$A$5:$A$500=$AG$1),--('2026'!$C$5:$C$500=$B12))+SUMPRODUCT(--('2026'!$A$5:$A$500=$AG$1),--('2026'!$F$5:$F$500=$B12))+SUMPRODUCT(--('2026'!$A$5:$A$500=$AG$1),--('2026'!$D$5:$D$500=$B12))+SUMPRODUCT(--('2026'!$A$5:$A$500=$AG$1),--('2026'!$G$5:$G$500=$B12))</f>
        <v/>
      </c>
      <c r="AH12" s="50">
        <f>SUMPRODUCT(--('2026'!$A$5:$A$500=$AG$1),--('2026'!$I$5:$I$500=$B12))+SUMPRODUCT(--('2026'!$A$5:$A$500=$AG$1),--('2026'!$J$5:$J$500=$B12))</f>
        <v/>
      </c>
      <c r="AI12" s="50">
        <f>SUMPRODUCT(--('2026'!$A$5:$A$500=$AI$1),--('2026'!$C$5:$C$500=$B12))+SUMPRODUCT(--('2026'!$A$5:$A$500=$AI$1),--('2026'!$F$5:$F$500=$B12))+SUMPRODUCT(--('2026'!$A$5:$A$500=$AI$1),--('2026'!$D$5:$D$500=$B12))+SUMPRODUCT(--('2026'!$A$5:$A$500=$AI$1),--('2026'!$G$5:$G$500=$B12))</f>
        <v/>
      </c>
      <c r="AJ12" s="50">
        <f>SUMPRODUCT(--('2026'!$A$5:$A$500=$AI$1),--('2026'!$I$5:$I$500=$B12))+SUMPRODUCT(--('2026'!$A$5:$A$500=$AI$1),--('2026'!$J$5:$J$500=$B12))</f>
        <v/>
      </c>
      <c r="AK12" s="50">
        <f>SUMPRODUCT(--('2026'!$A$5:$A$500=$AK$1),--('2026'!$C$5:$C$500=$B12))+SUMPRODUCT(--('2026'!$A$5:$A$500=$AK$1),--('2026'!$F$5:$F$500=$B12))+SUMPRODUCT(--('2026'!$A$5:$A$500=$AK$1),--('2026'!$D$5:$D$500=$B12))+SUMPRODUCT(--('2026'!$A$5:$A$500=$AK$1),--('2026'!$G$5:$G$500=$B12))</f>
        <v/>
      </c>
      <c r="AL12" s="50">
        <f>SUMPRODUCT(--('2026'!$A$5:$A$500=$AK$1),--('2026'!$I$5:$I$500=$B12))+SUMPRODUCT(--('2026'!$A$5:$A$500=$AK$1),--('2026'!$J$5:$J$500=$B12))</f>
        <v/>
      </c>
      <c r="AM12" s="50">
        <f>SUMPRODUCT(--('2026'!$A$5:$A$500=$AM$1),--('2026'!$C$5:$C$500=$B12))+SUMPRODUCT(--('2026'!$A$5:$A$500=$AM$1),--('2026'!$F$5:$F$500=$B12))+SUMPRODUCT(--('2026'!$A$5:$A$500=$AM$1),--('2026'!$D$5:$D$500=$B12))+SUMPRODUCT(--('2026'!$A$5:$A$500=$AM$1),--('2026'!$G$5:$G$500=$B12))</f>
        <v/>
      </c>
      <c r="AN12" s="50">
        <f>SUMPRODUCT(--('2026'!$A$5:$A$500=$AM$1),--('2026'!$I$5:$I$500=$B12))+SUMPRODUCT(--('2026'!$A$5:$A$500=$AM$1),--('2026'!$J$5:$J$500=$B12))</f>
        <v/>
      </c>
      <c r="AO12" s="50">
        <f>SUMPRODUCT(--('2026'!$A$5:$A$500=$AO$1),--('2026'!$C$5:$C$500=$B12))+SUMPRODUCT(--('2026'!$A$5:$A$500=$AO$1),--('2026'!$F$5:$F$500=$B12))+SUMPRODUCT(--('2026'!$A$5:$A$500=$AO$1),--('2026'!$D$5:$D$500=$B12))+SUMPRODUCT(--('2026'!$A$5:$A$500=$AO$1),--('2026'!$G$5:$G$500=$B12))</f>
        <v/>
      </c>
      <c r="AP12" s="50">
        <f>SUMPRODUCT(--('2026'!$A$5:$A$500=$AO$1),--('2026'!$I$5:$I$500=$B12))+SUMPRODUCT(--('2026'!$A$5:$A$500=$AO$1),--('2026'!$J$5:$J$500=$B12))</f>
        <v/>
      </c>
      <c r="AQ12" s="50">
        <f>SUMPRODUCT(--('2026'!$A$5:$A$500=$AQ$1),--('2026'!$C$5:$C$500=$B12))+SUMPRODUCT(--('2026'!$A$5:$A$500=$AQ$1),--('2026'!$F$5:$F$500=$B12))+SUMPRODUCT(--('2026'!$A$5:$A$500=$AQ$1),--('2026'!$D$5:$D$500=$B12))+SUMPRODUCT(--('2026'!$A$5:$A$500=$AQ$1),--('2026'!$G$5:$G$500=$B12))</f>
        <v/>
      </c>
      <c r="AR12" s="50">
        <f>SUMPRODUCT(--('2026'!$A$5:$A$500=$AQ$1),--('2026'!$I$5:$I$500=$B12))+SUMPRODUCT(--('2026'!$A$5:$A$500=$AQ$1),--('2026'!$J$5:$J$500=$B12))</f>
        <v/>
      </c>
      <c r="AS12" s="50">
        <f>SUMPRODUCT(--('2026'!$A$5:$A$500=$AS$1),--('2026'!$C$5:$C$500=$B12))+SUMPRODUCT(--('2026'!$A$5:$A$500=$AS$1),--('2026'!$F$5:$F$500=$B12))+SUMPRODUCT(--('2026'!$A$5:$A$500=$AS$1),--('2026'!$D$5:$D$500=$B12))+SUMPRODUCT(--('2026'!$A$5:$A$500=$AS$1),--('2026'!$G$5:$G$500=$B12))</f>
        <v/>
      </c>
      <c r="AT12" s="50">
        <f>SUMPRODUCT(--('2026'!$A$5:$A$500=$AS$1),--('2026'!$I$5:$I$500=$B12))+SUMPRODUCT(--('2026'!$A$5:$A$500=$AS$1),--('2026'!$J$5:$J$500=$B12))</f>
        <v/>
      </c>
      <c r="AU12" s="50">
        <f>SUMPRODUCT(--('2026'!$A$5:$A$500=$AU$1),--('2026'!$C$5:$C$500=$B12))+SUMPRODUCT(--('2026'!$A$5:$A$500=$AU$1),--('2026'!$F$5:$F$500=$B12))+SUMPRODUCT(--('2026'!$A$5:$A$500=$AU$1),--('2026'!$D$5:$D$500=$B12))+SUMPRODUCT(--('2026'!$A$5:$A$500=$AU$1),--('2026'!$G$5:$G$500=$B12))</f>
        <v/>
      </c>
      <c r="AV12" s="50">
        <f>SUMPRODUCT(--('2026'!$A$5:$A$500=$AU$1),--('2026'!$I$5:$I$500=$B12))+SUMPRODUCT(--('2026'!$A$5:$A$500=$AU$1),--('2026'!$J$5:$J$500=$B12))</f>
        <v/>
      </c>
      <c r="AW12" s="50">
        <f>SUMPRODUCT(--('2026'!$A$5:$A$500=$AW$1),--('2026'!$C$5:$C$500=$B12))+SUMPRODUCT(--('2026'!$A$5:$A$500=$AW$1),--('2026'!$F$5:$F$500=$B12))+SUMPRODUCT(--('2026'!$A$5:$A$500=$AW$1),--('2026'!$D$5:$D$500=$B12))+SUMPRODUCT(--('2026'!$A$5:$A$500=$AW$1),--('2026'!$G$5:$G$500=$B12))</f>
        <v/>
      </c>
      <c r="AX12" s="50">
        <f>SUMPRODUCT(--('2026'!$A$5:$A$500=$AW$1),--('2026'!$I$5:$I$500=$B12))+SUMPRODUCT(--('2026'!$A$5:$A$500=$AW$1),--('2026'!$J$5:$J$500=$B12))</f>
        <v/>
      </c>
      <c r="BA12" s="54" t="inlineStr">
        <is>
          <t>Tousif</t>
        </is>
      </c>
      <c r="BB12" s="47">
        <f>IF(ISODD(COUNTIF(C12:AX12,"&gt;0")),COUNTIF(C12:AX12,"&gt;0")+1,COUNTIF(C12:AX12,"&gt;0"))/2</f>
        <v/>
      </c>
      <c r="BC12" s="52">
        <f>BB12/15</f>
        <v/>
      </c>
    </row>
    <row r="13" ht="15" customHeight="1" s="106">
      <c r="A13" t="n">
        <v>11</v>
      </c>
      <c r="B13" s="54" t="inlineStr">
        <is>
          <t>Ken</t>
        </is>
      </c>
      <c r="C13" s="50">
        <f>SUMPRODUCT(--('2026'!$A$5:$A$500=$C$1),--('2026'!$C$5:$C$500=$B13))+SUMPRODUCT(--('2026'!$A$5:$A$500=$C$1),--('2026'!$F$5:$F$500=$B13))+SUMPRODUCT(--('2026'!$A$5:$A$500=$C$1),--('2026'!$D$5:$D$500=$B13))+SUMPRODUCT(--('2026'!$A$5:$A$500=$C$1),--('2026'!$G$5:$G$500=$B13))</f>
        <v/>
      </c>
      <c r="D13" s="50">
        <f>SUMPRODUCT(--('2026'!$A$5:$A$500=$C$1),--('2026'!$I$5:$I$500=$B13))+SUMPRODUCT(--('2026'!$A$5:$A$500=$C$1),--('2026'!$J$5:$J$500=$B13))</f>
        <v/>
      </c>
      <c r="E13" s="50">
        <f>SUMPRODUCT(--('2026'!$A$5:$A$500=$E$1),--('2026'!$C$5:$C$500=$B13))+SUMPRODUCT(--('2026'!$A$5:$A$500=$E$1),--('2026'!$F$5:$F$500=$B13))+SUMPRODUCT(--('2026'!$A$5:$A$500=$E$1),--('2026'!$D$5:$D$500=$B13))+SUMPRODUCT(--('2026'!$A$5:$A$500=$E$1),--('2026'!$G$5:$G$500=$B13))</f>
        <v/>
      </c>
      <c r="F13" s="50">
        <f>SUMPRODUCT(--('2026'!$A$5:$A$500=$E$1),--('2026'!$I$5:$I$500=$B13))+SUMPRODUCT(--('2026'!$A$5:$A$500=$E$1),--('2026'!$J$5:$J$500=$B13))</f>
        <v/>
      </c>
      <c r="G13" s="50">
        <f>SUMPRODUCT(--('2026'!$A$5:$A$500=$G$1),--('2026'!$C$5:$C$500=$B13))+SUMPRODUCT(--('2026'!$A$5:$A$500=$G$1),--('2026'!$F$5:$F$500=$B13))+SUMPRODUCT(--('2026'!$A$5:$A$500=$G$1),--('2026'!$D$5:$D$500=$B13))+SUMPRODUCT(--('2026'!$A$5:$A$500=$G$1),--('2026'!$G$5:$G$500=$B13))</f>
        <v/>
      </c>
      <c r="H13" s="50">
        <f>SUMPRODUCT(--('2026'!$A$5:$A$500=$G$1),--('2026'!$I$5:$I$500=$B13))+SUMPRODUCT(--('2026'!$A$5:$A$500=$G$1),--('2026'!$J$5:$J$500=$B13))</f>
        <v/>
      </c>
      <c r="I13" s="50">
        <f>SUMPRODUCT(--('2026'!$A$5:$A$500=$I$1),--('2026'!$C$5:$C$500=$B13))+SUMPRODUCT(--('2026'!$A$5:$A$500=$I$1),--('2026'!$F$5:$F$500=$B13))+SUMPRODUCT(--('2026'!$A$5:$A$500=$I$1),--('2026'!$D$5:$D$500=$B13))+SUMPRODUCT(--('2026'!$A$5:$A$500=$I$1),--('2026'!$G$5:$G$500=$B13))</f>
        <v/>
      </c>
      <c r="J13" s="50">
        <f>SUMPRODUCT(--('2026'!$A$5:$A$500=$I$1),--('2026'!$I$5:$I$500=$B13))+SUMPRODUCT(--('2026'!$A$5:$A$500=$I$1),--('2026'!$J$5:$J$500=$B13))</f>
        <v/>
      </c>
      <c r="K13" s="50">
        <f>SUMPRODUCT(--('2026'!$A$5:$A$500=$K$1),--('2026'!$C$5:$C$500=$B13))+SUMPRODUCT(--('2026'!$A$5:$A$500=$K$1),--('2026'!$F$5:$F$500=$B13))+SUMPRODUCT(--('2026'!$A$5:$A$500=$K$1),--('2026'!$D$5:$D$500=$B13))+SUMPRODUCT(--('2026'!$A$5:$A$500=$K$1),--('2026'!$G$5:$G$500=$B13))</f>
        <v/>
      </c>
      <c r="L13" s="50">
        <f>SUMPRODUCT(--('2026'!$A$5:$A$500=$K$1),--('2026'!$I$5:$I$500=$B13))+SUMPRODUCT(--('2026'!$A$5:$A$500=$K$1),--('2026'!$J$5:$J$500=$B13))</f>
        <v/>
      </c>
      <c r="M13" s="50">
        <f>SUMPRODUCT(--('2026'!$A$5:$A$500=$M$1),--('2026'!$C$5:$C$500=$B13))+SUMPRODUCT(--('2026'!$A$5:$A$500=$M$1),--('2026'!$F$5:$F$500=$B13))+SUMPRODUCT(--('2026'!$A$5:$A$500=$M$1),--('2026'!$D$5:$D$500=$B13))+SUMPRODUCT(--('2026'!$A$5:$A$500=$M$1),--('2026'!$G$5:$G$500=$B13))</f>
        <v/>
      </c>
      <c r="N13" s="50">
        <f>SUMPRODUCT(--('2026'!$A$5:$A$500=$M$1),--('2026'!$I$5:$I$500=$B13))+SUMPRODUCT(--('2026'!$A$5:$A$500=$M$1),--('2026'!$J$5:$J$500=$B13))</f>
        <v/>
      </c>
      <c r="O13" s="50">
        <f>SUMPRODUCT(--('2026'!$A$5:$A$500=$O$1),--('2026'!$C$5:$C$500=$B13))+SUMPRODUCT(--('2026'!$A$5:$A$500=$O$1),--('2026'!$F$5:$F$500=$B13))+SUMPRODUCT(--('2026'!$A$5:$A$500=$O$1),--('2026'!$D$5:$D$500=$B13))+SUMPRODUCT(--('2026'!$A$5:$A$500=$O$1),--('2026'!$G$5:$G$500=$B13))</f>
        <v/>
      </c>
      <c r="P13" s="50">
        <f>SUMPRODUCT(--('2026'!$A$5:$A$500=$O$1),--('2026'!$I$5:$I$500=$B13))+SUMPRODUCT(--('2026'!$A$5:$A$500=$O$1),--('2026'!$J$5:$J$500=$B13))</f>
        <v/>
      </c>
      <c r="Q13" s="50">
        <f>SUMPRODUCT(--('2026'!$A$5:$A$500=$Q$1),--('2026'!$C$5:$C$500=$B13))+SUMPRODUCT(--('2026'!$A$5:$A$500=$Q$1),--('2026'!$F$5:$F$500=$B13))+SUMPRODUCT(--('2026'!$A$5:$A$500=$Q$1),--('2026'!$D$5:$D$500=$B13))+SUMPRODUCT(--('2026'!$A$5:$A$500=$Q$1),--('2026'!$G$5:$G$500=$B13))</f>
        <v/>
      </c>
      <c r="R13" s="50">
        <f>SUMPRODUCT(--('2026'!$A$5:$A$500=$Q$1),--('2026'!$I$5:$I$500=$B13))+SUMPRODUCT(--('2026'!$A$5:$A$500=$Q$1),--('2026'!$J$5:$J$500=$B13))</f>
        <v/>
      </c>
      <c r="S13" s="50">
        <f>SUMPRODUCT(--('2026'!$A$5:$A$500=$S$1),--('2026'!$C$5:$C$500=$B13))+SUMPRODUCT(--('2026'!$A$5:$A$500=$S$1),--('2026'!$F$5:$F$500=$B13))+SUMPRODUCT(--('2026'!$A$5:$A$500=$S$1),--('2026'!$D$5:$D$500=$B13))+SUMPRODUCT(--('2026'!$A$5:$A$500=$S$1),--('2026'!$G$5:$G$500=$B13))</f>
        <v/>
      </c>
      <c r="T13" s="50">
        <f>SUMPRODUCT(--('2026'!$A$5:$A$500=$S$1),--('2026'!$I$5:$I$500=$B13))+SUMPRODUCT(--('2026'!$A$5:$A$500=$S$1),--('2026'!$J$5:$J$500=$B13))</f>
        <v/>
      </c>
      <c r="U13" s="50">
        <f>SUMPRODUCT(--('2026'!$A$5:$A$500=$U$1),--('2026'!$C$5:$C$500=$B13))+SUMPRODUCT(--('2026'!$A$5:$A$500=$U$1),--('2026'!$F$5:$F$500=$B13))+SUMPRODUCT(--('2026'!$A$5:$A$500=$U$1),--('2026'!$D$5:$D$500=$B13))+SUMPRODUCT(--('2026'!$A$5:$A$500=$U$1),--('2026'!$G$5:$G$500=$B13))</f>
        <v/>
      </c>
      <c r="V13" s="50">
        <f>SUMPRODUCT(--('2026'!$A$5:$A$500=$U$1),--('2026'!$I$5:$I$500=$B13))+SUMPRODUCT(--('2026'!$A$5:$A$500=$U$1),--('2026'!$J$5:$J$500=$B13))</f>
        <v/>
      </c>
      <c r="W13" s="60">
        <f>SUMPRODUCT(--('2026'!$A$5:$A$500=$W$1),--('2026'!$C$5:$C$500=$B13))+SUMPRODUCT(--('2026'!$A$5:$A$500=$W$1),--('2026'!$F$5:$F$500=$B13))+SUMPRODUCT(--('2026'!$A$5:$A$500=$W$1),--('2026'!$D$5:$D$500=$B13))+SUMPRODUCT(--('2026'!$A$5:$A$500=$W$1),--('2026'!$G$5:$G$500=$B13))</f>
        <v/>
      </c>
      <c r="X13" s="60">
        <f>SUMPRODUCT(--('2026'!$A$5:$A$500=$W$1),--('2026'!$I$5:$I$500=$B13))+SUMPRODUCT(--('2026'!$A$5:$A$500=$W$1),--('2026'!$J$5:$J$500=$B13))</f>
        <v/>
      </c>
      <c r="Y13" s="50">
        <f>SUMPRODUCT(--('2026'!$A$5:$A$500=$Y$1),--('2026'!$C$5:$C$500=$B13))+SUMPRODUCT(--('2026'!$A$5:$A$500=$Y$1),--('2026'!$F$5:$F$500=$B13))+SUMPRODUCT(--('2026'!$A$5:$A$500=$Y$1),--('2026'!$D$5:$D$500=$B13))+SUMPRODUCT(--('2026'!$A$5:$A$500=$Y$1),--('2026'!$G$5:$G$500=$B13))</f>
        <v/>
      </c>
      <c r="Z13" s="50">
        <f>SUMPRODUCT(--('2026'!$A$5:$A$500=$Y$1),--('2026'!$I$5:$I$500=$B13))+SUMPRODUCT(--('2026'!$A$5:$A$500=$Y$1),--('2026'!$J$5:$J$500=$B13))</f>
        <v/>
      </c>
      <c r="AA13" s="50">
        <f>SUMPRODUCT(--('2026'!$A$5:$A$500=$AA$1),--('2026'!$C$5:$C$500=$B13))+SUMPRODUCT(--('2026'!$A$5:$A$500=$AA$1),--('2026'!$F$5:$F$500=$B13))+SUMPRODUCT(--('2026'!$A$5:$A$500=$AA$1),--('2026'!$D$5:$D$500=$B13))+SUMPRODUCT(--('2026'!$A$5:$A$500=$AA$1),--('2026'!$G$5:$G$500=$B13))</f>
        <v/>
      </c>
      <c r="AB13" s="50">
        <f>SUMPRODUCT(--('2026'!$A$5:$A$500=$AA$1),--('2026'!$I$5:$I$500=$B13))+SUMPRODUCT(--('2026'!$A$5:$A$500=$AA$1),--('2026'!$J$5:$J$500=$B13))</f>
        <v/>
      </c>
      <c r="AC13" s="50">
        <f>SUMPRODUCT(--('2026'!$A$5:$A$500=$AC$1),--('2026'!$C$5:$C$500=$B13))+SUMPRODUCT(--('2026'!$A$5:$A$500=$AC$1),--('2026'!$F$5:$F$500=$B13))+SUMPRODUCT(--('2026'!$A$5:$A$500=$AC$1),--('2026'!$D$5:$D$500=$B13))+SUMPRODUCT(--('2026'!$A$5:$A$500=$AC$1),--('2026'!$G$5:$G$500=$B13))</f>
        <v/>
      </c>
      <c r="AD13" s="50">
        <f>SUMPRODUCT(--('2026'!$A$5:$A$500=$AC$1),--('2026'!$I$5:$I$500=$B13))+SUMPRODUCT(--('2026'!$A$5:$A$500=$AC$1),--('2026'!$J$5:$J$500=$B13))</f>
        <v/>
      </c>
      <c r="AE13" s="60">
        <f>SUMPRODUCT(--('2026'!$A$5:$A$500=$AE$1),--('2026'!$C$5:$C$500=$B13))+SUMPRODUCT(--('2026'!$A$5:$A$500=$AE$1),--('2026'!$F$5:$F$500=$B13))+SUMPRODUCT(--('2026'!$A$5:$A$500=$AE$1),--('2026'!$D$5:$D$500=$B13))+SUMPRODUCT(--('2026'!$A$5:$A$500=$AE$1),--('2026'!$G$5:$G$500=$B13))</f>
        <v/>
      </c>
      <c r="AF13" s="60">
        <f>SUMPRODUCT(--('2026'!$A$5:$A$500=$AE$1),--('2026'!$I$5:$I$500=$B13))+SUMPRODUCT(--('2026'!$A$5:$A$500=$AE$1),--('2026'!$J$5:$J$500=$B13))</f>
        <v/>
      </c>
      <c r="AG13" s="50">
        <f>SUMPRODUCT(--('2026'!$A$5:$A$500=$AG$1),--('2026'!$C$5:$C$500=$B13))+SUMPRODUCT(--('2026'!$A$5:$A$500=$AG$1),--('2026'!$F$5:$F$500=$B13))+SUMPRODUCT(--('2026'!$A$5:$A$500=$AG$1),--('2026'!$D$5:$D$500=$B13))+SUMPRODUCT(--('2026'!$A$5:$A$500=$AG$1),--('2026'!$G$5:$G$500=$B13))</f>
        <v/>
      </c>
      <c r="AH13" s="50">
        <f>SUMPRODUCT(--('2026'!$A$5:$A$500=$AG$1),--('2026'!$I$5:$I$500=$B13))+SUMPRODUCT(--('2026'!$A$5:$A$500=$AG$1),--('2026'!$J$5:$J$500=$B13))</f>
        <v/>
      </c>
      <c r="AI13" s="50">
        <f>SUMPRODUCT(--('2026'!$A$5:$A$500=$AI$1),--('2026'!$C$5:$C$500=$B13))+SUMPRODUCT(--('2026'!$A$5:$A$500=$AI$1),--('2026'!$F$5:$F$500=$B13))+SUMPRODUCT(--('2026'!$A$5:$A$500=$AI$1),--('2026'!$D$5:$D$500=$B13))+SUMPRODUCT(--('2026'!$A$5:$A$500=$AI$1),--('2026'!$G$5:$G$500=$B13))</f>
        <v/>
      </c>
      <c r="AJ13" s="50">
        <f>SUMPRODUCT(--('2026'!$A$5:$A$500=$AI$1),--('2026'!$I$5:$I$500=$B13))+SUMPRODUCT(--('2026'!$A$5:$A$500=$AI$1),--('2026'!$J$5:$J$500=$B13))</f>
        <v/>
      </c>
      <c r="AK13" s="50">
        <f>SUMPRODUCT(--('2026'!$A$5:$A$500=$AK$1),--('2026'!$C$5:$C$500=$B13))+SUMPRODUCT(--('2026'!$A$5:$A$500=$AK$1),--('2026'!$F$5:$F$500=$B13))+SUMPRODUCT(--('2026'!$A$5:$A$500=$AK$1),--('2026'!$D$5:$D$500=$B13))+SUMPRODUCT(--('2026'!$A$5:$A$500=$AK$1),--('2026'!$G$5:$G$500=$B13))</f>
        <v/>
      </c>
      <c r="AL13" s="50">
        <f>SUMPRODUCT(--('2026'!$A$5:$A$500=$AK$1),--('2026'!$I$5:$I$500=$B13))+SUMPRODUCT(--('2026'!$A$5:$A$500=$AK$1),--('2026'!$J$5:$J$500=$B13))</f>
        <v/>
      </c>
      <c r="AM13" s="50">
        <f>SUMPRODUCT(--('2026'!$A$5:$A$500=$AM$1),--('2026'!$C$5:$C$500=$B13))+SUMPRODUCT(--('2026'!$A$5:$A$500=$AM$1),--('2026'!$F$5:$F$500=$B13))+SUMPRODUCT(--('2026'!$A$5:$A$500=$AM$1),--('2026'!$D$5:$D$500=$B13))+SUMPRODUCT(--('2026'!$A$5:$A$500=$AM$1),--('2026'!$G$5:$G$500=$B13))</f>
        <v/>
      </c>
      <c r="AN13" s="50">
        <f>SUMPRODUCT(--('2026'!$A$5:$A$500=$AM$1),--('2026'!$I$5:$I$500=$B13))+SUMPRODUCT(--('2026'!$A$5:$A$500=$AM$1),--('2026'!$J$5:$J$500=$B13))</f>
        <v/>
      </c>
      <c r="AO13" s="50">
        <f>SUMPRODUCT(--('2026'!$A$5:$A$500=$AO$1),--('2026'!$C$5:$C$500=$B13))+SUMPRODUCT(--('2026'!$A$5:$A$500=$AO$1),--('2026'!$F$5:$F$500=$B13))+SUMPRODUCT(--('2026'!$A$5:$A$500=$AO$1),--('2026'!$D$5:$D$500=$B13))+SUMPRODUCT(--('2026'!$A$5:$A$500=$AO$1),--('2026'!$G$5:$G$500=$B13))</f>
        <v/>
      </c>
      <c r="AP13" s="50">
        <f>SUMPRODUCT(--('2026'!$A$5:$A$500=$AO$1),--('2026'!$I$5:$I$500=$B13))+SUMPRODUCT(--('2026'!$A$5:$A$500=$AO$1),--('2026'!$J$5:$J$500=$B13))</f>
        <v/>
      </c>
      <c r="AQ13" s="50">
        <f>SUMPRODUCT(--('2026'!$A$5:$A$500=$AQ$1),--('2026'!$C$5:$C$500=$B13))+SUMPRODUCT(--('2026'!$A$5:$A$500=$AQ$1),--('2026'!$F$5:$F$500=$B13))+SUMPRODUCT(--('2026'!$A$5:$A$500=$AQ$1),--('2026'!$D$5:$D$500=$B13))+SUMPRODUCT(--('2026'!$A$5:$A$500=$AQ$1),--('2026'!$G$5:$G$500=$B13))</f>
        <v/>
      </c>
      <c r="AR13" s="50">
        <f>SUMPRODUCT(--('2026'!$A$5:$A$500=$AQ$1),--('2026'!$I$5:$I$500=$B13))+SUMPRODUCT(--('2026'!$A$5:$A$500=$AQ$1),--('2026'!$J$5:$J$500=$B13))</f>
        <v/>
      </c>
      <c r="AS13" s="50">
        <f>SUMPRODUCT(--('2026'!$A$5:$A$500=$AS$1),--('2026'!$C$5:$C$500=$B13))+SUMPRODUCT(--('2026'!$A$5:$A$500=$AS$1),--('2026'!$F$5:$F$500=$B13))+SUMPRODUCT(--('2026'!$A$5:$A$500=$AS$1),--('2026'!$D$5:$D$500=$B13))+SUMPRODUCT(--('2026'!$A$5:$A$500=$AS$1),--('2026'!$G$5:$G$500=$B13))</f>
        <v/>
      </c>
      <c r="AT13" s="50">
        <f>SUMPRODUCT(--('2026'!$A$5:$A$500=$AS$1),--('2026'!$I$5:$I$500=$B13))+SUMPRODUCT(--('2026'!$A$5:$A$500=$AS$1),--('2026'!$J$5:$J$500=$B13))</f>
        <v/>
      </c>
      <c r="AU13" s="50">
        <f>SUMPRODUCT(--('2026'!$A$5:$A$500=$AU$1),--('2026'!$C$5:$C$500=$B13))+SUMPRODUCT(--('2026'!$A$5:$A$500=$AU$1),--('2026'!$F$5:$F$500=$B13))+SUMPRODUCT(--('2026'!$A$5:$A$500=$AU$1),--('2026'!$D$5:$D$500=$B13))+SUMPRODUCT(--('2026'!$A$5:$A$500=$AU$1),--('2026'!$G$5:$G$500=$B13))</f>
        <v/>
      </c>
      <c r="AV13" s="50">
        <f>SUMPRODUCT(--('2026'!$A$5:$A$500=$AU$1),--('2026'!$I$5:$I$500=$B13))+SUMPRODUCT(--('2026'!$A$5:$A$500=$AU$1),--('2026'!$J$5:$J$500=$B13))</f>
        <v/>
      </c>
      <c r="AW13" s="50">
        <f>SUMPRODUCT(--('2026'!$A$5:$A$500=$AW$1),--('2026'!$C$5:$C$500=$B13))+SUMPRODUCT(--('2026'!$A$5:$A$500=$AW$1),--('2026'!$F$5:$F$500=$B13))+SUMPRODUCT(--('2026'!$A$5:$A$500=$AW$1),--('2026'!$D$5:$D$500=$B13))+SUMPRODUCT(--('2026'!$A$5:$A$500=$AW$1),--('2026'!$G$5:$G$500=$B13))</f>
        <v/>
      </c>
      <c r="AX13" s="50">
        <f>SUMPRODUCT(--('2026'!$A$5:$A$500=$AW$1),--('2026'!$I$5:$I$500=$B13))+SUMPRODUCT(--('2026'!$A$5:$A$500=$AW$1),--('2026'!$J$5:$J$500=$B13))</f>
        <v/>
      </c>
      <c r="BA13" s="54" t="inlineStr">
        <is>
          <t>Ken</t>
        </is>
      </c>
      <c r="BB13" s="47">
        <f>IF(ISODD(COUNTIF(C13:AX13,"&gt;0")),COUNTIF(C13:AX13,"&gt;0")+1,COUNTIF(C13:AX13,"&gt;0"))/2</f>
        <v/>
      </c>
      <c r="BC13" s="52">
        <f>BB13/15</f>
        <v/>
      </c>
    </row>
    <row r="14" ht="15" customHeight="1" s="106">
      <c r="A14" t="n">
        <v>12</v>
      </c>
      <c r="B14" s="54" t="inlineStr">
        <is>
          <t>Deepak</t>
        </is>
      </c>
      <c r="C14" s="50">
        <f>SUMPRODUCT(--('2026'!$A$5:$A$500=$C$1),--('2026'!$C$5:$C$500=$B14))+SUMPRODUCT(--('2026'!$A$5:$A$500=$C$1),--('2026'!$F$5:$F$500=$B14))+SUMPRODUCT(--('2026'!$A$5:$A$500=$C$1),--('2026'!$D$5:$D$500=$B14))+SUMPRODUCT(--('2026'!$A$5:$A$500=$C$1),--('2026'!$G$5:$G$500=$B14))</f>
        <v/>
      </c>
      <c r="D14" s="50">
        <f>SUMPRODUCT(--('2026'!$A$5:$A$500=$C$1),--('2026'!$I$5:$I$500=$B14))+SUMPRODUCT(--('2026'!$A$5:$A$500=$C$1),--('2026'!$J$5:$J$500=$B14))</f>
        <v/>
      </c>
      <c r="E14" s="50">
        <f>SUMPRODUCT(--('2026'!$A$5:$A$500=$E$1),--('2026'!$C$5:$C$500=$B14))+SUMPRODUCT(--('2026'!$A$5:$A$500=$E$1),--('2026'!$F$5:$F$500=$B14))+SUMPRODUCT(--('2026'!$A$5:$A$500=$E$1),--('2026'!$D$5:$D$500=$B14))+SUMPRODUCT(--('2026'!$A$5:$A$500=$E$1),--('2026'!$G$5:$G$500=$B14))</f>
        <v/>
      </c>
      <c r="F14" s="50">
        <f>SUMPRODUCT(--('2026'!$A$5:$A$500=$E$1),--('2026'!$I$5:$I$500=$B14))+SUMPRODUCT(--('2026'!$A$5:$A$500=$E$1),--('2026'!$J$5:$J$500=$B14))</f>
        <v/>
      </c>
      <c r="G14" s="50">
        <f>SUMPRODUCT(--('2026'!$A$5:$A$500=$G$1),--('2026'!$C$5:$C$500=$B14))+SUMPRODUCT(--('2026'!$A$5:$A$500=$G$1),--('2026'!$F$5:$F$500=$B14))+SUMPRODUCT(--('2026'!$A$5:$A$500=$G$1),--('2026'!$D$5:$D$500=$B14))+SUMPRODUCT(--('2026'!$A$5:$A$500=$G$1),--('2026'!$G$5:$G$500=$B14))</f>
        <v/>
      </c>
      <c r="H14" s="50">
        <f>SUMPRODUCT(--('2026'!$A$5:$A$500=$G$1),--('2026'!$I$5:$I$500=$B14))+SUMPRODUCT(--('2026'!$A$5:$A$500=$G$1),--('2026'!$J$5:$J$500=$B14))</f>
        <v/>
      </c>
      <c r="I14" s="50">
        <f>SUMPRODUCT(--('2026'!$A$5:$A$500=$I$1),--('2026'!$C$5:$C$500=$B14))+SUMPRODUCT(--('2026'!$A$5:$A$500=$I$1),--('2026'!$F$5:$F$500=$B14))+SUMPRODUCT(--('2026'!$A$5:$A$500=$I$1),--('2026'!$D$5:$D$500=$B14))+SUMPRODUCT(--('2026'!$A$5:$A$500=$I$1),--('2026'!$G$5:$G$500=$B14))</f>
        <v/>
      </c>
      <c r="J14" s="50">
        <f>SUMPRODUCT(--('2026'!$A$5:$A$500=$I$1),--('2026'!$I$5:$I$500=$B14))+SUMPRODUCT(--('2026'!$A$5:$A$500=$I$1),--('2026'!$J$5:$J$500=$B14))</f>
        <v/>
      </c>
      <c r="K14" s="50">
        <f>SUMPRODUCT(--('2026'!$A$5:$A$500=$K$1),--('2026'!$C$5:$C$500=$B14))+SUMPRODUCT(--('2026'!$A$5:$A$500=$K$1),--('2026'!$F$5:$F$500=$B14))+SUMPRODUCT(--('2026'!$A$5:$A$500=$K$1),--('2026'!$D$5:$D$500=$B14))+SUMPRODUCT(--('2026'!$A$5:$A$500=$K$1),--('2026'!$G$5:$G$500=$B14))</f>
        <v/>
      </c>
      <c r="L14" s="50">
        <f>SUMPRODUCT(--('2026'!$A$5:$A$500=$K$1),--('2026'!$I$5:$I$500=$B14))+SUMPRODUCT(--('2026'!$A$5:$A$500=$K$1),--('2026'!$J$5:$J$500=$B14))</f>
        <v/>
      </c>
      <c r="M14" s="50">
        <f>SUMPRODUCT(--('2026'!$A$5:$A$500=$M$1),--('2026'!$C$5:$C$500=$B14))+SUMPRODUCT(--('2026'!$A$5:$A$500=$M$1),--('2026'!$F$5:$F$500=$B14))+SUMPRODUCT(--('2026'!$A$5:$A$500=$M$1),--('2026'!$D$5:$D$500=$B14))+SUMPRODUCT(--('2026'!$A$5:$A$500=$M$1),--('2026'!$G$5:$G$500=$B14))</f>
        <v/>
      </c>
      <c r="N14" s="50">
        <f>SUMPRODUCT(--('2026'!$A$5:$A$500=$M$1),--('2026'!$I$5:$I$500=$B14))+SUMPRODUCT(--('2026'!$A$5:$A$500=$M$1),--('2026'!$J$5:$J$500=$B14))</f>
        <v/>
      </c>
      <c r="O14" s="50">
        <f>SUMPRODUCT(--('2026'!$A$5:$A$500=$O$1),--('2026'!$C$5:$C$500=$B14))+SUMPRODUCT(--('2026'!$A$5:$A$500=$O$1),--('2026'!$F$5:$F$500=$B14))+SUMPRODUCT(--('2026'!$A$5:$A$500=$O$1),--('2026'!$D$5:$D$500=$B14))+SUMPRODUCT(--('2026'!$A$5:$A$500=$O$1),--('2026'!$G$5:$G$500=$B14))</f>
        <v/>
      </c>
      <c r="P14" s="50">
        <f>SUMPRODUCT(--('2026'!$A$5:$A$500=$O$1),--('2026'!$I$5:$I$500=$B14))+SUMPRODUCT(--('2026'!$A$5:$A$500=$O$1),--('2026'!$J$5:$J$500=$B14))</f>
        <v/>
      </c>
      <c r="Q14" s="50">
        <f>SUMPRODUCT(--('2026'!$A$5:$A$500=$Q$1),--('2026'!$C$5:$C$500=$B14))+SUMPRODUCT(--('2026'!$A$5:$A$500=$Q$1),--('2026'!$F$5:$F$500=$B14))+SUMPRODUCT(--('2026'!$A$5:$A$500=$Q$1),--('2026'!$D$5:$D$500=$B14))+SUMPRODUCT(--('2026'!$A$5:$A$500=$Q$1),--('2026'!$G$5:$G$500=$B14))</f>
        <v/>
      </c>
      <c r="R14" s="50">
        <f>SUMPRODUCT(--('2026'!$A$5:$A$500=$Q$1),--('2026'!$I$5:$I$500=$B14))+SUMPRODUCT(--('2026'!$A$5:$A$500=$Q$1),--('2026'!$J$5:$J$500=$B14))</f>
        <v/>
      </c>
      <c r="S14" s="50">
        <f>SUMPRODUCT(--('2026'!$A$5:$A$500=$S$1),--('2026'!$C$5:$C$500=$B14))+SUMPRODUCT(--('2026'!$A$5:$A$500=$S$1),--('2026'!$F$5:$F$500=$B14))+SUMPRODUCT(--('2026'!$A$5:$A$500=$S$1),--('2026'!$D$5:$D$500=$B14))+SUMPRODUCT(--('2026'!$A$5:$A$500=$S$1),--('2026'!$G$5:$G$500=$B14))</f>
        <v/>
      </c>
      <c r="T14" s="50">
        <f>SUMPRODUCT(--('2026'!$A$5:$A$500=$S$1),--('2026'!$I$5:$I$500=$B14))+SUMPRODUCT(--('2026'!$A$5:$A$500=$S$1),--('2026'!$J$5:$J$500=$B14))</f>
        <v/>
      </c>
      <c r="U14" s="50">
        <f>SUMPRODUCT(--('2026'!$A$5:$A$500=$U$1),--('2026'!$C$5:$C$500=$B14))+SUMPRODUCT(--('2026'!$A$5:$A$500=$U$1),--('2026'!$F$5:$F$500=$B14))+SUMPRODUCT(--('2026'!$A$5:$A$500=$U$1),--('2026'!$D$5:$D$500=$B14))+SUMPRODUCT(--('2026'!$A$5:$A$500=$U$1),--('2026'!$G$5:$G$500=$B14))</f>
        <v/>
      </c>
      <c r="V14" s="50">
        <f>SUMPRODUCT(--('2026'!$A$5:$A$500=$U$1),--('2026'!$I$5:$I$500=$B14))+SUMPRODUCT(--('2026'!$A$5:$A$500=$U$1),--('2026'!$J$5:$J$500=$B14))</f>
        <v/>
      </c>
      <c r="W14" s="60">
        <f>SUMPRODUCT(--('2026'!$A$5:$A$500=$W$1),--('2026'!$C$5:$C$500=$B14))+SUMPRODUCT(--('2026'!$A$5:$A$500=$W$1),--('2026'!$F$5:$F$500=$B14))+SUMPRODUCT(--('2026'!$A$5:$A$500=$W$1),--('2026'!$D$5:$D$500=$B14))+SUMPRODUCT(--('2026'!$A$5:$A$500=$W$1),--('2026'!$G$5:$G$500=$B14))</f>
        <v/>
      </c>
      <c r="X14" s="60">
        <f>SUMPRODUCT(--('2026'!$A$5:$A$500=$W$1),--('2026'!$I$5:$I$500=$B14))+SUMPRODUCT(--('2026'!$A$5:$A$500=$W$1),--('2026'!$J$5:$J$500=$B14))</f>
        <v/>
      </c>
      <c r="Y14" s="51">
        <f>SUMPRODUCT(--('2026'!$A$5:$A$500=$Y$1),--('2026'!$C$5:$C$500=$B14))+SUMPRODUCT(--('2026'!$A$5:$A$500=$Y$1),--('2026'!$F$5:$F$500=$B14))+SUMPRODUCT(--('2026'!$A$5:$A$500=$Y$1),--('2026'!$D$5:$D$500=$B14))+SUMPRODUCT(--('2026'!$A$5:$A$500=$Y$1),--('2026'!$G$5:$G$500=$B14))</f>
        <v/>
      </c>
      <c r="Z14" s="51">
        <f>SUMPRODUCT(--('2026'!$A$5:$A$500=$Y$1),--('2026'!$I$5:$I$500=$B14))+SUMPRODUCT(--('2026'!$A$5:$A$500=$Y$1),--('2026'!$J$5:$J$500=$B14))</f>
        <v/>
      </c>
      <c r="AA14" s="51">
        <f>SUMPRODUCT(--('2026'!$A$5:$A$500=$AA$1),--('2026'!$C$5:$C$500=$B14))+SUMPRODUCT(--('2026'!$A$5:$A$500=$AA$1),--('2026'!$F$5:$F$500=$B14))+SUMPRODUCT(--('2026'!$A$5:$A$500=$AA$1),--('2026'!$D$5:$D$500=$B14))+SUMPRODUCT(--('2026'!$A$5:$A$500=$AA$1),--('2026'!$G$5:$G$500=$B14))</f>
        <v/>
      </c>
      <c r="AB14" s="51">
        <f>SUMPRODUCT(--('2026'!$A$5:$A$500=$AA$1),--('2026'!$I$5:$I$500=$B14))+SUMPRODUCT(--('2026'!$A$5:$A$500=$AA$1),--('2026'!$J$5:$J$500=$B14))</f>
        <v/>
      </c>
      <c r="AC14" s="51">
        <f>SUMPRODUCT(--('2026'!$A$5:$A$500=$AC$1),--('2026'!$C$5:$C$500=$B14))+SUMPRODUCT(--('2026'!$A$5:$A$500=$AC$1),--('2026'!$F$5:$F$500=$B14))+SUMPRODUCT(--('2026'!$A$5:$A$500=$AC$1),--('2026'!$D$5:$D$500=$B14))+SUMPRODUCT(--('2026'!$A$5:$A$500=$AC$1),--('2026'!$G$5:$G$500=$B14))</f>
        <v/>
      </c>
      <c r="AD14" s="51">
        <f>SUMPRODUCT(--('2026'!$A$5:$A$500=$AC$1),--('2026'!$I$5:$I$500=$B14))+SUMPRODUCT(--('2026'!$A$5:$A$500=$AC$1),--('2026'!$J$5:$J$500=$B14))</f>
        <v/>
      </c>
      <c r="AE14" s="61">
        <f>SUMPRODUCT(--('2026'!$A$5:$A$500=$AE$1),--('2026'!$C$5:$C$500=$B14))+SUMPRODUCT(--('2026'!$A$5:$A$500=$AE$1),--('2026'!$F$5:$F$500=$B14))+SUMPRODUCT(--('2026'!$A$5:$A$500=$AE$1),--('2026'!$D$5:$D$500=$B14))+SUMPRODUCT(--('2026'!$A$5:$A$500=$AE$1),--('2026'!$G$5:$G$500=$B14))</f>
        <v/>
      </c>
      <c r="AF14" s="61">
        <f>SUMPRODUCT(--('2026'!$A$5:$A$500=$AE$1),--('2026'!$I$5:$I$500=$B14))+SUMPRODUCT(--('2026'!$A$5:$A$500=$AE$1),--('2026'!$J$5:$J$500=$B14))</f>
        <v/>
      </c>
      <c r="AG14" s="51">
        <f>SUMPRODUCT(--('2026'!$A$5:$A$500=$AG$1),--('2026'!$C$5:$C$500=$B14))+SUMPRODUCT(--('2026'!$A$5:$A$500=$AG$1),--('2026'!$F$5:$F$500=$B14))+SUMPRODUCT(--('2026'!$A$5:$A$500=$AG$1),--('2026'!$D$5:$D$500=$B14))+SUMPRODUCT(--('2026'!$A$5:$A$500=$AG$1),--('2026'!$G$5:$G$500=$B14))</f>
        <v/>
      </c>
      <c r="AH14" s="51">
        <f>SUMPRODUCT(--('2026'!$A$5:$A$500=$AG$1),--('2026'!$I$5:$I$500=$B14))+SUMPRODUCT(--('2026'!$A$5:$A$500=$AG$1),--('2026'!$J$5:$J$500=$B14))</f>
        <v/>
      </c>
      <c r="AI14" s="51">
        <f>SUMPRODUCT(--('2026'!$A$5:$A$500=$AI$1),--('2026'!$C$5:$C$500=$B14))+SUMPRODUCT(--('2026'!$A$5:$A$500=$AI$1),--('2026'!$F$5:$F$500=$B14))+SUMPRODUCT(--('2026'!$A$5:$A$500=$AI$1),--('2026'!$D$5:$D$500=$B14))+SUMPRODUCT(--('2026'!$A$5:$A$500=$AI$1),--('2026'!$G$5:$G$500=$B14))</f>
        <v/>
      </c>
      <c r="AJ14" s="51">
        <f>SUMPRODUCT(--('2026'!$A$5:$A$500=$AI$1),--('2026'!$I$5:$I$500=$B14))+SUMPRODUCT(--('2026'!$A$5:$A$500=$AI$1),--('2026'!$J$5:$J$500=$B14))</f>
        <v/>
      </c>
      <c r="AK14" s="51">
        <f>SUMPRODUCT(--('2026'!$A$5:$A$500=$AK$1),--('2026'!$C$5:$C$500=$B14))+SUMPRODUCT(--('2026'!$A$5:$A$500=$AK$1),--('2026'!$F$5:$F$500=$B14))+SUMPRODUCT(--('2026'!$A$5:$A$500=$AK$1),--('2026'!$D$5:$D$500=$B14))+SUMPRODUCT(--('2026'!$A$5:$A$500=$AK$1),--('2026'!$G$5:$G$500=$B14))</f>
        <v/>
      </c>
      <c r="AL14" s="51">
        <f>SUMPRODUCT(--('2026'!$A$5:$A$500=$AK$1),--('2026'!$I$5:$I$500=$B14))+SUMPRODUCT(--('2026'!$A$5:$A$500=$AK$1),--('2026'!$J$5:$J$500=$B14))</f>
        <v/>
      </c>
      <c r="AM14" s="51">
        <f>SUMPRODUCT(--('2026'!$A$5:$A$500=$AM$1),--('2026'!$C$5:$C$500=$B14))+SUMPRODUCT(--('2026'!$A$5:$A$500=$AM$1),--('2026'!$F$5:$F$500=$B14))+SUMPRODUCT(--('2026'!$A$5:$A$500=$AM$1),--('2026'!$D$5:$D$500=$B14))+SUMPRODUCT(--('2026'!$A$5:$A$500=$AM$1),--('2026'!$G$5:$G$500=$B14))</f>
        <v/>
      </c>
      <c r="AN14" s="51">
        <f>SUMPRODUCT(--('2026'!$A$5:$A$500=$AM$1),--('2026'!$I$5:$I$500=$B14))+SUMPRODUCT(--('2026'!$A$5:$A$500=$AM$1),--('2026'!$J$5:$J$500=$B14))</f>
        <v/>
      </c>
      <c r="AO14" s="51">
        <f>SUMPRODUCT(--('2026'!$A$5:$A$500=$AO$1),--('2026'!$C$5:$C$500=$B14))+SUMPRODUCT(--('2026'!$A$5:$A$500=$AO$1),--('2026'!$F$5:$F$500=$B14))+SUMPRODUCT(--('2026'!$A$5:$A$500=$AO$1),--('2026'!$D$5:$D$500=$B14))+SUMPRODUCT(--('2026'!$A$5:$A$500=$AO$1),--('2026'!$G$5:$G$500=$B14))</f>
        <v/>
      </c>
      <c r="AP14" s="51">
        <f>SUMPRODUCT(--('2026'!$A$5:$A$500=$AO$1),--('2026'!$I$5:$I$500=$B14))+SUMPRODUCT(--('2026'!$A$5:$A$500=$AO$1),--('2026'!$J$5:$J$500=$B14))</f>
        <v/>
      </c>
      <c r="AQ14" s="51">
        <f>SUMPRODUCT(--('2026'!$A$5:$A$500=$AQ$1),--('2026'!$C$5:$C$500=$B14))+SUMPRODUCT(--('2026'!$A$5:$A$500=$AQ$1),--('2026'!$F$5:$F$500=$B14))+SUMPRODUCT(--('2026'!$A$5:$A$500=$AQ$1),--('2026'!$D$5:$D$500=$B14))+SUMPRODUCT(--('2026'!$A$5:$A$500=$AQ$1),--('2026'!$G$5:$G$500=$B14))</f>
        <v/>
      </c>
      <c r="AR14" s="51">
        <f>SUMPRODUCT(--('2026'!$A$5:$A$500=$AQ$1),--('2026'!$I$5:$I$500=$B14))+SUMPRODUCT(--('2026'!$A$5:$A$500=$AQ$1),--('2026'!$J$5:$J$500=$B14))</f>
        <v/>
      </c>
      <c r="AS14" s="51">
        <f>SUMPRODUCT(--('2026'!$A$5:$A$500=$AS$1),--('2026'!$C$5:$C$500=$B14))+SUMPRODUCT(--('2026'!$A$5:$A$500=$AS$1),--('2026'!$F$5:$F$500=$B14))+SUMPRODUCT(--('2026'!$A$5:$A$500=$AS$1),--('2026'!$D$5:$D$500=$B14))+SUMPRODUCT(--('2026'!$A$5:$A$500=$AS$1),--('2026'!$G$5:$G$500=$B14))</f>
        <v/>
      </c>
      <c r="AT14" s="51">
        <f>SUMPRODUCT(--('2026'!$A$5:$A$500=$AS$1),--('2026'!$I$5:$I$500=$B14))+SUMPRODUCT(--('2026'!$A$5:$A$500=$AS$1),--('2026'!$J$5:$J$500=$B14))</f>
        <v/>
      </c>
      <c r="AU14" s="51">
        <f>SUMPRODUCT(--('2026'!$A$5:$A$500=$AU$1),--('2026'!$C$5:$C$500=$B14))+SUMPRODUCT(--('2026'!$A$5:$A$500=$AU$1),--('2026'!$F$5:$F$500=$B14))+SUMPRODUCT(--('2026'!$A$5:$A$500=$AU$1),--('2026'!$D$5:$D$500=$B14))+SUMPRODUCT(--('2026'!$A$5:$A$500=$AU$1),--('2026'!$G$5:$G$500=$B14))</f>
        <v/>
      </c>
      <c r="AV14" s="51">
        <f>SUMPRODUCT(--('2026'!$A$5:$A$500=$AU$1),--('2026'!$I$5:$I$500=$B14))+SUMPRODUCT(--('2026'!$A$5:$A$500=$AU$1),--('2026'!$J$5:$J$500=$B14))</f>
        <v/>
      </c>
      <c r="AW14" s="51">
        <f>SUMPRODUCT(--('2026'!$A$5:$A$500=$AW$1),--('2026'!$C$5:$C$500=$B14))+SUMPRODUCT(--('2026'!$A$5:$A$500=$AW$1),--('2026'!$F$5:$F$500=$B14))+SUMPRODUCT(--('2026'!$A$5:$A$500=$AW$1),--('2026'!$D$5:$D$500=$B14))+SUMPRODUCT(--('2026'!$A$5:$A$500=$AW$1),--('2026'!$G$5:$G$500=$B14))</f>
        <v/>
      </c>
      <c r="AX14" s="51">
        <f>SUMPRODUCT(--('2026'!$A$5:$A$500=$AW$1),--('2026'!$I$5:$I$500=$B14))+SUMPRODUCT(--('2026'!$A$5:$A$500=$AW$1),--('2026'!$J$5:$J$500=$B14))</f>
        <v/>
      </c>
      <c r="BA14" s="54" t="inlineStr">
        <is>
          <t>Deepak</t>
        </is>
      </c>
      <c r="BB14" s="47">
        <f>IF(ISODD(COUNTIF(C14:AX14,"&gt;0")),COUNTIF(C14:AX14,"&gt;0")+1,COUNTIF(C14:AX14,"&gt;0"))/2</f>
        <v/>
      </c>
      <c r="BC14" s="52">
        <f>BB14/15</f>
        <v/>
      </c>
    </row>
    <row r="15" ht="15" customHeight="1" s="106">
      <c r="A15" t="n">
        <v>13</v>
      </c>
      <c r="B15" s="54" t="inlineStr">
        <is>
          <t>Shiva</t>
        </is>
      </c>
      <c r="C15" s="50">
        <f>SUMPRODUCT(--('2026'!$A$5:$A$500=$C$1),--('2026'!$C$5:$C$500=$B15))+SUMPRODUCT(--('2026'!$A$5:$A$500=$C$1),--('2026'!$F$5:$F$500=$B15))+SUMPRODUCT(--('2026'!$A$5:$A$500=$C$1),--('2026'!$D$5:$D$500=$B15))+SUMPRODUCT(--('2026'!$A$5:$A$500=$C$1),--('2026'!$G$5:$G$500=$B15))</f>
        <v/>
      </c>
      <c r="D15" s="50">
        <f>SUMPRODUCT(--('2026'!$A$5:$A$500=$C$1),--('2026'!$I$5:$I$500=$B15))+SUMPRODUCT(--('2026'!$A$5:$A$500=$C$1),--('2026'!$J$5:$J$500=$B15))</f>
        <v/>
      </c>
      <c r="E15" s="50">
        <f>SUMPRODUCT(--('2026'!$A$5:$A$500=$E$1),--('2026'!$C$5:$C$500=$B15))+SUMPRODUCT(--('2026'!$A$5:$A$500=$E$1),--('2026'!$F$5:$F$500=$B15))+SUMPRODUCT(--('2026'!$A$5:$A$500=$E$1),--('2026'!$D$5:$D$500=$B15))+SUMPRODUCT(--('2026'!$A$5:$A$500=$E$1),--('2026'!$G$5:$G$500=$B15))</f>
        <v/>
      </c>
      <c r="F15" s="50">
        <f>SUMPRODUCT(--('2026'!$A$5:$A$500=$E$1),--('2026'!$I$5:$I$500=$B15))+SUMPRODUCT(--('2026'!$A$5:$A$500=$E$1),--('2026'!$J$5:$J$500=$B15))</f>
        <v/>
      </c>
      <c r="G15" s="50">
        <f>SUMPRODUCT(--('2026'!$A$5:$A$500=$G$1),--('2026'!$C$5:$C$500=$B15))+SUMPRODUCT(--('2026'!$A$5:$A$500=$G$1),--('2026'!$F$5:$F$500=$B15))+SUMPRODUCT(--('2026'!$A$5:$A$500=$G$1),--('2026'!$D$5:$D$500=$B15))+SUMPRODUCT(--('2026'!$A$5:$A$500=$G$1),--('2026'!$G$5:$G$500=$B15))</f>
        <v/>
      </c>
      <c r="H15" s="50">
        <f>SUMPRODUCT(--('2026'!$A$5:$A$500=$G$1),--('2026'!$I$5:$I$500=$B15))+SUMPRODUCT(--('2026'!$A$5:$A$500=$G$1),--('2026'!$J$5:$J$500=$B15))</f>
        <v/>
      </c>
      <c r="I15" s="50">
        <f>SUMPRODUCT(--('2026'!$A$5:$A$500=$I$1),--('2026'!$C$5:$C$500=$B15))+SUMPRODUCT(--('2026'!$A$5:$A$500=$I$1),--('2026'!$F$5:$F$500=$B15))+SUMPRODUCT(--('2026'!$A$5:$A$500=$I$1),--('2026'!$D$5:$D$500=$B15))+SUMPRODUCT(--('2026'!$A$5:$A$500=$I$1),--('2026'!$G$5:$G$500=$B15))</f>
        <v/>
      </c>
      <c r="J15" s="50">
        <f>SUMPRODUCT(--('2026'!$A$5:$A$500=$I$1),--('2026'!$I$5:$I$500=$B15))+SUMPRODUCT(--('2026'!$A$5:$A$500=$I$1),--('2026'!$J$5:$J$500=$B15))</f>
        <v/>
      </c>
      <c r="K15" s="50">
        <f>SUMPRODUCT(--('2026'!$A$5:$A$500=$K$1),--('2026'!$C$5:$C$500=$B15))+SUMPRODUCT(--('2026'!$A$5:$A$500=$K$1),--('2026'!$F$5:$F$500=$B15))+SUMPRODUCT(--('2026'!$A$5:$A$500=$K$1),--('2026'!$D$5:$D$500=$B15))+SUMPRODUCT(--('2026'!$A$5:$A$500=$K$1),--('2026'!$G$5:$G$500=$B15))</f>
        <v/>
      </c>
      <c r="L15" s="50">
        <f>SUMPRODUCT(--('2026'!$A$5:$A$500=$K$1),--('2026'!$I$5:$I$500=$B15))+SUMPRODUCT(--('2026'!$A$5:$A$500=$K$1),--('2026'!$J$5:$J$500=$B15))</f>
        <v/>
      </c>
      <c r="M15" s="50">
        <f>SUMPRODUCT(--('2026'!$A$5:$A$500=$M$1),--('2026'!$C$5:$C$500=$B15))+SUMPRODUCT(--('2026'!$A$5:$A$500=$M$1),--('2026'!$F$5:$F$500=$B15))+SUMPRODUCT(--('2026'!$A$5:$A$500=$M$1),--('2026'!$D$5:$D$500=$B15))+SUMPRODUCT(--('2026'!$A$5:$A$500=$M$1),--('2026'!$G$5:$G$500=$B15))</f>
        <v/>
      </c>
      <c r="N15" s="50">
        <f>SUMPRODUCT(--('2026'!$A$5:$A$500=$M$1),--('2026'!$I$5:$I$500=$B15))+SUMPRODUCT(--('2026'!$A$5:$A$500=$M$1),--('2026'!$J$5:$J$500=$B15))</f>
        <v/>
      </c>
      <c r="O15" s="50">
        <f>SUMPRODUCT(--('2026'!$A$5:$A$500=$O$1),--('2026'!$C$5:$C$500=$B15))+SUMPRODUCT(--('2026'!$A$5:$A$500=$O$1),--('2026'!$F$5:$F$500=$B15))+SUMPRODUCT(--('2026'!$A$5:$A$500=$O$1),--('2026'!$D$5:$D$500=$B15))+SUMPRODUCT(--('2026'!$A$5:$A$500=$O$1),--('2026'!$G$5:$G$500=$B15))</f>
        <v/>
      </c>
      <c r="P15" s="50">
        <f>SUMPRODUCT(--('2026'!$A$5:$A$500=$O$1),--('2026'!$I$5:$I$500=$B15))+SUMPRODUCT(--('2026'!$A$5:$A$500=$O$1),--('2026'!$J$5:$J$500=$B15))</f>
        <v/>
      </c>
      <c r="Q15" s="50">
        <f>SUMPRODUCT(--('2026'!$A$5:$A$500=$Q$1),--('2026'!$C$5:$C$500=$B15))+SUMPRODUCT(--('2026'!$A$5:$A$500=$Q$1),--('2026'!$F$5:$F$500=$B15))+SUMPRODUCT(--('2026'!$A$5:$A$500=$Q$1),--('2026'!$D$5:$D$500=$B15))+SUMPRODUCT(--('2026'!$A$5:$A$500=$Q$1),--('2026'!$G$5:$G$500=$B15))</f>
        <v/>
      </c>
      <c r="R15" s="50">
        <f>SUMPRODUCT(--('2026'!$A$5:$A$500=$Q$1),--('2026'!$I$5:$I$500=$B15))+SUMPRODUCT(--('2026'!$A$5:$A$500=$Q$1),--('2026'!$J$5:$J$500=$B15))</f>
        <v/>
      </c>
      <c r="S15" s="50">
        <f>SUMPRODUCT(--('2026'!$A$5:$A$500=$S$1),--('2026'!$C$5:$C$500=$B15))+SUMPRODUCT(--('2026'!$A$5:$A$500=$S$1),--('2026'!$F$5:$F$500=$B15))+SUMPRODUCT(--('2026'!$A$5:$A$500=$S$1),--('2026'!$D$5:$D$500=$B15))+SUMPRODUCT(--('2026'!$A$5:$A$500=$S$1),--('2026'!$G$5:$G$500=$B15))</f>
        <v/>
      </c>
      <c r="T15" s="50">
        <f>SUMPRODUCT(--('2026'!$A$5:$A$500=$S$1),--('2026'!$I$5:$I$500=$B15))+SUMPRODUCT(--('2026'!$A$5:$A$500=$S$1),--('2026'!$J$5:$J$500=$B15))</f>
        <v/>
      </c>
      <c r="U15" s="50">
        <f>SUMPRODUCT(--('2026'!$A$5:$A$500=$U$1),--('2026'!$C$5:$C$500=$B15))+SUMPRODUCT(--('2026'!$A$5:$A$500=$U$1),--('2026'!$F$5:$F$500=$B15))+SUMPRODUCT(--('2026'!$A$5:$A$500=$U$1),--('2026'!$D$5:$D$500=$B15))+SUMPRODUCT(--('2026'!$A$5:$A$500=$U$1),--('2026'!$G$5:$G$500=$B15))</f>
        <v/>
      </c>
      <c r="V15" s="50">
        <f>SUMPRODUCT(--('2026'!$A$5:$A$500=$U$1),--('2026'!$I$5:$I$500=$B15))+SUMPRODUCT(--('2026'!$A$5:$A$500=$U$1),--('2026'!$J$5:$J$500=$B15))</f>
        <v/>
      </c>
      <c r="W15" s="60">
        <f>SUMPRODUCT(--('2026'!$A$5:$A$500=$W$1),--('2026'!$C$5:$C$500=$B15))+SUMPRODUCT(--('2026'!$A$5:$A$500=$W$1),--('2026'!$F$5:$F$500=$B15))+SUMPRODUCT(--('2026'!$A$5:$A$500=$W$1),--('2026'!$D$5:$D$500=$B15))+SUMPRODUCT(--('2026'!$A$5:$A$500=$W$1),--('2026'!$G$5:$G$500=$B15))</f>
        <v/>
      </c>
      <c r="X15" s="60">
        <f>SUMPRODUCT(--('2026'!$A$5:$A$500=$W$1),--('2026'!$I$5:$I$500=$B15))+SUMPRODUCT(--('2026'!$A$5:$A$500=$W$1),--('2026'!$J$5:$J$500=$B15))</f>
        <v/>
      </c>
      <c r="Y15" s="50">
        <f>SUMPRODUCT(--('2026'!$A$5:$A$500=$Y$1),--('2026'!$C$5:$C$500=$B15))+SUMPRODUCT(--('2026'!$A$5:$A$500=$Y$1),--('2026'!$F$5:$F$500=$B15))+SUMPRODUCT(--('2026'!$A$5:$A$500=$Y$1),--('2026'!$D$5:$D$500=$B15))+SUMPRODUCT(--('2026'!$A$5:$A$500=$Y$1),--('2026'!$G$5:$G$500=$B15))</f>
        <v/>
      </c>
      <c r="Z15" s="50">
        <f>SUMPRODUCT(--('2026'!$A$5:$A$500=$Y$1),--('2026'!$I$5:$I$500=$B15))+SUMPRODUCT(--('2026'!$A$5:$A$500=$Y$1),--('2026'!$J$5:$J$500=$B15))</f>
        <v/>
      </c>
      <c r="AA15" s="50">
        <f>SUMPRODUCT(--('2026'!$A$5:$A$500=$AA$1),--('2026'!$C$5:$C$500=$B15))+SUMPRODUCT(--('2026'!$A$5:$A$500=$AA$1),--('2026'!$F$5:$F$500=$B15))+SUMPRODUCT(--('2026'!$A$5:$A$500=$AA$1),--('2026'!$D$5:$D$500=$B15))+SUMPRODUCT(--('2026'!$A$5:$A$500=$AA$1),--('2026'!$G$5:$G$500=$B15))</f>
        <v/>
      </c>
      <c r="AB15" s="50">
        <f>SUMPRODUCT(--('2026'!$A$5:$A$500=$AA$1),--('2026'!$I$5:$I$500=$B15))+SUMPRODUCT(--('2026'!$A$5:$A$500=$AA$1),--('2026'!$J$5:$J$500=$B15))</f>
        <v/>
      </c>
      <c r="AC15" s="50">
        <f>SUMPRODUCT(--('2026'!$A$5:$A$500=$AC$1),--('2026'!$C$5:$C$500=$B15))+SUMPRODUCT(--('2026'!$A$5:$A$500=$AC$1),--('2026'!$F$5:$F$500=$B15))+SUMPRODUCT(--('2026'!$A$5:$A$500=$AC$1),--('2026'!$D$5:$D$500=$B15))+SUMPRODUCT(--('2026'!$A$5:$A$500=$AC$1),--('2026'!$G$5:$G$500=$B15))</f>
        <v/>
      </c>
      <c r="AD15" s="50">
        <f>SUMPRODUCT(--('2026'!$A$5:$A$500=$AC$1),--('2026'!$I$5:$I$500=$B15))+SUMPRODUCT(--('2026'!$A$5:$A$500=$AC$1),--('2026'!$J$5:$J$500=$B15))</f>
        <v/>
      </c>
      <c r="AE15" s="50">
        <f>SUMPRODUCT(--('2026'!$A$5:$A$500=$AE$1),--('2026'!$C$5:$C$500=$B15))+SUMPRODUCT(--('2026'!$A$5:$A$500=$AE$1),--('2026'!$F$5:$F$500=$B15))+SUMPRODUCT(--('2026'!$A$5:$A$500=$AE$1),--('2026'!$D$5:$D$500=$B15))+SUMPRODUCT(--('2026'!$A$5:$A$500=$AE$1),--('2026'!$G$5:$G$500=$B15))</f>
        <v/>
      </c>
      <c r="AF15" s="50">
        <f>SUMPRODUCT(--('2026'!$A$5:$A$500=$AE$1),--('2026'!$I$5:$I$500=$B15))+SUMPRODUCT(--('2026'!$A$5:$A$500=$AE$1),--('2026'!$J$5:$J$500=$B15))</f>
        <v/>
      </c>
      <c r="AG15" s="50">
        <f>SUMPRODUCT(--('2026'!$A$5:$A$500=$AG$1),--('2026'!$C$5:$C$500=$B15))+SUMPRODUCT(--('2026'!$A$5:$A$500=$AG$1),--('2026'!$F$5:$F$500=$B15))+SUMPRODUCT(--('2026'!$A$5:$A$500=$AG$1),--('2026'!$D$5:$D$500=$B15))+SUMPRODUCT(--('2026'!$A$5:$A$500=$AG$1),--('2026'!$G$5:$G$500=$B15))</f>
        <v/>
      </c>
      <c r="AH15" s="50">
        <f>SUMPRODUCT(--('2026'!$A$5:$A$500=$AG$1),--('2026'!$I$5:$I$500=$B15))+SUMPRODUCT(--('2026'!$A$5:$A$500=$AG$1),--('2026'!$J$5:$J$500=$B15))</f>
        <v/>
      </c>
      <c r="AI15" s="50">
        <f>SUMPRODUCT(--('2026'!$A$5:$A$500=$AI$1),--('2026'!$C$5:$C$500=$B15))+SUMPRODUCT(--('2026'!$A$5:$A$500=$AI$1),--('2026'!$F$5:$F$500=$B15))+SUMPRODUCT(--('2026'!$A$5:$A$500=$AI$1),--('2026'!$D$5:$D$500=$B15))+SUMPRODUCT(--('2026'!$A$5:$A$500=$AI$1),--('2026'!$G$5:$G$500=$B15))</f>
        <v/>
      </c>
      <c r="AJ15" s="50">
        <f>SUMPRODUCT(--('2026'!$A$5:$A$500=$AI$1),--('2026'!$I$5:$I$500=$B15))+SUMPRODUCT(--('2026'!$A$5:$A$500=$AI$1),--('2026'!$J$5:$J$500=$B15))</f>
        <v/>
      </c>
      <c r="AK15" s="50">
        <f>SUMPRODUCT(--('2026'!$A$5:$A$500=$AK$1),--('2026'!$C$5:$C$500=$B15))+SUMPRODUCT(--('2026'!$A$5:$A$500=$AK$1),--('2026'!$F$5:$F$500=$B15))+SUMPRODUCT(--('2026'!$A$5:$A$500=$AK$1),--('2026'!$D$5:$D$500=$B15))+SUMPRODUCT(--('2026'!$A$5:$A$500=$AK$1),--('2026'!$G$5:$G$500=$B15))</f>
        <v/>
      </c>
      <c r="AL15" s="50">
        <f>SUMPRODUCT(--('2026'!$A$5:$A$500=$AK$1),--('2026'!$I$5:$I$500=$B15))+SUMPRODUCT(--('2026'!$A$5:$A$500=$AK$1),--('2026'!$J$5:$J$500=$B15))</f>
        <v/>
      </c>
      <c r="AM15" s="50">
        <f>SUMPRODUCT(--('2026'!$A$5:$A$500=$AM$1),--('2026'!$C$5:$C$500=$B15))+SUMPRODUCT(--('2026'!$A$5:$A$500=$AM$1),--('2026'!$F$5:$F$500=$B15))+SUMPRODUCT(--('2026'!$A$5:$A$500=$AM$1),--('2026'!$D$5:$D$500=$B15))+SUMPRODUCT(--('2026'!$A$5:$A$500=$AM$1),--('2026'!$G$5:$G$500=$B15))</f>
        <v/>
      </c>
      <c r="AN15" s="50">
        <f>SUMPRODUCT(--('2026'!$A$5:$A$500=$AM$1),--('2026'!$I$5:$I$500=$B15))+SUMPRODUCT(--('2026'!$A$5:$A$500=$AM$1),--('2026'!$J$5:$J$500=$B15))</f>
        <v/>
      </c>
      <c r="AO15" s="50">
        <f>SUMPRODUCT(--('2026'!$A$5:$A$500=$AO$1),--('2026'!$C$5:$C$500=$B15))+SUMPRODUCT(--('2026'!$A$5:$A$500=$AO$1),--('2026'!$F$5:$F$500=$B15))+SUMPRODUCT(--('2026'!$A$5:$A$500=$AO$1),--('2026'!$D$5:$D$500=$B15))+SUMPRODUCT(--('2026'!$A$5:$A$500=$AO$1),--('2026'!$G$5:$G$500=$B15))</f>
        <v/>
      </c>
      <c r="AP15" s="50">
        <f>SUMPRODUCT(--('2026'!$A$5:$A$500=$AO$1),--('2026'!$I$5:$I$500=$B15))+SUMPRODUCT(--('2026'!$A$5:$A$500=$AO$1),--('2026'!$J$5:$J$500=$B15))</f>
        <v/>
      </c>
      <c r="AQ15" s="50">
        <f>SUMPRODUCT(--('2026'!$A$5:$A$500=$AQ$1),--('2026'!$C$5:$C$500=$B15))+SUMPRODUCT(--('2026'!$A$5:$A$500=$AQ$1),--('2026'!$F$5:$F$500=$B15))+SUMPRODUCT(--('2026'!$A$5:$A$500=$AQ$1),--('2026'!$D$5:$D$500=$B15))+SUMPRODUCT(--('2026'!$A$5:$A$500=$AQ$1),--('2026'!$G$5:$G$500=$B15))</f>
        <v/>
      </c>
      <c r="AR15" s="50">
        <f>SUMPRODUCT(--('2026'!$A$5:$A$500=$AQ$1),--('2026'!$I$5:$I$500=$B15))+SUMPRODUCT(--('2026'!$A$5:$A$500=$AQ$1),--('2026'!$J$5:$J$500=$B15))</f>
        <v/>
      </c>
      <c r="AS15" s="50">
        <f>SUMPRODUCT(--('2026'!$A$5:$A$500=$AS$1),--('2026'!$C$5:$C$500=$B15))+SUMPRODUCT(--('2026'!$A$5:$A$500=$AS$1),--('2026'!$F$5:$F$500=$B15))+SUMPRODUCT(--('2026'!$A$5:$A$500=$AS$1),--('2026'!$D$5:$D$500=$B15))+SUMPRODUCT(--('2026'!$A$5:$A$500=$AS$1),--('2026'!$G$5:$G$500=$B15))</f>
        <v/>
      </c>
      <c r="AT15" s="50">
        <f>SUMPRODUCT(--('2026'!$A$5:$A$500=$AS$1),--('2026'!$I$5:$I$500=$B15))+SUMPRODUCT(--('2026'!$A$5:$A$500=$AS$1),--('2026'!$J$5:$J$500=$B15))</f>
        <v/>
      </c>
      <c r="AU15" s="50">
        <f>SUMPRODUCT(--('2026'!$A$5:$A$500=$AU$1),--('2026'!$C$5:$C$500=$B15))+SUMPRODUCT(--('2026'!$A$5:$A$500=$AU$1),--('2026'!$F$5:$F$500=$B15))+SUMPRODUCT(--('2026'!$A$5:$A$500=$AU$1),--('2026'!$D$5:$D$500=$B15))+SUMPRODUCT(--('2026'!$A$5:$A$500=$AU$1),--('2026'!$G$5:$G$500=$B15))</f>
        <v/>
      </c>
      <c r="AV15" s="50">
        <f>SUMPRODUCT(--('2026'!$A$5:$A$500=$AU$1),--('2026'!$I$5:$I$500=$B15))+SUMPRODUCT(--('2026'!$A$5:$A$500=$AU$1),--('2026'!$J$5:$J$500=$B15))</f>
        <v/>
      </c>
      <c r="AW15" s="50">
        <f>SUMPRODUCT(--('2026'!$A$5:$A$500=$AW$1),--('2026'!$C$5:$C$500=$B15))+SUMPRODUCT(--('2026'!$A$5:$A$500=$AW$1),--('2026'!$F$5:$F$500=$B15))+SUMPRODUCT(--('2026'!$A$5:$A$500=$AW$1),--('2026'!$D$5:$D$500=$B15))+SUMPRODUCT(--('2026'!$A$5:$A$500=$AW$1),--('2026'!$G$5:$G$500=$B15))</f>
        <v/>
      </c>
      <c r="AX15" s="50">
        <f>SUMPRODUCT(--('2026'!$A$5:$A$500=$AW$1),--('2026'!$I$5:$I$500=$B15))+SUMPRODUCT(--('2026'!$A$5:$A$500=$AW$1),--('2026'!$J$5:$J$500=$B15))</f>
        <v/>
      </c>
      <c r="BA15" s="54" t="inlineStr">
        <is>
          <t>Shiva</t>
        </is>
      </c>
      <c r="BB15" s="47">
        <f>IF(ISODD(COUNTIF(C15:AX15,"&gt;0")),COUNTIF(C15:AX15,"&gt;0")+1,COUNTIF(C15:AX15,"&gt;0"))/2</f>
        <v/>
      </c>
      <c r="BC15" s="52">
        <f>BB15/15</f>
        <v/>
      </c>
    </row>
    <row r="16" ht="15" customHeight="1" s="106">
      <c r="A16" t="n">
        <v>14</v>
      </c>
      <c r="B16" s="54" t="inlineStr">
        <is>
          <t>Shoaib</t>
        </is>
      </c>
      <c r="C16" s="50">
        <f>SUMPRODUCT(--('2026'!$A$5:$A$500=$C$1),--('2026'!$C$5:$C$500=$B16))+SUMPRODUCT(--('2026'!$A$5:$A$500=$C$1),--('2026'!$F$5:$F$500=$B16))+SUMPRODUCT(--('2026'!$A$5:$A$500=$C$1),--('2026'!$D$5:$D$500=$B16))+SUMPRODUCT(--('2026'!$A$5:$A$500=$C$1),--('2026'!$G$5:$G$500=$B16))</f>
        <v/>
      </c>
      <c r="D16" s="50">
        <f>SUMPRODUCT(--('2026'!$A$5:$A$500=$C$1),--('2026'!$I$5:$I$500=$B16))+SUMPRODUCT(--('2026'!$A$5:$A$500=$C$1),--('2026'!$J$5:$J$500=$B16))</f>
        <v/>
      </c>
      <c r="E16" s="50">
        <f>SUMPRODUCT(--('2026'!$A$5:$A$500=$E$1),--('2026'!$C$5:$C$500=$B16))+SUMPRODUCT(--('2026'!$A$5:$A$500=$E$1),--('2026'!$F$5:$F$500=$B16))+SUMPRODUCT(--('2026'!$A$5:$A$500=$E$1),--('2026'!$D$5:$D$500=$B16))+SUMPRODUCT(--('2026'!$A$5:$A$500=$E$1),--('2026'!$G$5:$G$500=$B16))</f>
        <v/>
      </c>
      <c r="F16" s="50">
        <f>SUMPRODUCT(--('2026'!$A$5:$A$500=$E$1),--('2026'!$I$5:$I$500=$B16))+SUMPRODUCT(--('2026'!$A$5:$A$500=$E$1),--('2026'!$J$5:$J$500=$B16))</f>
        <v/>
      </c>
      <c r="G16" s="50">
        <f>SUMPRODUCT(--('2026'!$A$5:$A$500=$G$1),--('2026'!$C$5:$C$500=$B16))+SUMPRODUCT(--('2026'!$A$5:$A$500=$G$1),--('2026'!$F$5:$F$500=$B16))+SUMPRODUCT(--('2026'!$A$5:$A$500=$G$1),--('2026'!$D$5:$D$500=$B16))+SUMPRODUCT(--('2026'!$A$5:$A$500=$G$1),--('2026'!$G$5:$G$500=$B16))</f>
        <v/>
      </c>
      <c r="H16" s="50">
        <f>SUMPRODUCT(--('2026'!$A$5:$A$500=$G$1),--('2026'!$I$5:$I$500=$B16))+SUMPRODUCT(--('2026'!$A$5:$A$500=$G$1),--('2026'!$J$5:$J$500=$B16))</f>
        <v/>
      </c>
      <c r="I16" s="50">
        <f>SUMPRODUCT(--('2026'!$A$5:$A$500=$I$1),--('2026'!$C$5:$C$500=$B16))+SUMPRODUCT(--('2026'!$A$5:$A$500=$I$1),--('2026'!$F$5:$F$500=$B16))+SUMPRODUCT(--('2026'!$A$5:$A$500=$I$1),--('2026'!$D$5:$D$500=$B16))+SUMPRODUCT(--('2026'!$A$5:$A$500=$I$1),--('2026'!$G$5:$G$500=$B16))</f>
        <v/>
      </c>
      <c r="J16" s="50">
        <f>SUMPRODUCT(--('2026'!$A$5:$A$500=$I$1),--('2026'!$I$5:$I$500=$B16))+SUMPRODUCT(--('2026'!$A$5:$A$500=$I$1),--('2026'!$J$5:$J$500=$B16))</f>
        <v/>
      </c>
      <c r="K16" s="50">
        <f>SUMPRODUCT(--('2026'!$A$5:$A$500=$K$1),--('2026'!$C$5:$C$500=$B16))+SUMPRODUCT(--('2026'!$A$5:$A$500=$K$1),--('2026'!$F$5:$F$500=$B16))+SUMPRODUCT(--('2026'!$A$5:$A$500=$K$1),--('2026'!$D$5:$D$500=$B16))+SUMPRODUCT(--('2026'!$A$5:$A$500=$K$1),--('2026'!$G$5:$G$500=$B16))</f>
        <v/>
      </c>
      <c r="L16" s="50">
        <f>SUMPRODUCT(--('2026'!$A$5:$A$500=$K$1),--('2026'!$I$5:$I$500=$B16))+SUMPRODUCT(--('2026'!$A$5:$A$500=$K$1),--('2026'!$J$5:$J$500=$B16))</f>
        <v/>
      </c>
      <c r="M16" s="50">
        <f>SUMPRODUCT(--('2026'!$A$5:$A$500=$M$1),--('2026'!$C$5:$C$500=$B16))+SUMPRODUCT(--('2026'!$A$5:$A$500=$M$1),--('2026'!$F$5:$F$500=$B16))+SUMPRODUCT(--('2026'!$A$5:$A$500=$M$1),--('2026'!$D$5:$D$500=$B16))+SUMPRODUCT(--('2026'!$A$5:$A$500=$M$1),--('2026'!$G$5:$G$500=$B16))</f>
        <v/>
      </c>
      <c r="N16" s="50">
        <f>SUMPRODUCT(--('2026'!$A$5:$A$500=$M$1),--('2026'!$I$5:$I$500=$B16))+SUMPRODUCT(--('2026'!$A$5:$A$500=$M$1),--('2026'!$J$5:$J$500=$B16))</f>
        <v/>
      </c>
      <c r="O16" s="50">
        <f>SUMPRODUCT(--('2026'!$A$5:$A$500=$O$1),--('2026'!$C$5:$C$500=$B16))+SUMPRODUCT(--('2026'!$A$5:$A$500=$O$1),--('2026'!$F$5:$F$500=$B16))+SUMPRODUCT(--('2026'!$A$5:$A$500=$O$1),--('2026'!$D$5:$D$500=$B16))+SUMPRODUCT(--('2026'!$A$5:$A$500=$O$1),--('2026'!$G$5:$G$500=$B16))</f>
        <v/>
      </c>
      <c r="P16" s="50">
        <f>SUMPRODUCT(--('2026'!$A$5:$A$500=$O$1),--('2026'!$I$5:$I$500=$B16))+SUMPRODUCT(--('2026'!$A$5:$A$500=$O$1),--('2026'!$J$5:$J$500=$B16))</f>
        <v/>
      </c>
      <c r="Q16" s="50">
        <f>SUMPRODUCT(--('2026'!$A$5:$A$500=$Q$1),--('2026'!$C$5:$C$500=$B16))+SUMPRODUCT(--('2026'!$A$5:$A$500=$Q$1),--('2026'!$F$5:$F$500=$B16))+SUMPRODUCT(--('2026'!$A$5:$A$500=$Q$1),--('2026'!$D$5:$D$500=$B16))+SUMPRODUCT(--('2026'!$A$5:$A$500=$Q$1),--('2026'!$G$5:$G$500=$B16))</f>
        <v/>
      </c>
      <c r="R16" s="50">
        <f>SUMPRODUCT(--('2026'!$A$5:$A$500=$Q$1),--('2026'!$I$5:$I$500=$B16))+SUMPRODUCT(--('2026'!$A$5:$A$500=$Q$1),--('2026'!$J$5:$J$500=$B16))</f>
        <v/>
      </c>
      <c r="S16" s="50">
        <f>SUMPRODUCT(--('2026'!$A$5:$A$500=$S$1),--('2026'!$C$5:$C$500=$B16))+SUMPRODUCT(--('2026'!$A$5:$A$500=$S$1),--('2026'!$F$5:$F$500=$B16))+SUMPRODUCT(--('2026'!$A$5:$A$500=$S$1),--('2026'!$D$5:$D$500=$B16))+SUMPRODUCT(--('2026'!$A$5:$A$500=$S$1),--('2026'!$G$5:$G$500=$B16))</f>
        <v/>
      </c>
      <c r="T16" s="50">
        <f>SUMPRODUCT(--('2026'!$A$5:$A$500=$S$1),--('2026'!$I$5:$I$500=$B16))+SUMPRODUCT(--('2026'!$A$5:$A$500=$S$1),--('2026'!$J$5:$J$500=$B16))</f>
        <v/>
      </c>
      <c r="U16" s="50">
        <f>SUMPRODUCT(--('2026'!$A$5:$A$500=$U$1),--('2026'!$C$5:$C$500=$B16))+SUMPRODUCT(--('2026'!$A$5:$A$500=$U$1),--('2026'!$F$5:$F$500=$B16))+SUMPRODUCT(--('2026'!$A$5:$A$500=$U$1),--('2026'!$D$5:$D$500=$B16))+SUMPRODUCT(--('2026'!$A$5:$A$500=$U$1),--('2026'!$G$5:$G$500=$B16))</f>
        <v/>
      </c>
      <c r="V16" s="50">
        <f>SUMPRODUCT(--('2026'!$A$5:$A$500=$U$1),--('2026'!$I$5:$I$500=$B16))+SUMPRODUCT(--('2026'!$A$5:$A$500=$U$1),--('2026'!$J$5:$J$500=$B16))</f>
        <v/>
      </c>
      <c r="W16" s="60">
        <f>SUMPRODUCT(--('2026'!$A$5:$A$500=$W$1),--('2026'!$C$5:$C$500=$B16))+SUMPRODUCT(--('2026'!$A$5:$A$500=$W$1),--('2026'!$F$5:$F$500=$B16))+SUMPRODUCT(--('2026'!$A$5:$A$500=$W$1),--('2026'!$D$5:$D$500=$B16))+SUMPRODUCT(--('2026'!$A$5:$A$500=$W$1),--('2026'!$G$5:$G$500=$B16))</f>
        <v/>
      </c>
      <c r="X16" s="60">
        <f>SUMPRODUCT(--('2026'!$A$5:$A$500=$W$1),--('2026'!$I$5:$I$500=$B16))+SUMPRODUCT(--('2026'!$A$5:$A$500=$W$1),--('2026'!$J$5:$J$500=$B16))</f>
        <v/>
      </c>
      <c r="Y16" s="50">
        <f>SUMPRODUCT(--('2026'!$A$5:$A$500=$Y$1),--('2026'!$C$5:$C$500=$B16))+SUMPRODUCT(--('2026'!$A$5:$A$500=$Y$1),--('2026'!$F$5:$F$500=$B16))+SUMPRODUCT(--('2026'!$A$5:$A$500=$Y$1),--('2026'!$D$5:$D$500=$B16))+SUMPRODUCT(--('2026'!$A$5:$A$500=$Y$1),--('2026'!$G$5:$G$500=$B16))</f>
        <v/>
      </c>
      <c r="Z16" s="50">
        <f>SUMPRODUCT(--('2026'!$A$5:$A$500=$Y$1),--('2026'!$I$5:$I$500=$B16))+SUMPRODUCT(--('2026'!$A$5:$A$500=$Y$1),--('2026'!$J$5:$J$500=$B16))</f>
        <v/>
      </c>
      <c r="AA16" s="50">
        <f>SUMPRODUCT(--('2026'!$A$5:$A$500=$AA$1),--('2026'!$C$5:$C$500=$B16))+SUMPRODUCT(--('2026'!$A$5:$A$500=$AA$1),--('2026'!$F$5:$F$500=$B16))+SUMPRODUCT(--('2026'!$A$5:$A$500=$AA$1),--('2026'!$D$5:$D$500=$B16))+SUMPRODUCT(--('2026'!$A$5:$A$500=$AA$1),--('2026'!$G$5:$G$500=$B16))</f>
        <v/>
      </c>
      <c r="AB16" s="50">
        <f>SUMPRODUCT(--('2026'!$A$5:$A$500=$AA$1),--('2026'!$I$5:$I$500=$B16))+SUMPRODUCT(--('2026'!$A$5:$A$500=$AA$1),--('2026'!$J$5:$J$500=$B16))</f>
        <v/>
      </c>
      <c r="AC16" s="50">
        <f>SUMPRODUCT(--('2026'!$A$5:$A$500=$AC$1),--('2026'!$C$5:$C$500=$B16))+SUMPRODUCT(--('2026'!$A$5:$A$500=$AC$1),--('2026'!$F$5:$F$500=$B16))+SUMPRODUCT(--('2026'!$A$5:$A$500=$AC$1),--('2026'!$D$5:$D$500=$B16))+SUMPRODUCT(--('2026'!$A$5:$A$500=$AC$1),--('2026'!$G$5:$G$500=$B16))</f>
        <v/>
      </c>
      <c r="AD16" s="50">
        <f>SUMPRODUCT(--('2026'!$A$5:$A$500=$AC$1),--('2026'!$I$5:$I$500=$B16))+SUMPRODUCT(--('2026'!$A$5:$A$500=$AC$1),--('2026'!$J$5:$J$500=$B16))</f>
        <v/>
      </c>
      <c r="AE16" s="60">
        <f>SUMPRODUCT(--('2026'!$A$5:$A$500=$AE$1),--('2026'!$C$5:$C$500=$B16))+SUMPRODUCT(--('2026'!$A$5:$A$500=$AE$1),--('2026'!$F$5:$F$500=$B16))+SUMPRODUCT(--('2026'!$A$5:$A$500=$AE$1),--('2026'!$D$5:$D$500=$B16))+SUMPRODUCT(--('2026'!$A$5:$A$500=$AE$1),--('2026'!$G$5:$G$500=$B16))</f>
        <v/>
      </c>
      <c r="AF16" s="60">
        <f>SUMPRODUCT(--('2026'!$A$5:$A$500=$AE$1),--('2026'!$I$5:$I$500=$B16))+SUMPRODUCT(--('2026'!$A$5:$A$500=$AE$1),--('2026'!$J$5:$J$500=$B16))</f>
        <v/>
      </c>
      <c r="AG16" s="50">
        <f>SUMPRODUCT(--('2026'!$A$5:$A$500=$AG$1),--('2026'!$C$5:$C$500=$B16))+SUMPRODUCT(--('2026'!$A$5:$A$500=$AG$1),--('2026'!$F$5:$F$500=$B16))+SUMPRODUCT(--('2026'!$A$5:$A$500=$AG$1),--('2026'!$D$5:$D$500=$B16))+SUMPRODUCT(--('2026'!$A$5:$A$500=$AG$1),--('2026'!$G$5:$G$500=$B16))</f>
        <v/>
      </c>
      <c r="AH16" s="50">
        <f>SUMPRODUCT(--('2026'!$A$5:$A$500=$AG$1),--('2026'!$I$5:$I$500=$B16))+SUMPRODUCT(--('2026'!$A$5:$A$500=$AG$1),--('2026'!$J$5:$J$500=$B16))</f>
        <v/>
      </c>
      <c r="AI16" s="50">
        <f>SUMPRODUCT(--('2026'!$A$5:$A$500=$AI$1),--('2026'!$C$5:$C$500=$B16))+SUMPRODUCT(--('2026'!$A$5:$A$500=$AI$1),--('2026'!$F$5:$F$500=$B16))+SUMPRODUCT(--('2026'!$A$5:$A$500=$AI$1),--('2026'!$D$5:$D$500=$B16))+SUMPRODUCT(--('2026'!$A$5:$A$500=$AI$1),--('2026'!$G$5:$G$500=$B16))</f>
        <v/>
      </c>
      <c r="AJ16" s="50">
        <f>SUMPRODUCT(--('2026'!$A$5:$A$500=$AI$1),--('2026'!$I$5:$I$500=$B16))+SUMPRODUCT(--('2026'!$A$5:$A$500=$AI$1),--('2026'!$J$5:$J$500=$B16))</f>
        <v/>
      </c>
      <c r="AK16" s="50">
        <f>SUMPRODUCT(--('2026'!$A$5:$A$500=$AK$1),--('2026'!$C$5:$C$500=$B16))+SUMPRODUCT(--('2026'!$A$5:$A$500=$AK$1),--('2026'!$F$5:$F$500=$B16))+SUMPRODUCT(--('2026'!$A$5:$A$500=$AK$1),--('2026'!$D$5:$D$500=$B16))+SUMPRODUCT(--('2026'!$A$5:$A$500=$AK$1),--('2026'!$G$5:$G$500=$B16))</f>
        <v/>
      </c>
      <c r="AL16" s="50">
        <f>SUMPRODUCT(--('2026'!$A$5:$A$500=$AK$1),--('2026'!$I$5:$I$500=$B16))+SUMPRODUCT(--('2026'!$A$5:$A$500=$AK$1),--('2026'!$J$5:$J$500=$B16))</f>
        <v/>
      </c>
      <c r="AM16" s="50">
        <f>SUMPRODUCT(--('2026'!$A$5:$A$500=$AM$1),--('2026'!$C$5:$C$500=$B16))+SUMPRODUCT(--('2026'!$A$5:$A$500=$AM$1),--('2026'!$F$5:$F$500=$B16))+SUMPRODUCT(--('2026'!$A$5:$A$500=$AM$1),--('2026'!$D$5:$D$500=$B16))+SUMPRODUCT(--('2026'!$A$5:$A$500=$AM$1),--('2026'!$G$5:$G$500=$B16))</f>
        <v/>
      </c>
      <c r="AN16" s="50">
        <f>SUMPRODUCT(--('2026'!$A$5:$A$500=$AM$1),--('2026'!$I$5:$I$500=$B16))+SUMPRODUCT(--('2026'!$A$5:$A$500=$AM$1),--('2026'!$J$5:$J$500=$B16))</f>
        <v/>
      </c>
      <c r="AO16" s="50">
        <f>SUMPRODUCT(--('2026'!$A$5:$A$500=$AO$1),--('2026'!$C$5:$C$500=$B16))+SUMPRODUCT(--('2026'!$A$5:$A$500=$AO$1),--('2026'!$F$5:$F$500=$B16))+SUMPRODUCT(--('2026'!$A$5:$A$500=$AO$1),--('2026'!$D$5:$D$500=$B16))+SUMPRODUCT(--('2026'!$A$5:$A$500=$AO$1),--('2026'!$G$5:$G$500=$B16))</f>
        <v/>
      </c>
      <c r="AP16" s="50">
        <f>SUMPRODUCT(--('2026'!$A$5:$A$500=$AO$1),--('2026'!$I$5:$I$500=$B16))+SUMPRODUCT(--('2026'!$A$5:$A$500=$AO$1),--('2026'!$J$5:$J$500=$B16))</f>
        <v/>
      </c>
      <c r="AQ16" s="50">
        <f>SUMPRODUCT(--('2026'!$A$5:$A$500=$AQ$1),--('2026'!$C$5:$C$500=$B16))+SUMPRODUCT(--('2026'!$A$5:$A$500=$AQ$1),--('2026'!$F$5:$F$500=$B16))+SUMPRODUCT(--('2026'!$A$5:$A$500=$AQ$1),--('2026'!$D$5:$D$500=$B16))+SUMPRODUCT(--('2026'!$A$5:$A$500=$AQ$1),--('2026'!$G$5:$G$500=$B16))</f>
        <v/>
      </c>
      <c r="AR16" s="50">
        <f>SUMPRODUCT(--('2026'!$A$5:$A$500=$AQ$1),--('2026'!$I$5:$I$500=$B16))+SUMPRODUCT(--('2026'!$A$5:$A$500=$AQ$1),--('2026'!$J$5:$J$500=$B16))</f>
        <v/>
      </c>
      <c r="AS16" s="50">
        <f>SUMPRODUCT(--('2026'!$A$5:$A$500=$AS$1),--('2026'!$C$5:$C$500=$B16))+SUMPRODUCT(--('2026'!$A$5:$A$500=$AS$1),--('2026'!$F$5:$F$500=$B16))+SUMPRODUCT(--('2026'!$A$5:$A$500=$AS$1),--('2026'!$D$5:$D$500=$B16))+SUMPRODUCT(--('2026'!$A$5:$A$500=$AS$1),--('2026'!$G$5:$G$500=$B16))</f>
        <v/>
      </c>
      <c r="AT16" s="50">
        <f>SUMPRODUCT(--('2026'!$A$5:$A$500=$AS$1),--('2026'!$I$5:$I$500=$B16))+SUMPRODUCT(--('2026'!$A$5:$A$500=$AS$1),--('2026'!$J$5:$J$500=$B16))</f>
        <v/>
      </c>
      <c r="AU16" s="50">
        <f>SUMPRODUCT(--('2026'!$A$5:$A$500=$AU$1),--('2026'!$C$5:$C$500=$B16))+SUMPRODUCT(--('2026'!$A$5:$A$500=$AU$1),--('2026'!$F$5:$F$500=$B16))+SUMPRODUCT(--('2026'!$A$5:$A$500=$AU$1),--('2026'!$D$5:$D$500=$B16))+SUMPRODUCT(--('2026'!$A$5:$A$500=$AU$1),--('2026'!$G$5:$G$500=$B16))</f>
        <v/>
      </c>
      <c r="AV16" s="50">
        <f>SUMPRODUCT(--('2026'!$A$5:$A$500=$AU$1),--('2026'!$I$5:$I$500=$B16))+SUMPRODUCT(--('2026'!$A$5:$A$500=$AU$1),--('2026'!$J$5:$J$500=$B16))</f>
        <v/>
      </c>
      <c r="AW16" s="50">
        <f>SUMPRODUCT(--('2026'!$A$5:$A$500=$AW$1),--('2026'!$C$5:$C$500=$B16))+SUMPRODUCT(--('2026'!$A$5:$A$500=$AW$1),--('2026'!$F$5:$F$500=$B16))+SUMPRODUCT(--('2026'!$A$5:$A$500=$AW$1),--('2026'!$D$5:$D$500=$B16))+SUMPRODUCT(--('2026'!$A$5:$A$500=$AW$1),--('2026'!$G$5:$G$500=$B16))</f>
        <v/>
      </c>
      <c r="AX16" s="50">
        <f>SUMPRODUCT(--('2026'!$A$5:$A$500=$AW$1),--('2026'!$I$5:$I$500=$B16))+SUMPRODUCT(--('2026'!$A$5:$A$500=$AW$1),--('2026'!$J$5:$J$500=$B16))</f>
        <v/>
      </c>
      <c r="BA16" s="54" t="inlineStr">
        <is>
          <t>Shoaib</t>
        </is>
      </c>
      <c r="BB16" s="47">
        <f>IF(ISODD(COUNTIF(C16:AX16,"&gt;0")),COUNTIF(C16:AX16,"&gt;0")+1,COUNTIF(C16:AX16,"&gt;0"))/2</f>
        <v/>
      </c>
      <c r="BC16" s="52">
        <f>BB16/15</f>
        <v/>
      </c>
    </row>
    <row r="17" ht="15" customHeight="1" s="106">
      <c r="A17" t="n">
        <v>15</v>
      </c>
      <c r="B17" s="54" t="inlineStr">
        <is>
          <t>Sengole</t>
        </is>
      </c>
      <c r="C17" s="50">
        <f>SUMPRODUCT(--('2026'!$A$5:$A$500=$C$1),--('2026'!$C$5:$C$500=$B17))+SUMPRODUCT(--('2026'!$A$5:$A$500=$C$1),--('2026'!$F$5:$F$500=$B17))+SUMPRODUCT(--('2026'!$A$5:$A$500=$C$1),--('2026'!$D$5:$D$500=$B17))+SUMPRODUCT(--('2026'!$A$5:$A$500=$C$1),--('2026'!$G$5:$G$500=$B17))</f>
        <v/>
      </c>
      <c r="D17" s="50">
        <f>SUMPRODUCT(--('2026'!$A$5:$A$500=$C$1),--('2026'!$I$5:$I$500=$B17))+SUMPRODUCT(--('2026'!$A$5:$A$500=$C$1),--('2026'!$J$5:$J$500=$B17))</f>
        <v/>
      </c>
      <c r="E17" s="50">
        <f>SUMPRODUCT(--('2026'!$A$5:$A$500=$E$1),--('2026'!$C$5:$C$500=$B17))+SUMPRODUCT(--('2026'!$A$5:$A$500=$E$1),--('2026'!$F$5:$F$500=$B17))+SUMPRODUCT(--('2026'!$A$5:$A$500=$E$1),--('2026'!$D$5:$D$500=$B17))+SUMPRODUCT(--('2026'!$A$5:$A$500=$E$1),--('2026'!$G$5:$G$500=$B17))</f>
        <v/>
      </c>
      <c r="F17" s="50">
        <f>SUMPRODUCT(--('2026'!$A$5:$A$500=$E$1),--('2026'!$I$5:$I$500=$B17))+SUMPRODUCT(--('2026'!$A$5:$A$500=$E$1),--('2026'!$J$5:$J$500=$B17))</f>
        <v/>
      </c>
      <c r="G17" s="50">
        <f>SUMPRODUCT(--('2026'!$A$5:$A$500=$G$1),--('2026'!$C$5:$C$500=$B17))+SUMPRODUCT(--('2026'!$A$5:$A$500=$G$1),--('2026'!$F$5:$F$500=$B17))+SUMPRODUCT(--('2026'!$A$5:$A$500=$G$1),--('2026'!$D$5:$D$500=$B17))+SUMPRODUCT(--('2026'!$A$5:$A$500=$G$1),--('2026'!$G$5:$G$500=$B17))</f>
        <v/>
      </c>
      <c r="H17" s="50">
        <f>SUMPRODUCT(--('2026'!$A$5:$A$500=$G$1),--('2026'!$I$5:$I$500=$B17))+SUMPRODUCT(--('2026'!$A$5:$A$500=$G$1),--('2026'!$J$5:$J$500=$B17))</f>
        <v/>
      </c>
      <c r="I17" s="50">
        <f>SUMPRODUCT(--('2026'!$A$5:$A$500=$I$1),--('2026'!$C$5:$C$500=$B17))+SUMPRODUCT(--('2026'!$A$5:$A$500=$I$1),--('2026'!$F$5:$F$500=$B17))+SUMPRODUCT(--('2026'!$A$5:$A$500=$I$1),--('2026'!$D$5:$D$500=$B17))+SUMPRODUCT(--('2026'!$A$5:$A$500=$I$1),--('2026'!$G$5:$G$500=$B17))</f>
        <v/>
      </c>
      <c r="J17" s="50">
        <f>SUMPRODUCT(--('2026'!$A$5:$A$500=$I$1),--('2026'!$I$5:$I$500=$B17))+SUMPRODUCT(--('2026'!$A$5:$A$500=$I$1),--('2026'!$J$5:$J$500=$B17))</f>
        <v/>
      </c>
      <c r="K17" s="50">
        <f>SUMPRODUCT(--('2026'!$A$5:$A$500=$K$1),--('2026'!$C$5:$C$500=$B17))+SUMPRODUCT(--('2026'!$A$5:$A$500=$K$1),--('2026'!$F$5:$F$500=$B17))+SUMPRODUCT(--('2026'!$A$5:$A$500=$K$1),--('2026'!$D$5:$D$500=$B17))+SUMPRODUCT(--('2026'!$A$5:$A$500=$K$1),--('2026'!$G$5:$G$500=$B17))</f>
        <v/>
      </c>
      <c r="L17" s="50">
        <f>SUMPRODUCT(--('2026'!$A$5:$A$500=$K$1),--('2026'!$I$5:$I$500=$B17))+SUMPRODUCT(--('2026'!$A$5:$A$500=$K$1),--('2026'!$J$5:$J$500=$B17))</f>
        <v/>
      </c>
      <c r="M17" s="50">
        <f>SUMPRODUCT(--('2026'!$A$5:$A$500=$M$1),--('2026'!$C$5:$C$500=$B17))+SUMPRODUCT(--('2026'!$A$5:$A$500=$M$1),--('2026'!$F$5:$F$500=$B17))+SUMPRODUCT(--('2026'!$A$5:$A$500=$M$1),--('2026'!$D$5:$D$500=$B17))+SUMPRODUCT(--('2026'!$A$5:$A$500=$M$1),--('2026'!$G$5:$G$500=$B17))</f>
        <v/>
      </c>
      <c r="N17" s="50">
        <f>SUMPRODUCT(--('2026'!$A$5:$A$500=$M$1),--('2026'!$I$5:$I$500=$B17))+SUMPRODUCT(--('2026'!$A$5:$A$500=$M$1),--('2026'!$J$5:$J$500=$B17))</f>
        <v/>
      </c>
      <c r="O17" s="50">
        <f>SUMPRODUCT(--('2026'!$A$5:$A$500=$O$1),--('2026'!$C$5:$C$500=$B17))+SUMPRODUCT(--('2026'!$A$5:$A$500=$O$1),--('2026'!$F$5:$F$500=$B17))+SUMPRODUCT(--('2026'!$A$5:$A$500=$O$1),--('2026'!$D$5:$D$500=$B17))+SUMPRODUCT(--('2026'!$A$5:$A$500=$O$1),--('2026'!$G$5:$G$500=$B17))</f>
        <v/>
      </c>
      <c r="P17" s="50">
        <f>SUMPRODUCT(--('2026'!$A$5:$A$500=$O$1),--('2026'!$I$5:$I$500=$B17))+SUMPRODUCT(--('2026'!$A$5:$A$500=$O$1),--('2026'!$J$5:$J$500=$B17))</f>
        <v/>
      </c>
      <c r="Q17" s="50">
        <f>SUMPRODUCT(--('2026'!$A$5:$A$500=$Q$1),--('2026'!$C$5:$C$500=$B17))+SUMPRODUCT(--('2026'!$A$5:$A$500=$Q$1),--('2026'!$F$5:$F$500=$B17))+SUMPRODUCT(--('2026'!$A$5:$A$500=$Q$1),--('2026'!$D$5:$D$500=$B17))+SUMPRODUCT(--('2026'!$A$5:$A$500=$Q$1),--('2026'!$G$5:$G$500=$B17))</f>
        <v/>
      </c>
      <c r="R17" s="50">
        <f>SUMPRODUCT(--('2026'!$A$5:$A$500=$Q$1),--('2026'!$I$5:$I$500=$B17))+SUMPRODUCT(--('2026'!$A$5:$A$500=$Q$1),--('2026'!$J$5:$J$500=$B17))</f>
        <v/>
      </c>
      <c r="S17" s="50">
        <f>SUMPRODUCT(--('2026'!$A$5:$A$500=$S$1),--('2026'!$C$5:$C$500=$B17))+SUMPRODUCT(--('2026'!$A$5:$A$500=$S$1),--('2026'!$F$5:$F$500=$B17))+SUMPRODUCT(--('2026'!$A$5:$A$500=$S$1),--('2026'!$D$5:$D$500=$B17))+SUMPRODUCT(--('2026'!$A$5:$A$500=$S$1),--('2026'!$G$5:$G$500=$B17))</f>
        <v/>
      </c>
      <c r="T17" s="50">
        <f>SUMPRODUCT(--('2026'!$A$5:$A$500=$S$1),--('2026'!$I$5:$I$500=$B17))+SUMPRODUCT(--('2026'!$A$5:$A$500=$S$1),--('2026'!$J$5:$J$500=$B17))</f>
        <v/>
      </c>
      <c r="U17" s="50">
        <f>SUMPRODUCT(--('2026'!$A$5:$A$500=$U$1),--('2026'!$C$5:$C$500=$B17))+SUMPRODUCT(--('2026'!$A$5:$A$500=$U$1),--('2026'!$F$5:$F$500=$B17))+SUMPRODUCT(--('2026'!$A$5:$A$500=$U$1),--('2026'!$D$5:$D$500=$B17))+SUMPRODUCT(--('2026'!$A$5:$A$500=$U$1),--('2026'!$G$5:$G$500=$B17))</f>
        <v/>
      </c>
      <c r="V17" s="50">
        <f>SUMPRODUCT(--('2026'!$A$5:$A$500=$U$1),--('2026'!$I$5:$I$500=$B17))+SUMPRODUCT(--('2026'!$A$5:$A$500=$U$1),--('2026'!$J$5:$J$500=$B17))</f>
        <v/>
      </c>
      <c r="W17" s="60">
        <f>SUMPRODUCT(--('2026'!$A$5:$A$500=$W$1),--('2026'!$C$5:$C$500=$B17))+SUMPRODUCT(--('2026'!$A$5:$A$500=$W$1),--('2026'!$F$5:$F$500=$B17))+SUMPRODUCT(--('2026'!$A$5:$A$500=$W$1),--('2026'!$D$5:$D$500=$B17))+SUMPRODUCT(--('2026'!$A$5:$A$500=$W$1),--('2026'!$G$5:$G$500=$B17))</f>
        <v/>
      </c>
      <c r="X17" s="60">
        <f>SUMPRODUCT(--('2026'!$A$5:$A$500=$W$1),--('2026'!$I$5:$I$500=$B17))+SUMPRODUCT(--('2026'!$A$5:$A$500=$W$1),--('2026'!$J$5:$J$500=$B17))</f>
        <v/>
      </c>
      <c r="Y17" s="50">
        <f>SUMPRODUCT(--('2026'!$A$5:$A$500=$Y$1),--('2026'!$C$5:$C$500=$B17))+SUMPRODUCT(--('2026'!$A$5:$A$500=$Y$1),--('2026'!$F$5:$F$500=$B17))+SUMPRODUCT(--('2026'!$A$5:$A$500=$Y$1),--('2026'!$D$5:$D$500=$B17))+SUMPRODUCT(--('2026'!$A$5:$A$500=$Y$1),--('2026'!$G$5:$G$500=$B17))</f>
        <v/>
      </c>
      <c r="Z17" s="50">
        <f>SUMPRODUCT(--('2026'!$A$5:$A$500=$Y$1),--('2026'!$I$5:$I$500=$B17))+SUMPRODUCT(--('2026'!$A$5:$A$500=$Y$1),--('2026'!$J$5:$J$500=$B17))</f>
        <v/>
      </c>
      <c r="AA17" s="50">
        <f>SUMPRODUCT(--('2026'!$A$5:$A$500=$AA$1),--('2026'!$C$5:$C$500=$B17))+SUMPRODUCT(--('2026'!$A$5:$A$500=$AA$1),--('2026'!$F$5:$F$500=$B17))+SUMPRODUCT(--('2026'!$A$5:$A$500=$AA$1),--('2026'!$D$5:$D$500=$B17))+SUMPRODUCT(--('2026'!$A$5:$A$500=$AA$1),--('2026'!$G$5:$G$500=$B17))</f>
        <v/>
      </c>
      <c r="AB17" s="50">
        <f>SUMPRODUCT(--('2026'!$A$5:$A$500=$AA$1),--('2026'!$I$5:$I$500=$B17))+SUMPRODUCT(--('2026'!$A$5:$A$500=$AA$1),--('2026'!$J$5:$J$500=$B17))</f>
        <v/>
      </c>
      <c r="AC17" s="50">
        <f>SUMPRODUCT(--('2026'!$A$5:$A$500=$AC$1),--('2026'!$C$5:$C$500=$B17))+SUMPRODUCT(--('2026'!$A$5:$A$500=$AC$1),--('2026'!$F$5:$F$500=$B17))+SUMPRODUCT(--('2026'!$A$5:$A$500=$AC$1),--('2026'!$D$5:$D$500=$B17))+SUMPRODUCT(--('2026'!$A$5:$A$500=$AC$1),--('2026'!$G$5:$G$500=$B17))</f>
        <v/>
      </c>
      <c r="AD17" s="50">
        <f>SUMPRODUCT(--('2026'!$A$5:$A$500=$AC$1),--('2026'!$I$5:$I$500=$B17))+SUMPRODUCT(--('2026'!$A$5:$A$500=$AC$1),--('2026'!$J$5:$J$500=$B17))</f>
        <v/>
      </c>
      <c r="AE17" s="60">
        <f>SUMPRODUCT(--('2026'!$A$5:$A$500=$AE$1),--('2026'!$C$5:$C$500=$B17))+SUMPRODUCT(--('2026'!$A$5:$A$500=$AE$1),--('2026'!$F$5:$F$500=$B17))+SUMPRODUCT(--('2026'!$A$5:$A$500=$AE$1),--('2026'!$D$5:$D$500=$B17))+SUMPRODUCT(--('2026'!$A$5:$A$500=$AE$1),--('2026'!$G$5:$G$500=$B17))</f>
        <v/>
      </c>
      <c r="AF17" s="60">
        <f>SUMPRODUCT(--('2026'!$A$5:$A$500=$AE$1),--('2026'!$I$5:$I$500=$B17))+SUMPRODUCT(--('2026'!$A$5:$A$500=$AE$1),--('2026'!$J$5:$J$500=$B17))</f>
        <v/>
      </c>
      <c r="AG17" s="50">
        <f>SUMPRODUCT(--('2026'!$A$5:$A$500=$AG$1),--('2026'!$C$5:$C$500=$B17))+SUMPRODUCT(--('2026'!$A$5:$A$500=$AG$1),--('2026'!$F$5:$F$500=$B17))+SUMPRODUCT(--('2026'!$A$5:$A$500=$AG$1),--('2026'!$D$5:$D$500=$B17))+SUMPRODUCT(--('2026'!$A$5:$A$500=$AG$1),--('2026'!$G$5:$G$500=$B17))</f>
        <v/>
      </c>
      <c r="AH17" s="50">
        <f>SUMPRODUCT(--('2026'!$A$5:$A$500=$AG$1),--('2026'!$I$5:$I$500=$B17))+SUMPRODUCT(--('2026'!$A$5:$A$500=$AG$1),--('2026'!$J$5:$J$500=$B17))</f>
        <v/>
      </c>
      <c r="AI17" s="50">
        <f>SUMPRODUCT(--('2026'!$A$5:$A$500=$AI$1),--('2026'!$C$5:$C$500=$B17))+SUMPRODUCT(--('2026'!$A$5:$A$500=$AI$1),--('2026'!$F$5:$F$500=$B17))+SUMPRODUCT(--('2026'!$A$5:$A$500=$AI$1),--('2026'!$D$5:$D$500=$B17))+SUMPRODUCT(--('2026'!$A$5:$A$500=$AI$1),--('2026'!$G$5:$G$500=$B17))</f>
        <v/>
      </c>
      <c r="AJ17" s="50">
        <f>SUMPRODUCT(--('2026'!$A$5:$A$500=$AI$1),--('2026'!$I$5:$I$500=$B17))+SUMPRODUCT(--('2026'!$A$5:$A$500=$AI$1),--('2026'!$J$5:$J$500=$B17))</f>
        <v/>
      </c>
      <c r="AK17" s="50">
        <f>SUMPRODUCT(--('2026'!$A$5:$A$500=$AK$1),--('2026'!$C$5:$C$500=$B17))+SUMPRODUCT(--('2026'!$A$5:$A$500=$AK$1),--('2026'!$F$5:$F$500=$B17))+SUMPRODUCT(--('2026'!$A$5:$A$500=$AK$1),--('2026'!$D$5:$D$500=$B17))+SUMPRODUCT(--('2026'!$A$5:$A$500=$AK$1),--('2026'!$G$5:$G$500=$B17))</f>
        <v/>
      </c>
      <c r="AL17" s="50">
        <f>SUMPRODUCT(--('2026'!$A$5:$A$500=$AK$1),--('2026'!$I$5:$I$500=$B17))+SUMPRODUCT(--('2026'!$A$5:$A$500=$AK$1),--('2026'!$J$5:$J$500=$B17))</f>
        <v/>
      </c>
      <c r="AM17" s="50">
        <f>SUMPRODUCT(--('2026'!$A$5:$A$500=$AM$1),--('2026'!$C$5:$C$500=$B17))+SUMPRODUCT(--('2026'!$A$5:$A$500=$AM$1),--('2026'!$F$5:$F$500=$B17))+SUMPRODUCT(--('2026'!$A$5:$A$500=$AM$1),--('2026'!$D$5:$D$500=$B17))+SUMPRODUCT(--('2026'!$A$5:$A$500=$AM$1),--('2026'!$G$5:$G$500=$B17))</f>
        <v/>
      </c>
      <c r="AN17" s="50">
        <f>SUMPRODUCT(--('2026'!$A$5:$A$500=$AM$1),--('2026'!$I$5:$I$500=$B17))+SUMPRODUCT(--('2026'!$A$5:$A$500=$AM$1),--('2026'!$J$5:$J$500=$B17))</f>
        <v/>
      </c>
      <c r="AO17" s="50">
        <f>SUMPRODUCT(--('2026'!$A$5:$A$500=$AO$1),--('2026'!$C$5:$C$500=$B17))+SUMPRODUCT(--('2026'!$A$5:$A$500=$AO$1),--('2026'!$F$5:$F$500=$B17))+SUMPRODUCT(--('2026'!$A$5:$A$500=$AO$1),--('2026'!$D$5:$D$500=$B17))+SUMPRODUCT(--('2026'!$A$5:$A$500=$AO$1),--('2026'!$G$5:$G$500=$B17))</f>
        <v/>
      </c>
      <c r="AP17" s="50">
        <f>SUMPRODUCT(--('2026'!$A$5:$A$500=$AO$1),--('2026'!$I$5:$I$500=$B17))+SUMPRODUCT(--('2026'!$A$5:$A$500=$AO$1),--('2026'!$J$5:$J$500=$B17))</f>
        <v/>
      </c>
      <c r="AQ17" s="50">
        <f>SUMPRODUCT(--('2026'!$A$5:$A$500=$AQ$1),--('2026'!$C$5:$C$500=$B17))+SUMPRODUCT(--('2026'!$A$5:$A$500=$AQ$1),--('2026'!$F$5:$F$500=$B17))+SUMPRODUCT(--('2026'!$A$5:$A$500=$AQ$1),--('2026'!$D$5:$D$500=$B17))+SUMPRODUCT(--('2026'!$A$5:$A$500=$AQ$1),--('2026'!$G$5:$G$500=$B17))</f>
        <v/>
      </c>
      <c r="AR17" s="50">
        <f>SUMPRODUCT(--('2026'!$A$5:$A$500=$AQ$1),--('2026'!$I$5:$I$500=$B17))+SUMPRODUCT(--('2026'!$A$5:$A$500=$AQ$1),--('2026'!$J$5:$J$500=$B17))</f>
        <v/>
      </c>
      <c r="AS17" s="50">
        <f>SUMPRODUCT(--('2026'!$A$5:$A$500=$AS$1),--('2026'!$C$5:$C$500=$B17))+SUMPRODUCT(--('2026'!$A$5:$A$500=$AS$1),--('2026'!$F$5:$F$500=$B17))+SUMPRODUCT(--('2026'!$A$5:$A$500=$AS$1),--('2026'!$D$5:$D$500=$B17))+SUMPRODUCT(--('2026'!$A$5:$A$500=$AS$1),--('2026'!$G$5:$G$500=$B17))</f>
        <v/>
      </c>
      <c r="AT17" s="50">
        <f>SUMPRODUCT(--('2026'!$A$5:$A$500=$AS$1),--('2026'!$I$5:$I$500=$B17))+SUMPRODUCT(--('2026'!$A$5:$A$500=$AS$1),--('2026'!$J$5:$J$500=$B17))</f>
        <v/>
      </c>
      <c r="AU17" s="50">
        <f>SUMPRODUCT(--('2026'!$A$5:$A$500=$AU$1),--('2026'!$C$5:$C$500=$B17))+SUMPRODUCT(--('2026'!$A$5:$A$500=$AU$1),--('2026'!$F$5:$F$500=$B17))+SUMPRODUCT(--('2026'!$A$5:$A$500=$AU$1),--('2026'!$D$5:$D$500=$B17))+SUMPRODUCT(--('2026'!$A$5:$A$500=$AU$1),--('2026'!$G$5:$G$500=$B17))</f>
        <v/>
      </c>
      <c r="AV17" s="50">
        <f>SUMPRODUCT(--('2026'!$A$5:$A$500=$AU$1),--('2026'!$I$5:$I$500=$B17))+SUMPRODUCT(--('2026'!$A$5:$A$500=$AU$1),--('2026'!$J$5:$J$500=$B17))</f>
        <v/>
      </c>
      <c r="AW17" s="50">
        <f>SUMPRODUCT(--('2026'!$A$5:$A$500=$AW$1),--('2026'!$C$5:$C$500=$B17))+SUMPRODUCT(--('2026'!$A$5:$A$500=$AW$1),--('2026'!$F$5:$F$500=$B17))+SUMPRODUCT(--('2026'!$A$5:$A$500=$AW$1),--('2026'!$D$5:$D$500=$B17))+SUMPRODUCT(--('2026'!$A$5:$A$500=$AW$1),--('2026'!$G$5:$G$500=$B17))</f>
        <v/>
      </c>
      <c r="AX17" s="50">
        <f>SUMPRODUCT(--('2026'!$A$5:$A$500=$AW$1),--('2026'!$I$5:$I$500=$B17))+SUMPRODUCT(--('2026'!$A$5:$A$500=$AW$1),--('2026'!$J$5:$J$500=$B17))</f>
        <v/>
      </c>
      <c r="BA17" s="54" t="inlineStr">
        <is>
          <t>Sengole</t>
        </is>
      </c>
      <c r="BB17" s="47">
        <f>IF(ISODD(COUNTIF(C17:AX17,"&gt;0")),COUNTIF(C17:AX17,"&gt;0")+1,COUNTIF(C17:AX17,"&gt;0"))/2</f>
        <v/>
      </c>
      <c r="BC17" s="52">
        <f>BB17/15</f>
        <v/>
      </c>
    </row>
    <row r="18" ht="15" customHeight="1" s="106">
      <c r="A18" t="n">
        <v>16</v>
      </c>
      <c r="B18" s="54" t="inlineStr">
        <is>
          <t>Suraj</t>
        </is>
      </c>
      <c r="C18" s="50">
        <f>SUMPRODUCT(--('2026'!$A$5:$A$500=$C$1),--('2026'!$C$5:$C$500=$B18))+SUMPRODUCT(--('2026'!$A$5:$A$500=$C$1),--('2026'!$F$5:$F$500=$B18))+SUMPRODUCT(--('2026'!$A$5:$A$500=$C$1),--('2026'!$D$5:$D$500=$B18))+SUMPRODUCT(--('2026'!$A$5:$A$500=$C$1),--('2026'!$G$5:$G$500=$B18))</f>
        <v/>
      </c>
      <c r="D18" s="50">
        <f>SUMPRODUCT(--('2026'!$A$5:$A$500=$C$1),--('2026'!$I$5:$I$500=$B18))+SUMPRODUCT(--('2026'!$A$5:$A$500=$C$1),--('2026'!$J$5:$J$500=$B18))</f>
        <v/>
      </c>
      <c r="E18" s="50">
        <f>SUMPRODUCT(--('2026'!$A$5:$A$500=$E$1),--('2026'!$C$5:$C$500=$B18))+SUMPRODUCT(--('2026'!$A$5:$A$500=$E$1),--('2026'!$F$5:$F$500=$B18))+SUMPRODUCT(--('2026'!$A$5:$A$500=$E$1),--('2026'!$D$5:$D$500=$B18))+SUMPRODUCT(--('2026'!$A$5:$A$500=$E$1),--('2026'!$G$5:$G$500=$B18))</f>
        <v/>
      </c>
      <c r="F18" s="50">
        <f>SUMPRODUCT(--('2026'!$A$5:$A$500=$E$1),--('2026'!$I$5:$I$500=$B18))+SUMPRODUCT(--('2026'!$A$5:$A$500=$E$1),--('2026'!$J$5:$J$500=$B18))</f>
        <v/>
      </c>
      <c r="G18" s="50">
        <f>SUMPRODUCT(--('2026'!$A$5:$A$500=$G$1),--('2026'!$C$5:$C$500=$B18))+SUMPRODUCT(--('2026'!$A$5:$A$500=$G$1),--('2026'!$F$5:$F$500=$B18))+SUMPRODUCT(--('2026'!$A$5:$A$500=$G$1),--('2026'!$D$5:$D$500=$B18))+SUMPRODUCT(--('2026'!$A$5:$A$500=$G$1),--('2026'!$G$5:$G$500=$B18))</f>
        <v/>
      </c>
      <c r="H18" s="50">
        <f>SUMPRODUCT(--('2026'!$A$5:$A$500=$G$1),--('2026'!$I$5:$I$500=$B18))+SUMPRODUCT(--('2026'!$A$5:$A$500=$G$1),--('2026'!$J$5:$J$500=$B18))</f>
        <v/>
      </c>
      <c r="I18" s="50">
        <f>SUMPRODUCT(--('2026'!$A$5:$A$500=$I$1),--('2026'!$C$5:$C$500=$B18))+SUMPRODUCT(--('2026'!$A$5:$A$500=$I$1),--('2026'!$F$5:$F$500=$B18))+SUMPRODUCT(--('2026'!$A$5:$A$500=$I$1),--('2026'!$D$5:$D$500=$B18))+SUMPRODUCT(--('2026'!$A$5:$A$500=$I$1),--('2026'!$G$5:$G$500=$B18))</f>
        <v/>
      </c>
      <c r="J18" s="50">
        <f>SUMPRODUCT(--('2026'!$A$5:$A$500=$I$1),--('2026'!$I$5:$I$500=$B18))+SUMPRODUCT(--('2026'!$A$5:$A$500=$I$1),--('2026'!$J$5:$J$500=$B18))</f>
        <v/>
      </c>
      <c r="K18" s="50">
        <f>SUMPRODUCT(--('2026'!$A$5:$A$500=$K$1),--('2026'!$C$5:$C$500=$B18))+SUMPRODUCT(--('2026'!$A$5:$A$500=$K$1),--('2026'!$F$5:$F$500=$B18))+SUMPRODUCT(--('2026'!$A$5:$A$500=$K$1),--('2026'!$D$5:$D$500=$B18))+SUMPRODUCT(--('2026'!$A$5:$A$500=$K$1),--('2026'!$G$5:$G$500=$B18))</f>
        <v/>
      </c>
      <c r="L18" s="50">
        <f>SUMPRODUCT(--('2026'!$A$5:$A$500=$K$1),--('2026'!$I$5:$I$500=$B18))+SUMPRODUCT(--('2026'!$A$5:$A$500=$K$1),--('2026'!$J$5:$J$500=$B18))</f>
        <v/>
      </c>
      <c r="M18" s="50">
        <f>SUMPRODUCT(--('2026'!$A$5:$A$500=$M$1),--('2026'!$C$5:$C$500=$B18))+SUMPRODUCT(--('2026'!$A$5:$A$500=$M$1),--('2026'!$F$5:$F$500=$B18))+SUMPRODUCT(--('2026'!$A$5:$A$500=$M$1),--('2026'!$D$5:$D$500=$B18))+SUMPRODUCT(--('2026'!$A$5:$A$500=$M$1),--('2026'!$G$5:$G$500=$B18))</f>
        <v/>
      </c>
      <c r="N18" s="50">
        <f>SUMPRODUCT(--('2026'!$A$5:$A$500=$M$1),--('2026'!$I$5:$I$500=$B18))+SUMPRODUCT(--('2026'!$A$5:$A$500=$M$1),--('2026'!$J$5:$J$500=$B18))</f>
        <v/>
      </c>
      <c r="O18" s="50">
        <f>SUMPRODUCT(--('2026'!$A$5:$A$500=$O$1),--('2026'!$C$5:$C$500=$B18))+SUMPRODUCT(--('2026'!$A$5:$A$500=$O$1),--('2026'!$F$5:$F$500=$B18))+SUMPRODUCT(--('2026'!$A$5:$A$500=$O$1),--('2026'!$D$5:$D$500=$B18))+SUMPRODUCT(--('2026'!$A$5:$A$500=$O$1),--('2026'!$G$5:$G$500=$B18))</f>
        <v/>
      </c>
      <c r="P18" s="50">
        <f>SUMPRODUCT(--('2026'!$A$5:$A$500=$O$1),--('2026'!$I$5:$I$500=$B18))+SUMPRODUCT(--('2026'!$A$5:$A$500=$O$1),--('2026'!$J$5:$J$500=$B18))</f>
        <v/>
      </c>
      <c r="Q18" s="50">
        <f>SUMPRODUCT(--('2026'!$A$5:$A$500=$Q$1),--('2026'!$C$5:$C$500=$B18))+SUMPRODUCT(--('2026'!$A$5:$A$500=$Q$1),--('2026'!$F$5:$F$500=$B18))+SUMPRODUCT(--('2026'!$A$5:$A$500=$Q$1),--('2026'!$D$5:$D$500=$B18))+SUMPRODUCT(--('2026'!$A$5:$A$500=$Q$1),--('2026'!$G$5:$G$500=$B18))</f>
        <v/>
      </c>
      <c r="R18" s="50">
        <f>SUMPRODUCT(--('2026'!$A$5:$A$500=$Q$1),--('2026'!$I$5:$I$500=$B18))+SUMPRODUCT(--('2026'!$A$5:$A$500=$Q$1),--('2026'!$J$5:$J$500=$B18))</f>
        <v/>
      </c>
      <c r="S18" s="50">
        <f>SUMPRODUCT(--('2026'!$A$5:$A$500=$S$1),--('2026'!$C$5:$C$500=$B18))+SUMPRODUCT(--('2026'!$A$5:$A$500=$S$1),--('2026'!$F$5:$F$500=$B18))+SUMPRODUCT(--('2026'!$A$5:$A$500=$S$1),--('2026'!$D$5:$D$500=$B18))+SUMPRODUCT(--('2026'!$A$5:$A$500=$S$1),--('2026'!$G$5:$G$500=$B18))</f>
        <v/>
      </c>
      <c r="T18" s="50">
        <f>SUMPRODUCT(--('2026'!$A$5:$A$500=$S$1),--('2026'!$I$5:$I$500=$B18))+SUMPRODUCT(--('2026'!$A$5:$A$500=$S$1),--('2026'!$J$5:$J$500=$B18))</f>
        <v/>
      </c>
      <c r="U18" s="50">
        <f>SUMPRODUCT(--('2026'!$A$5:$A$500=$U$1),--('2026'!$C$5:$C$500=$B18))+SUMPRODUCT(--('2026'!$A$5:$A$500=$U$1),--('2026'!$F$5:$F$500=$B18))+SUMPRODUCT(--('2026'!$A$5:$A$500=$U$1),--('2026'!$D$5:$D$500=$B18))+SUMPRODUCT(--('2026'!$A$5:$A$500=$U$1),--('2026'!$G$5:$G$500=$B18))</f>
        <v/>
      </c>
      <c r="V18" s="50">
        <f>SUMPRODUCT(--('2026'!$A$5:$A$500=$U$1),--('2026'!$I$5:$I$500=$B18))+SUMPRODUCT(--('2026'!$A$5:$A$500=$U$1),--('2026'!$J$5:$J$500=$B18))</f>
        <v/>
      </c>
      <c r="W18" s="60">
        <f>SUMPRODUCT(--('2026'!$A$5:$A$500=$W$1),--('2026'!$C$5:$C$500=$B18))+SUMPRODUCT(--('2026'!$A$5:$A$500=$W$1),--('2026'!$F$5:$F$500=$B18))+SUMPRODUCT(--('2026'!$A$5:$A$500=$W$1),--('2026'!$D$5:$D$500=$B18))+SUMPRODUCT(--('2026'!$A$5:$A$500=$W$1),--('2026'!$G$5:$G$500=$B18))</f>
        <v/>
      </c>
      <c r="X18" s="60">
        <f>SUMPRODUCT(--('2026'!$A$5:$A$500=$W$1),--('2026'!$I$5:$I$500=$B18))+SUMPRODUCT(--('2026'!$A$5:$A$500=$W$1),--('2026'!$J$5:$J$500=$B18))</f>
        <v/>
      </c>
      <c r="Y18" s="50">
        <f>SUMPRODUCT(--('2026'!$A$5:$A$500=$Y$1),--('2026'!$C$5:$C$500=$B18))+SUMPRODUCT(--('2026'!$A$5:$A$500=$Y$1),--('2026'!$F$5:$F$500=$B18))+SUMPRODUCT(--('2026'!$A$5:$A$500=$Y$1),--('2026'!$D$5:$D$500=$B18))+SUMPRODUCT(--('2026'!$A$5:$A$500=$Y$1),--('2026'!$G$5:$G$500=$B18))</f>
        <v/>
      </c>
      <c r="Z18" s="50">
        <f>SUMPRODUCT(--('2026'!$A$5:$A$500=$Y$1),--('2026'!$I$5:$I$500=$B18))+SUMPRODUCT(--('2026'!$A$5:$A$500=$Y$1),--('2026'!$J$5:$J$500=$B18))</f>
        <v/>
      </c>
      <c r="AA18" s="50">
        <f>SUMPRODUCT(--('2026'!$A$5:$A$500=$AA$1),--('2026'!$C$5:$C$500=$B18))+SUMPRODUCT(--('2026'!$A$5:$A$500=$AA$1),--('2026'!$F$5:$F$500=$B18))+SUMPRODUCT(--('2026'!$A$5:$A$500=$AA$1),--('2026'!$D$5:$D$500=$B18))+SUMPRODUCT(--('2026'!$A$5:$A$500=$AA$1),--('2026'!$G$5:$G$500=$B18))</f>
        <v/>
      </c>
      <c r="AB18" s="50">
        <f>SUMPRODUCT(--('2026'!$A$5:$A$500=$AA$1),--('2026'!$I$5:$I$500=$B18))+SUMPRODUCT(--('2026'!$A$5:$A$500=$AA$1),--('2026'!$J$5:$J$500=$B18))</f>
        <v/>
      </c>
      <c r="AC18" s="50">
        <f>SUMPRODUCT(--('2026'!$A$5:$A$500=$AC$1),--('2026'!$C$5:$C$500=$B18))+SUMPRODUCT(--('2026'!$A$5:$A$500=$AC$1),--('2026'!$F$5:$F$500=$B18))+SUMPRODUCT(--('2026'!$A$5:$A$500=$AC$1),--('2026'!$D$5:$D$500=$B18))+SUMPRODUCT(--('2026'!$A$5:$A$500=$AC$1),--('2026'!$G$5:$G$500=$B18))</f>
        <v/>
      </c>
      <c r="AD18" s="50">
        <f>SUMPRODUCT(--('2026'!$A$5:$A$500=$AC$1),--('2026'!$I$5:$I$500=$B18))+SUMPRODUCT(--('2026'!$A$5:$A$500=$AC$1),--('2026'!$J$5:$J$500=$B18))</f>
        <v/>
      </c>
      <c r="AE18" s="60">
        <f>SUMPRODUCT(--('2026'!$A$5:$A$500=$AE$1),--('2026'!$C$5:$C$500=$B18))+SUMPRODUCT(--('2026'!$A$5:$A$500=$AE$1),--('2026'!$F$5:$F$500=$B18))+SUMPRODUCT(--('2026'!$A$5:$A$500=$AE$1),--('2026'!$D$5:$D$500=$B18))+SUMPRODUCT(--('2026'!$A$5:$A$500=$AE$1),--('2026'!$G$5:$G$500=$B18))</f>
        <v/>
      </c>
      <c r="AF18" s="60">
        <f>SUMPRODUCT(--('2026'!$A$5:$A$500=$AE$1),--('2026'!$I$5:$I$500=$B18))+SUMPRODUCT(--('2026'!$A$5:$A$500=$AE$1),--('2026'!$J$5:$J$500=$B18))</f>
        <v/>
      </c>
      <c r="AG18" s="50">
        <f>SUMPRODUCT(--('2026'!$A$5:$A$500=$AG$1),--('2026'!$C$5:$C$500=$B18))+SUMPRODUCT(--('2026'!$A$5:$A$500=$AG$1),--('2026'!$F$5:$F$500=$B18))+SUMPRODUCT(--('2026'!$A$5:$A$500=$AG$1),--('2026'!$D$5:$D$500=$B18))+SUMPRODUCT(--('2026'!$A$5:$A$500=$AG$1),--('2026'!$G$5:$G$500=$B18))</f>
        <v/>
      </c>
      <c r="AH18" s="50">
        <f>SUMPRODUCT(--('2026'!$A$5:$A$500=$AG$1),--('2026'!$I$5:$I$500=$B18))+SUMPRODUCT(--('2026'!$A$5:$A$500=$AG$1),--('2026'!$J$5:$J$500=$B18))</f>
        <v/>
      </c>
      <c r="AI18" s="50">
        <f>SUMPRODUCT(--('2026'!$A$5:$A$500=$AI$1),--('2026'!$C$5:$C$500=$B18))+SUMPRODUCT(--('2026'!$A$5:$A$500=$AI$1),--('2026'!$F$5:$F$500=$B18))+SUMPRODUCT(--('2026'!$A$5:$A$500=$AI$1),--('2026'!$D$5:$D$500=$B18))+SUMPRODUCT(--('2026'!$A$5:$A$500=$AI$1),--('2026'!$G$5:$G$500=$B18))</f>
        <v/>
      </c>
      <c r="AJ18" s="50">
        <f>SUMPRODUCT(--('2026'!$A$5:$A$500=$AI$1),--('2026'!$I$5:$I$500=$B18))+SUMPRODUCT(--('2026'!$A$5:$A$500=$AI$1),--('2026'!$J$5:$J$500=$B18))</f>
        <v/>
      </c>
      <c r="AK18" s="50">
        <f>SUMPRODUCT(--('2026'!$A$5:$A$500=$AK$1),--('2026'!$C$5:$C$500=$B18))+SUMPRODUCT(--('2026'!$A$5:$A$500=$AK$1),--('2026'!$F$5:$F$500=$B18))+SUMPRODUCT(--('2026'!$A$5:$A$500=$AK$1),--('2026'!$D$5:$D$500=$B18))+SUMPRODUCT(--('2026'!$A$5:$A$500=$AK$1),--('2026'!$G$5:$G$500=$B18))</f>
        <v/>
      </c>
      <c r="AL18" s="50">
        <f>SUMPRODUCT(--('2026'!$A$5:$A$500=$AK$1),--('2026'!$I$5:$I$500=$B18))+SUMPRODUCT(--('2026'!$A$5:$A$500=$AK$1),--('2026'!$J$5:$J$500=$B18))</f>
        <v/>
      </c>
      <c r="AM18" s="50">
        <f>SUMPRODUCT(--('2026'!$A$5:$A$500=$AM$1),--('2026'!$C$5:$C$500=$B18))+SUMPRODUCT(--('2026'!$A$5:$A$500=$AM$1),--('2026'!$F$5:$F$500=$B18))+SUMPRODUCT(--('2026'!$A$5:$A$500=$AM$1),--('2026'!$D$5:$D$500=$B18))+SUMPRODUCT(--('2026'!$A$5:$A$500=$AM$1),--('2026'!$G$5:$G$500=$B18))</f>
        <v/>
      </c>
      <c r="AN18" s="50">
        <f>SUMPRODUCT(--('2026'!$A$5:$A$500=$AM$1),--('2026'!$I$5:$I$500=$B18))+SUMPRODUCT(--('2026'!$A$5:$A$500=$AM$1),--('2026'!$J$5:$J$500=$B18))</f>
        <v/>
      </c>
      <c r="AO18" s="50">
        <f>SUMPRODUCT(--('2026'!$A$5:$A$500=$AO$1),--('2026'!$C$5:$C$500=$B18))+SUMPRODUCT(--('2026'!$A$5:$A$500=$AO$1),--('2026'!$F$5:$F$500=$B18))+SUMPRODUCT(--('2026'!$A$5:$A$500=$AO$1),--('2026'!$D$5:$D$500=$B18))+SUMPRODUCT(--('2026'!$A$5:$A$500=$AO$1),--('2026'!$G$5:$G$500=$B18))</f>
        <v/>
      </c>
      <c r="AP18" s="50">
        <f>SUMPRODUCT(--('2026'!$A$5:$A$500=$AO$1),--('2026'!$I$5:$I$500=$B18))+SUMPRODUCT(--('2026'!$A$5:$A$500=$AO$1),--('2026'!$J$5:$J$500=$B18))</f>
        <v/>
      </c>
      <c r="AQ18" s="50">
        <f>SUMPRODUCT(--('2026'!$A$5:$A$500=$AQ$1),--('2026'!$C$5:$C$500=$B18))+SUMPRODUCT(--('2026'!$A$5:$A$500=$AQ$1),--('2026'!$F$5:$F$500=$B18))+SUMPRODUCT(--('2026'!$A$5:$A$500=$AQ$1),--('2026'!$D$5:$D$500=$B18))+SUMPRODUCT(--('2026'!$A$5:$A$500=$AQ$1),--('2026'!$G$5:$G$500=$B18))</f>
        <v/>
      </c>
      <c r="AR18" s="50">
        <f>SUMPRODUCT(--('2026'!$A$5:$A$500=$AQ$1),--('2026'!$I$5:$I$500=$B18))+SUMPRODUCT(--('2026'!$A$5:$A$500=$AQ$1),--('2026'!$J$5:$J$500=$B18))</f>
        <v/>
      </c>
      <c r="AS18" s="50">
        <f>SUMPRODUCT(--('2026'!$A$5:$A$500=$AS$1),--('2026'!$C$5:$C$500=$B18))+SUMPRODUCT(--('2026'!$A$5:$A$500=$AS$1),--('2026'!$F$5:$F$500=$B18))+SUMPRODUCT(--('2026'!$A$5:$A$500=$AS$1),--('2026'!$D$5:$D$500=$B18))+SUMPRODUCT(--('2026'!$A$5:$A$500=$AS$1),--('2026'!$G$5:$G$500=$B18))</f>
        <v/>
      </c>
      <c r="AT18" s="50">
        <f>SUMPRODUCT(--('2026'!$A$5:$A$500=$AS$1),--('2026'!$I$5:$I$500=$B18))+SUMPRODUCT(--('2026'!$A$5:$A$500=$AS$1),--('2026'!$J$5:$J$500=$B18))</f>
        <v/>
      </c>
      <c r="AU18" s="50">
        <f>SUMPRODUCT(--('2026'!$A$5:$A$500=$AU$1),--('2026'!$C$5:$C$500=$B18))+SUMPRODUCT(--('2026'!$A$5:$A$500=$AU$1),--('2026'!$F$5:$F$500=$B18))+SUMPRODUCT(--('2026'!$A$5:$A$500=$AU$1),--('2026'!$D$5:$D$500=$B18))+SUMPRODUCT(--('2026'!$A$5:$A$500=$AU$1),--('2026'!$G$5:$G$500=$B18))</f>
        <v/>
      </c>
      <c r="AV18" s="50">
        <f>SUMPRODUCT(--('2026'!$A$5:$A$500=$AU$1),--('2026'!$I$5:$I$500=$B18))+SUMPRODUCT(--('2026'!$A$5:$A$500=$AU$1),--('2026'!$J$5:$J$500=$B18))</f>
        <v/>
      </c>
      <c r="AW18" s="50">
        <f>SUMPRODUCT(--('2026'!$A$5:$A$500=$AW$1),--('2026'!$C$5:$C$500=$B18))+SUMPRODUCT(--('2026'!$A$5:$A$500=$AW$1),--('2026'!$F$5:$F$500=$B18))+SUMPRODUCT(--('2026'!$A$5:$A$500=$AW$1),--('2026'!$D$5:$D$500=$B18))+SUMPRODUCT(--('2026'!$A$5:$A$500=$AW$1),--('2026'!$G$5:$G$500=$B18))</f>
        <v/>
      </c>
      <c r="AX18" s="50">
        <f>SUMPRODUCT(--('2026'!$A$5:$A$500=$AW$1),--('2026'!$I$5:$I$500=$B18))+SUMPRODUCT(--('2026'!$A$5:$A$500=$AW$1),--('2026'!$J$5:$J$500=$B18))</f>
        <v/>
      </c>
      <c r="BA18" s="54" t="inlineStr">
        <is>
          <t>Suraj</t>
        </is>
      </c>
      <c r="BB18" s="47">
        <f>IF(ISODD(COUNTIF(C18:AX18,"&gt;0")),COUNTIF(C18:AX18,"&gt;0")+1,COUNTIF(C18:AX18,"&gt;0"))/2</f>
        <v/>
      </c>
      <c r="BC18" s="52">
        <f>BB18/15</f>
        <v/>
      </c>
    </row>
    <row r="19" ht="15" customHeight="1" s="106">
      <c r="A19" t="n">
        <v>17</v>
      </c>
      <c r="B19" s="54" t="inlineStr">
        <is>
          <t>Thomas</t>
        </is>
      </c>
      <c r="C19" s="50">
        <f>SUMPRODUCT(--('2026'!$A$5:$A$500=$C$1),--('2026'!$C$5:$C$500=$B19))+SUMPRODUCT(--('2026'!$A$5:$A$500=$C$1),--('2026'!$F$5:$F$500=$B19))+SUMPRODUCT(--('2026'!$A$5:$A$500=$C$1),--('2026'!$D$5:$D$500=$B19))+SUMPRODUCT(--('2026'!$A$5:$A$500=$C$1),--('2026'!$G$5:$G$500=$B19))</f>
        <v/>
      </c>
      <c r="D19" s="50">
        <f>SUMPRODUCT(--('2026'!$A$5:$A$500=$C$1),--('2026'!$I$5:$I$500=$B19))+SUMPRODUCT(--('2026'!$A$5:$A$500=$C$1),--('2026'!$J$5:$J$500=$B19))</f>
        <v/>
      </c>
      <c r="E19" s="50">
        <f>SUMPRODUCT(--('2026'!$A$5:$A$500=$E$1),--('2026'!$C$5:$C$500=$B19))+SUMPRODUCT(--('2026'!$A$5:$A$500=$E$1),--('2026'!$F$5:$F$500=$B19))+SUMPRODUCT(--('2026'!$A$5:$A$500=$E$1),--('2026'!$D$5:$D$500=$B19))+SUMPRODUCT(--('2026'!$A$5:$A$500=$E$1),--('2026'!$G$5:$G$500=$B19))</f>
        <v/>
      </c>
      <c r="F19" s="50">
        <f>SUMPRODUCT(--('2026'!$A$5:$A$500=$E$1),--('2026'!$I$5:$I$500=$B19))+SUMPRODUCT(--('2026'!$A$5:$A$500=$E$1),--('2026'!$J$5:$J$500=$B19))</f>
        <v/>
      </c>
      <c r="G19" s="50">
        <f>SUMPRODUCT(--('2026'!$A$5:$A$500=$G$1),--('2026'!$C$5:$C$500=$B19))+SUMPRODUCT(--('2026'!$A$5:$A$500=$G$1),--('2026'!$F$5:$F$500=$B19))+SUMPRODUCT(--('2026'!$A$5:$A$500=$G$1),--('2026'!$D$5:$D$500=$B19))+SUMPRODUCT(--('2026'!$A$5:$A$500=$G$1),--('2026'!$G$5:$G$500=$B19))</f>
        <v/>
      </c>
      <c r="H19" s="50">
        <f>SUMPRODUCT(--('2026'!$A$5:$A$500=$G$1),--('2026'!$I$5:$I$500=$B19))+SUMPRODUCT(--('2026'!$A$5:$A$500=$G$1),--('2026'!$J$5:$J$500=$B19))</f>
        <v/>
      </c>
      <c r="I19" s="50">
        <f>SUMPRODUCT(--('2026'!$A$5:$A$500=$I$1),--('2026'!$C$5:$C$500=$B19))+SUMPRODUCT(--('2026'!$A$5:$A$500=$I$1),--('2026'!$F$5:$F$500=$B19))+SUMPRODUCT(--('2026'!$A$5:$A$500=$I$1),--('2026'!$D$5:$D$500=$B19))+SUMPRODUCT(--('2026'!$A$5:$A$500=$I$1),--('2026'!$G$5:$G$500=$B19))</f>
        <v/>
      </c>
      <c r="J19" s="80">
        <f>SUMPRODUCT(--('2026'!$A$5:$A$500=$I$1),--('2026'!$I$5:$I$500=$B19))+SUMPRODUCT(--('2026'!$A$5:$A$500=$I$1),--('2026'!$J$5:$J$500=$B19))</f>
        <v/>
      </c>
      <c r="K19" s="50">
        <f>SUMPRODUCT(--('2026'!$A$5:$A$500=$K$1),--('2026'!$C$5:$C$500=$B19))+SUMPRODUCT(--('2026'!$A$5:$A$500=$K$1),--('2026'!$F$5:$F$500=$B19))+SUMPRODUCT(--('2026'!$A$5:$A$500=$K$1),--('2026'!$D$5:$D$500=$B19))+SUMPRODUCT(--('2026'!$A$5:$A$500=$K$1),--('2026'!$G$5:$G$500=$B19))</f>
        <v/>
      </c>
      <c r="L19" s="50">
        <f>SUMPRODUCT(--('2026'!$A$5:$A$500=$K$1),--('2026'!$I$5:$I$500=$B19))+SUMPRODUCT(--('2026'!$A$5:$A$500=$K$1),--('2026'!$J$5:$J$500=$B19))</f>
        <v/>
      </c>
      <c r="M19" s="50">
        <f>SUMPRODUCT(--('2026'!$A$5:$A$500=$M$1),--('2026'!$C$5:$C$500=$B19))+SUMPRODUCT(--('2026'!$A$5:$A$500=$M$1),--('2026'!$F$5:$F$500=$B19))+SUMPRODUCT(--('2026'!$A$5:$A$500=$M$1),--('2026'!$D$5:$D$500=$B19))+SUMPRODUCT(--('2026'!$A$5:$A$500=$M$1),--('2026'!$G$5:$G$500=$B19))</f>
        <v/>
      </c>
      <c r="N19" s="50">
        <f>SUMPRODUCT(--('2026'!$A$5:$A$500=$M$1),--('2026'!$I$5:$I$500=$B19))+SUMPRODUCT(--('2026'!$A$5:$A$500=$M$1),--('2026'!$J$5:$J$500=$B19))</f>
        <v/>
      </c>
      <c r="O19" s="50">
        <f>SUMPRODUCT(--('2026'!$A$5:$A$500=$O$1),--('2026'!$C$5:$C$500=$B19))+SUMPRODUCT(--('2026'!$A$5:$A$500=$O$1),--('2026'!$F$5:$F$500=$B19))+SUMPRODUCT(--('2026'!$A$5:$A$500=$O$1),--('2026'!$D$5:$D$500=$B19))+SUMPRODUCT(--('2026'!$A$5:$A$500=$O$1),--('2026'!$G$5:$G$500=$B19))</f>
        <v/>
      </c>
      <c r="P19" s="50">
        <f>SUMPRODUCT(--('2026'!$A$5:$A$500=$O$1),--('2026'!$I$5:$I$500=$B19))+SUMPRODUCT(--('2026'!$A$5:$A$500=$O$1),--('2026'!$J$5:$J$500=$B19))</f>
        <v/>
      </c>
      <c r="Q19" s="50">
        <f>SUMPRODUCT(--('2026'!$A$5:$A$500=$Q$1),--('2026'!$C$5:$C$500=$B19))+SUMPRODUCT(--('2026'!$A$5:$A$500=$Q$1),--('2026'!$F$5:$F$500=$B19))+SUMPRODUCT(--('2026'!$A$5:$A$500=$Q$1),--('2026'!$D$5:$D$500=$B19))+SUMPRODUCT(--('2026'!$A$5:$A$500=$Q$1),--('2026'!$G$5:$G$500=$B19))</f>
        <v/>
      </c>
      <c r="R19" s="50">
        <f>SUMPRODUCT(--('2026'!$A$5:$A$500=$Q$1),--('2026'!$I$5:$I$500=$B19))+SUMPRODUCT(--('2026'!$A$5:$A$500=$Q$1),--('2026'!$J$5:$J$500=$B19))</f>
        <v/>
      </c>
      <c r="S19" s="50">
        <f>SUMPRODUCT(--('2026'!$A$5:$A$500=$S$1),--('2026'!$C$5:$C$500=$B19))+SUMPRODUCT(--('2026'!$A$5:$A$500=$S$1),--('2026'!$F$5:$F$500=$B19))+SUMPRODUCT(--('2026'!$A$5:$A$500=$S$1),--('2026'!$D$5:$D$500=$B19))+SUMPRODUCT(--('2026'!$A$5:$A$500=$S$1),--('2026'!$G$5:$G$500=$B19))</f>
        <v/>
      </c>
      <c r="T19" s="50">
        <f>SUMPRODUCT(--('2026'!$A$5:$A$500=$S$1),--('2026'!$I$5:$I$500=$B19))+SUMPRODUCT(--('2026'!$A$5:$A$500=$S$1),--('2026'!$J$5:$J$500=$B19))</f>
        <v/>
      </c>
      <c r="U19" s="50">
        <f>SUMPRODUCT(--('2026'!$A$5:$A$500=$U$1),--('2026'!$C$5:$C$500=$B19))+SUMPRODUCT(--('2026'!$A$5:$A$500=$U$1),--('2026'!$F$5:$F$500=$B19))+SUMPRODUCT(--('2026'!$A$5:$A$500=$U$1),--('2026'!$D$5:$D$500=$B19))+SUMPRODUCT(--('2026'!$A$5:$A$500=$U$1),--('2026'!$G$5:$G$500=$B19))</f>
        <v/>
      </c>
      <c r="V19" s="50">
        <f>SUMPRODUCT(--('2026'!$A$5:$A$500=$U$1),--('2026'!$I$5:$I$500=$B19))+SUMPRODUCT(--('2026'!$A$5:$A$500=$U$1),--('2026'!$J$5:$J$500=$B19))</f>
        <v/>
      </c>
      <c r="W19" s="60">
        <f>SUMPRODUCT(--('2026'!$A$5:$A$500=$W$1),--('2026'!$C$5:$C$500=$B19))+SUMPRODUCT(--('2026'!$A$5:$A$500=$W$1),--('2026'!$F$5:$F$500=$B19))+SUMPRODUCT(--('2026'!$A$5:$A$500=$W$1),--('2026'!$D$5:$D$500=$B19))+SUMPRODUCT(--('2026'!$A$5:$A$500=$W$1),--('2026'!$G$5:$G$500=$B19))</f>
        <v/>
      </c>
      <c r="X19" s="60">
        <f>SUMPRODUCT(--('2026'!$A$5:$A$500=$W$1),--('2026'!$I$5:$I$500=$B19))+SUMPRODUCT(--('2026'!$A$5:$A$500=$W$1),--('2026'!$J$5:$J$500=$B19))</f>
        <v/>
      </c>
      <c r="Y19" s="51">
        <f>SUMPRODUCT(--('2026'!$A$5:$A$500=$Y$1),--('2026'!$C$5:$C$500=$B19))+SUMPRODUCT(--('2026'!$A$5:$A$500=$Y$1),--('2026'!$F$5:$F$500=$B19))+SUMPRODUCT(--('2026'!$A$5:$A$500=$Y$1),--('2026'!$D$5:$D$500=$B19))+SUMPRODUCT(--('2026'!$A$5:$A$500=$Y$1),--('2026'!$G$5:$G$500=$B19))</f>
        <v/>
      </c>
      <c r="Z19" s="51">
        <f>SUMPRODUCT(--('2026'!$A$5:$A$500=$Y$1),--('2026'!$I$5:$I$500=$B19))+SUMPRODUCT(--('2026'!$A$5:$A$500=$Y$1),--('2026'!$J$5:$J$500=$B19))</f>
        <v/>
      </c>
      <c r="AA19" s="51">
        <f>SUMPRODUCT(--('2026'!$A$5:$A$500=$AA$1),--('2026'!$C$5:$C$500=$B19))+SUMPRODUCT(--('2026'!$A$5:$A$500=$AA$1),--('2026'!$F$5:$F$500=$B19))+SUMPRODUCT(--('2026'!$A$5:$A$500=$AA$1),--('2026'!$D$5:$D$500=$B19))+SUMPRODUCT(--('2026'!$A$5:$A$500=$AA$1),--('2026'!$G$5:$G$500=$B19))</f>
        <v/>
      </c>
      <c r="AB19" s="51">
        <f>SUMPRODUCT(--('2026'!$A$5:$A$500=$AA$1),--('2026'!$I$5:$I$500=$B19))+SUMPRODUCT(--('2026'!$A$5:$A$500=$AA$1),--('2026'!$J$5:$J$500=$B19))</f>
        <v/>
      </c>
      <c r="AC19" s="51">
        <f>SUMPRODUCT(--('2026'!$A$5:$A$500=$AC$1),--('2026'!$C$5:$C$500=$B19))+SUMPRODUCT(--('2026'!$A$5:$A$500=$AC$1),--('2026'!$F$5:$F$500=$B19))+SUMPRODUCT(--('2026'!$A$5:$A$500=$AC$1),--('2026'!$D$5:$D$500=$B19))+SUMPRODUCT(--('2026'!$A$5:$A$500=$AC$1),--('2026'!$G$5:$G$500=$B19))</f>
        <v/>
      </c>
      <c r="AD19" s="51">
        <f>SUMPRODUCT(--('2026'!$A$5:$A$500=$AC$1),--('2026'!$I$5:$I$500=$B19))+SUMPRODUCT(--('2026'!$A$5:$A$500=$AC$1),--('2026'!$J$5:$J$500=$B19))</f>
        <v/>
      </c>
      <c r="AE19" s="61">
        <f>SUMPRODUCT(--('2026'!$A$5:$A$500=$AE$1),--('2026'!$C$5:$C$500=$B19))+SUMPRODUCT(--('2026'!$A$5:$A$500=$AE$1),--('2026'!$F$5:$F$500=$B19))+SUMPRODUCT(--('2026'!$A$5:$A$500=$AE$1),--('2026'!$D$5:$D$500=$B19))+SUMPRODUCT(--('2026'!$A$5:$A$500=$AE$1),--('2026'!$G$5:$G$500=$B19))</f>
        <v/>
      </c>
      <c r="AF19" s="61">
        <f>SUMPRODUCT(--('2026'!$A$5:$A$500=$AE$1),--('2026'!$I$5:$I$500=$B19))+SUMPRODUCT(--('2026'!$A$5:$A$500=$AE$1),--('2026'!$J$5:$J$500=$B19))</f>
        <v/>
      </c>
      <c r="AG19" s="51">
        <f>SUMPRODUCT(--('2026'!$A$5:$A$500=$AG$1),--('2026'!$C$5:$C$500=$B19))+SUMPRODUCT(--('2026'!$A$5:$A$500=$AG$1),--('2026'!$F$5:$F$500=$B19))+SUMPRODUCT(--('2026'!$A$5:$A$500=$AG$1),--('2026'!$D$5:$D$500=$B19))+SUMPRODUCT(--('2026'!$A$5:$A$500=$AG$1),--('2026'!$G$5:$G$500=$B19))</f>
        <v/>
      </c>
      <c r="AH19" s="51">
        <f>SUMPRODUCT(--('2026'!$A$5:$A$500=$AG$1),--('2026'!$I$5:$I$500=$B19))+SUMPRODUCT(--('2026'!$A$5:$A$500=$AG$1),--('2026'!$J$5:$J$500=$B19))</f>
        <v/>
      </c>
      <c r="AI19" s="51">
        <f>SUMPRODUCT(--('2026'!$A$5:$A$500=$AI$1),--('2026'!$C$5:$C$500=$B19))+SUMPRODUCT(--('2026'!$A$5:$A$500=$AI$1),--('2026'!$F$5:$F$500=$B19))+SUMPRODUCT(--('2026'!$A$5:$A$500=$AI$1),--('2026'!$D$5:$D$500=$B19))+SUMPRODUCT(--('2026'!$A$5:$A$500=$AI$1),--('2026'!$G$5:$G$500=$B19))</f>
        <v/>
      </c>
      <c r="AJ19" s="51">
        <f>SUMPRODUCT(--('2026'!$A$5:$A$500=$AI$1),--('2026'!$I$5:$I$500=$B19))+SUMPRODUCT(--('2026'!$A$5:$A$500=$AI$1),--('2026'!$J$5:$J$500=$B19))</f>
        <v/>
      </c>
      <c r="AK19" s="51">
        <f>SUMPRODUCT(--('2026'!$A$5:$A$500=$AK$1),--('2026'!$C$5:$C$500=$B19))+SUMPRODUCT(--('2026'!$A$5:$A$500=$AK$1),--('2026'!$F$5:$F$500=$B19))+SUMPRODUCT(--('2026'!$A$5:$A$500=$AK$1),--('2026'!$D$5:$D$500=$B19))+SUMPRODUCT(--('2026'!$A$5:$A$500=$AK$1),--('2026'!$G$5:$G$500=$B19))</f>
        <v/>
      </c>
      <c r="AL19" s="51">
        <f>SUMPRODUCT(--('2026'!$A$5:$A$500=$AK$1),--('2026'!$I$5:$I$500=$B19))+SUMPRODUCT(--('2026'!$A$5:$A$500=$AK$1),--('2026'!$J$5:$J$500=$B19))</f>
        <v/>
      </c>
      <c r="AM19" s="51">
        <f>SUMPRODUCT(--('2026'!$A$5:$A$500=$AM$1),--('2026'!$C$5:$C$500=$B19))+SUMPRODUCT(--('2026'!$A$5:$A$500=$AM$1),--('2026'!$F$5:$F$500=$B19))+SUMPRODUCT(--('2026'!$A$5:$A$500=$AM$1),--('2026'!$D$5:$D$500=$B19))+SUMPRODUCT(--('2026'!$A$5:$A$500=$AM$1),--('2026'!$G$5:$G$500=$B19))</f>
        <v/>
      </c>
      <c r="AN19" s="51">
        <f>SUMPRODUCT(--('2026'!$A$5:$A$500=$AM$1),--('2026'!$I$5:$I$500=$B19))+SUMPRODUCT(--('2026'!$A$5:$A$500=$AM$1),--('2026'!$J$5:$J$500=$B19))</f>
        <v/>
      </c>
      <c r="AO19" s="51">
        <f>SUMPRODUCT(--('2026'!$A$5:$A$500=$AO$1),--('2026'!$C$5:$C$500=$B19))+SUMPRODUCT(--('2026'!$A$5:$A$500=$AO$1),--('2026'!$F$5:$F$500=$B19))+SUMPRODUCT(--('2026'!$A$5:$A$500=$AO$1),--('2026'!$D$5:$D$500=$B19))+SUMPRODUCT(--('2026'!$A$5:$A$500=$AO$1),--('2026'!$G$5:$G$500=$B19))</f>
        <v/>
      </c>
      <c r="AP19" s="51">
        <f>SUMPRODUCT(--('2026'!$A$5:$A$500=$AO$1),--('2026'!$I$5:$I$500=$B19))+SUMPRODUCT(--('2026'!$A$5:$A$500=$AO$1),--('2026'!$J$5:$J$500=$B19))</f>
        <v/>
      </c>
      <c r="AQ19" s="51">
        <f>SUMPRODUCT(--('2026'!$A$5:$A$500=$AQ$1),--('2026'!$C$5:$C$500=$B19))+SUMPRODUCT(--('2026'!$A$5:$A$500=$AQ$1),--('2026'!$F$5:$F$500=$B19))+SUMPRODUCT(--('2026'!$A$5:$A$500=$AQ$1),--('2026'!$D$5:$D$500=$B19))+SUMPRODUCT(--('2026'!$A$5:$A$500=$AQ$1),--('2026'!$G$5:$G$500=$B19))</f>
        <v/>
      </c>
      <c r="AR19" s="51">
        <f>SUMPRODUCT(--('2026'!$A$5:$A$500=$AQ$1),--('2026'!$I$5:$I$500=$B19))+SUMPRODUCT(--('2026'!$A$5:$A$500=$AQ$1),--('2026'!$J$5:$J$500=$B19))</f>
        <v/>
      </c>
      <c r="AS19" s="51">
        <f>SUMPRODUCT(--('2026'!$A$5:$A$500=$AS$1),--('2026'!$C$5:$C$500=$B19))+SUMPRODUCT(--('2026'!$A$5:$A$500=$AS$1),--('2026'!$F$5:$F$500=$B19))+SUMPRODUCT(--('2026'!$A$5:$A$500=$AS$1),--('2026'!$D$5:$D$500=$B19))+SUMPRODUCT(--('2026'!$A$5:$A$500=$AS$1),--('2026'!$G$5:$G$500=$B19))</f>
        <v/>
      </c>
      <c r="AT19" s="51">
        <f>SUMPRODUCT(--('2026'!$A$5:$A$500=$AS$1),--('2026'!$I$5:$I$500=$B19))+SUMPRODUCT(--('2026'!$A$5:$A$500=$AS$1),--('2026'!$J$5:$J$500=$B19))</f>
        <v/>
      </c>
      <c r="AU19" s="51">
        <f>SUMPRODUCT(--('2026'!$A$5:$A$500=$AU$1),--('2026'!$C$5:$C$500=$B19))+SUMPRODUCT(--('2026'!$A$5:$A$500=$AU$1),--('2026'!$F$5:$F$500=$B19))+SUMPRODUCT(--('2026'!$A$5:$A$500=$AU$1),--('2026'!$D$5:$D$500=$B19))+SUMPRODUCT(--('2026'!$A$5:$A$500=$AU$1),--('2026'!$G$5:$G$500=$B19))</f>
        <v/>
      </c>
      <c r="AV19" s="51">
        <f>SUMPRODUCT(--('2026'!$A$5:$A$500=$AU$1),--('2026'!$I$5:$I$500=$B19))+SUMPRODUCT(--('2026'!$A$5:$A$500=$AU$1),--('2026'!$J$5:$J$500=$B19))</f>
        <v/>
      </c>
      <c r="AW19" s="51">
        <f>SUMPRODUCT(--('2026'!$A$5:$A$500=$AW$1),--('2026'!$C$5:$C$500=$B19))+SUMPRODUCT(--('2026'!$A$5:$A$500=$AW$1),--('2026'!$F$5:$F$500=$B19))+SUMPRODUCT(--('2026'!$A$5:$A$500=$AW$1),--('2026'!$D$5:$D$500=$B19))+SUMPRODUCT(--('2026'!$A$5:$A$500=$AW$1),--('2026'!$G$5:$G$500=$B19))</f>
        <v/>
      </c>
      <c r="AX19" s="51">
        <f>SUMPRODUCT(--('2026'!$A$5:$A$500=$AW$1),--('2026'!$I$5:$I$500=$B19))+SUMPRODUCT(--('2026'!$A$5:$A$500=$AW$1),--('2026'!$J$5:$J$500=$B19))</f>
        <v/>
      </c>
      <c r="BA19" s="54" t="inlineStr">
        <is>
          <t>Thomas</t>
        </is>
      </c>
      <c r="BB19" s="47">
        <f>IF(ISODD(COUNTIF(C19:AX19,"&gt;0")),COUNTIF(C19:AX19,"&gt;0")+1,COUNTIF(C19:AX19,"&gt;0"))/2</f>
        <v/>
      </c>
      <c r="BC19" s="52">
        <f>BB19/15</f>
        <v/>
      </c>
    </row>
    <row r="20" ht="15" customHeight="1" s="106">
      <c r="A20" t="n">
        <v>18</v>
      </c>
      <c r="B20" s="54" t="inlineStr">
        <is>
          <t>Zaheer</t>
        </is>
      </c>
      <c r="C20" s="50">
        <f>SUMPRODUCT(--('2026'!$A$5:$A$500=$C$1),--('2026'!$C$5:$C$500=$B20))+SUMPRODUCT(--('2026'!$A$5:$A$500=$C$1),--('2026'!$F$5:$F$500=$B20))+SUMPRODUCT(--('2026'!$A$5:$A$500=$C$1),--('2026'!$D$5:$D$500=$B20))+SUMPRODUCT(--('2026'!$A$5:$A$500=$C$1),--('2026'!$G$5:$G$500=$B20))</f>
        <v/>
      </c>
      <c r="D20" s="50">
        <f>SUMPRODUCT(--('2026'!$A$5:$A$500=$C$1),--('2026'!$I$5:$I$500=$B20))+SUMPRODUCT(--('2026'!$A$5:$A$500=$C$1),--('2026'!$J$5:$J$500=$B20))</f>
        <v/>
      </c>
      <c r="E20" s="50">
        <f>SUMPRODUCT(--('2026'!$A$5:$A$500=$E$1),--('2026'!$C$5:$C$500=$B20))+SUMPRODUCT(--('2026'!$A$5:$A$500=$E$1),--('2026'!$F$5:$F$500=$B20))+SUMPRODUCT(--('2026'!$A$5:$A$500=$E$1),--('2026'!$D$5:$D$500=$B20))+SUMPRODUCT(--('2026'!$A$5:$A$500=$E$1),--('2026'!$G$5:$G$500=$B20))</f>
        <v/>
      </c>
      <c r="F20" s="50">
        <f>SUMPRODUCT(--('2026'!$A$5:$A$500=$E$1),--('2026'!$I$5:$I$500=$B20))+SUMPRODUCT(--('2026'!$A$5:$A$500=$E$1),--('2026'!$J$5:$J$500=$B20))</f>
        <v/>
      </c>
      <c r="G20" s="50">
        <f>SUMPRODUCT(--('2026'!$A$5:$A$500=$G$1),--('2026'!$C$5:$C$500=$B20))+SUMPRODUCT(--('2026'!$A$5:$A$500=$G$1),--('2026'!$F$5:$F$500=$B20))+SUMPRODUCT(--('2026'!$A$5:$A$500=$G$1),--('2026'!$D$5:$D$500=$B20))+SUMPRODUCT(--('2026'!$A$5:$A$500=$G$1),--('2026'!$G$5:$G$500=$B20))</f>
        <v/>
      </c>
      <c r="H20" s="50">
        <f>SUMPRODUCT(--('2026'!$A$5:$A$500=$G$1),--('2026'!$I$5:$I$500=$B20))+SUMPRODUCT(--('2026'!$A$5:$A$500=$G$1),--('2026'!$J$5:$J$500=$B20))</f>
        <v/>
      </c>
      <c r="I20" s="50">
        <f>SUMPRODUCT(--('2026'!$A$5:$A$500=$I$1),--('2026'!$C$5:$C$500=$B20))+SUMPRODUCT(--('2026'!$A$5:$A$500=$I$1),--('2026'!$F$5:$F$500=$B20))+SUMPRODUCT(--('2026'!$A$5:$A$500=$I$1),--('2026'!$D$5:$D$500=$B20))+SUMPRODUCT(--('2026'!$A$5:$A$500=$I$1),--('2026'!$G$5:$G$500=$B20))</f>
        <v/>
      </c>
      <c r="J20" s="50">
        <f>SUMPRODUCT(--('2026'!$A$5:$A$500=$I$1),--('2026'!$I$5:$I$500=$B20))+SUMPRODUCT(--('2026'!$A$5:$A$500=$I$1),--('2026'!$J$5:$J$500=$B20))</f>
        <v/>
      </c>
      <c r="K20" s="50">
        <f>SUMPRODUCT(--('2026'!$A$5:$A$500=$K$1),--('2026'!$C$5:$C$500=$B20))+SUMPRODUCT(--('2026'!$A$5:$A$500=$K$1),--('2026'!$F$5:$F$500=$B20))+SUMPRODUCT(--('2026'!$A$5:$A$500=$K$1),--('2026'!$D$5:$D$500=$B20))+SUMPRODUCT(--('2026'!$A$5:$A$500=$K$1),--('2026'!$G$5:$G$500=$B20))</f>
        <v/>
      </c>
      <c r="L20" s="50">
        <f>SUMPRODUCT(--('2026'!$A$5:$A$500=$K$1),--('2026'!$I$5:$I$500=$B20))+SUMPRODUCT(--('2026'!$A$5:$A$500=$K$1),--('2026'!$J$5:$J$500=$B20))</f>
        <v/>
      </c>
      <c r="M20" s="50">
        <f>SUMPRODUCT(--('2026'!$A$5:$A$500=$M$1),--('2026'!$C$5:$C$500=$B20))+SUMPRODUCT(--('2026'!$A$5:$A$500=$M$1),--('2026'!$F$5:$F$500=$B20))+SUMPRODUCT(--('2026'!$A$5:$A$500=$M$1),--('2026'!$D$5:$D$500=$B20))+SUMPRODUCT(--('2026'!$A$5:$A$500=$M$1),--('2026'!$G$5:$G$500=$B20))</f>
        <v/>
      </c>
      <c r="N20" s="50">
        <f>SUMPRODUCT(--('2026'!$A$5:$A$500=$M$1),--('2026'!$I$5:$I$500=$B20))+SUMPRODUCT(--('2026'!$A$5:$A$500=$M$1),--('2026'!$J$5:$J$500=$B20))</f>
        <v/>
      </c>
      <c r="O20" s="50">
        <f>SUMPRODUCT(--('2026'!$A$5:$A$500=$O$1),--('2026'!$C$5:$C$500=$B20))+SUMPRODUCT(--('2026'!$A$5:$A$500=$O$1),--('2026'!$F$5:$F$500=$B20))+SUMPRODUCT(--('2026'!$A$5:$A$500=$O$1),--('2026'!$D$5:$D$500=$B20))+SUMPRODUCT(--('2026'!$A$5:$A$500=$O$1),--('2026'!$G$5:$G$500=$B20))</f>
        <v/>
      </c>
      <c r="P20" s="50">
        <f>SUMPRODUCT(--('2026'!$A$5:$A$500=$O$1),--('2026'!$I$5:$I$500=$B20))+SUMPRODUCT(--('2026'!$A$5:$A$500=$O$1),--('2026'!$J$5:$J$500=$B20))</f>
        <v/>
      </c>
      <c r="Q20" s="50">
        <f>SUMPRODUCT(--('2026'!$A$5:$A$500=$Q$1),--('2026'!$C$5:$C$500=$B20))+SUMPRODUCT(--('2026'!$A$5:$A$500=$Q$1),--('2026'!$F$5:$F$500=$B20))+SUMPRODUCT(--('2026'!$A$5:$A$500=$Q$1),--('2026'!$D$5:$D$500=$B20))+SUMPRODUCT(--('2026'!$A$5:$A$500=$Q$1),--('2026'!$G$5:$G$500=$B20))</f>
        <v/>
      </c>
      <c r="R20" s="50">
        <f>SUMPRODUCT(--('2026'!$A$5:$A$500=$Q$1),--('2026'!$I$5:$I$500=$B20))+SUMPRODUCT(--('2026'!$A$5:$A$500=$Q$1),--('2026'!$J$5:$J$500=$B20))</f>
        <v/>
      </c>
      <c r="S20" s="50">
        <f>SUMPRODUCT(--('2026'!$A$5:$A$500=$S$1),--('2026'!$C$5:$C$500=$B20))+SUMPRODUCT(--('2026'!$A$5:$A$500=$S$1),--('2026'!$F$5:$F$500=$B20))+SUMPRODUCT(--('2026'!$A$5:$A$500=$S$1),--('2026'!$D$5:$D$500=$B20))+SUMPRODUCT(--('2026'!$A$5:$A$500=$S$1),--('2026'!$G$5:$G$500=$B20))</f>
        <v/>
      </c>
      <c r="T20" s="50">
        <f>SUMPRODUCT(--('2026'!$A$5:$A$500=$S$1),--('2026'!$I$5:$I$500=$B20))+SUMPRODUCT(--('2026'!$A$5:$A$500=$S$1),--('2026'!$J$5:$J$500=$B20))</f>
        <v/>
      </c>
      <c r="U20" s="50">
        <f>SUMPRODUCT(--('2026'!$A$5:$A$500=$U$1),--('2026'!$C$5:$C$500=$B20))+SUMPRODUCT(--('2026'!$A$5:$A$500=$U$1),--('2026'!$F$5:$F$500=$B20))+SUMPRODUCT(--('2026'!$A$5:$A$500=$U$1),--('2026'!$D$5:$D$500=$B20))+SUMPRODUCT(--('2026'!$A$5:$A$500=$U$1),--('2026'!$G$5:$G$500=$B20))</f>
        <v/>
      </c>
      <c r="V20" s="50">
        <f>SUMPRODUCT(--('2026'!$A$5:$A$500=$U$1),--('2026'!$I$5:$I$500=$B20))+SUMPRODUCT(--('2026'!$A$5:$A$500=$U$1),--('2026'!$J$5:$J$500=$B20))</f>
        <v/>
      </c>
      <c r="W20" s="60">
        <f>SUMPRODUCT(--('2026'!$A$5:$A$500=$W$1),--('2026'!$C$5:$C$500=$B20))+SUMPRODUCT(--('2026'!$A$5:$A$500=$W$1),--('2026'!$F$5:$F$500=$B20))+SUMPRODUCT(--('2026'!$A$5:$A$500=$W$1),--('2026'!$D$5:$D$500=$B20))+SUMPRODUCT(--('2026'!$A$5:$A$500=$W$1),--('2026'!$G$5:$G$500=$B20))</f>
        <v/>
      </c>
      <c r="X20" s="60">
        <f>SUMPRODUCT(--('2026'!$A$5:$A$500=$W$1),--('2026'!$I$5:$I$500=$B20))+SUMPRODUCT(--('2026'!$A$5:$A$500=$W$1),--('2026'!$J$5:$J$500=$B20))</f>
        <v/>
      </c>
      <c r="Y20" s="51">
        <f>SUMPRODUCT(--('2026'!$A$5:$A$500=$Y$1),--('2026'!$C$5:$C$500=$B20))+SUMPRODUCT(--('2026'!$A$5:$A$500=$Y$1),--('2026'!$F$5:$F$500=$B20))+SUMPRODUCT(--('2026'!$A$5:$A$500=$Y$1),--('2026'!$D$5:$D$500=$B20))+SUMPRODUCT(--('2026'!$A$5:$A$500=$Y$1),--('2026'!$G$5:$G$500=$B20))</f>
        <v/>
      </c>
      <c r="Z20" s="51">
        <f>SUMPRODUCT(--('2026'!$A$5:$A$500=$Y$1),--('2026'!$I$5:$I$500=$B20))+SUMPRODUCT(--('2026'!$A$5:$A$500=$Y$1),--('2026'!$J$5:$J$500=$B20))</f>
        <v/>
      </c>
      <c r="AA20" s="51">
        <f>SUMPRODUCT(--('2026'!$A$5:$A$500=$AA$1),--('2026'!$C$5:$C$500=$B20))+SUMPRODUCT(--('2026'!$A$5:$A$500=$AA$1),--('2026'!$F$5:$F$500=$B20))+SUMPRODUCT(--('2026'!$A$5:$A$500=$AA$1),--('2026'!$D$5:$D$500=$B20))+SUMPRODUCT(--('2026'!$A$5:$A$500=$AA$1),--('2026'!$G$5:$G$500=$B20))</f>
        <v/>
      </c>
      <c r="AB20" s="51">
        <f>SUMPRODUCT(--('2026'!$A$5:$A$500=$AA$1),--('2026'!$I$5:$I$500=$B20))+SUMPRODUCT(--('2026'!$A$5:$A$500=$AA$1),--('2026'!$J$5:$J$500=$B20))</f>
        <v/>
      </c>
      <c r="AC20" s="51">
        <f>SUMPRODUCT(--('2026'!$A$5:$A$500=$AC$1),--('2026'!$C$5:$C$500=$B20))+SUMPRODUCT(--('2026'!$A$5:$A$500=$AC$1),--('2026'!$F$5:$F$500=$B20))+SUMPRODUCT(--('2026'!$A$5:$A$500=$AC$1),--('2026'!$D$5:$D$500=$B20))+SUMPRODUCT(--('2026'!$A$5:$A$500=$AC$1),--('2026'!$G$5:$G$500=$B20))</f>
        <v/>
      </c>
      <c r="AD20" s="51">
        <f>SUMPRODUCT(--('2026'!$A$5:$A$500=$AC$1),--('2026'!$I$5:$I$500=$B20))+SUMPRODUCT(--('2026'!$A$5:$A$500=$AC$1),--('2026'!$J$5:$J$500=$B20))</f>
        <v/>
      </c>
      <c r="AE20" s="61">
        <f>SUMPRODUCT(--('2026'!$A$5:$A$500=$AE$1),--('2026'!$C$5:$C$500=$B20))+SUMPRODUCT(--('2026'!$A$5:$A$500=$AE$1),--('2026'!$F$5:$F$500=$B20))+SUMPRODUCT(--('2026'!$A$5:$A$500=$AE$1),--('2026'!$D$5:$D$500=$B20))+SUMPRODUCT(--('2026'!$A$5:$A$500=$AE$1),--('2026'!$G$5:$G$500=$B20))</f>
        <v/>
      </c>
      <c r="AF20" s="61">
        <f>SUMPRODUCT(--('2026'!$A$5:$A$500=$AE$1),--('2026'!$I$5:$I$500=$B20))+SUMPRODUCT(--('2026'!$A$5:$A$500=$AE$1),--('2026'!$J$5:$J$500=$B20))</f>
        <v/>
      </c>
      <c r="AG20" s="51">
        <f>SUMPRODUCT(--('2026'!$A$5:$A$500=$AG$1),--('2026'!$C$5:$C$500=$B20))+SUMPRODUCT(--('2026'!$A$5:$A$500=$AG$1),--('2026'!$F$5:$F$500=$B20))+SUMPRODUCT(--('2026'!$A$5:$A$500=$AG$1),--('2026'!$D$5:$D$500=$B20))+SUMPRODUCT(--('2026'!$A$5:$A$500=$AG$1),--('2026'!$G$5:$G$500=$B20))</f>
        <v/>
      </c>
      <c r="AH20" s="51">
        <f>SUMPRODUCT(--('2026'!$A$5:$A$500=$AG$1),--('2026'!$I$5:$I$500=$B20))+SUMPRODUCT(--('2026'!$A$5:$A$500=$AG$1),--('2026'!$J$5:$J$500=$B20))</f>
        <v/>
      </c>
      <c r="AI20" s="51">
        <f>SUMPRODUCT(--('2026'!$A$5:$A$500=$AI$1),--('2026'!$C$5:$C$500=$B20))+SUMPRODUCT(--('2026'!$A$5:$A$500=$AI$1),--('2026'!$F$5:$F$500=$B20))+SUMPRODUCT(--('2026'!$A$5:$A$500=$AI$1),--('2026'!$D$5:$D$500=$B20))+SUMPRODUCT(--('2026'!$A$5:$A$500=$AI$1),--('2026'!$G$5:$G$500=$B20))</f>
        <v/>
      </c>
      <c r="AJ20" s="51">
        <f>SUMPRODUCT(--('2026'!$A$5:$A$500=$AI$1),--('2026'!$I$5:$I$500=$B20))+SUMPRODUCT(--('2026'!$A$5:$A$500=$AI$1),--('2026'!$J$5:$J$500=$B20))</f>
        <v/>
      </c>
      <c r="AK20" s="51">
        <f>SUMPRODUCT(--('2026'!$A$5:$A$500=$AK$1),--('2026'!$C$5:$C$500=$B20))+SUMPRODUCT(--('2026'!$A$5:$A$500=$AK$1),--('2026'!$F$5:$F$500=$B20))+SUMPRODUCT(--('2026'!$A$5:$A$500=$AK$1),--('2026'!$D$5:$D$500=$B20))+SUMPRODUCT(--('2026'!$A$5:$A$500=$AK$1),--('2026'!$G$5:$G$500=$B20))</f>
        <v/>
      </c>
      <c r="AL20" s="51">
        <f>SUMPRODUCT(--('2026'!$A$5:$A$500=$AK$1),--('2026'!$I$5:$I$500=$B20))+SUMPRODUCT(--('2026'!$A$5:$A$500=$AK$1),--('2026'!$J$5:$J$500=$B20))</f>
        <v/>
      </c>
      <c r="AM20" s="51">
        <f>SUMPRODUCT(--('2026'!$A$5:$A$500=$AM$1),--('2026'!$C$5:$C$500=$B20))+SUMPRODUCT(--('2026'!$A$5:$A$500=$AM$1),--('2026'!$F$5:$F$500=$B20))+SUMPRODUCT(--('2026'!$A$5:$A$500=$AM$1),--('2026'!$D$5:$D$500=$B20))+SUMPRODUCT(--('2026'!$A$5:$A$500=$AM$1),--('2026'!$G$5:$G$500=$B20))</f>
        <v/>
      </c>
      <c r="AN20" s="51">
        <f>SUMPRODUCT(--('2026'!$A$5:$A$500=$AM$1),--('2026'!$I$5:$I$500=$B20))+SUMPRODUCT(--('2026'!$A$5:$A$500=$AM$1),--('2026'!$J$5:$J$500=$B20))</f>
        <v/>
      </c>
      <c r="AO20" s="51">
        <f>SUMPRODUCT(--('2026'!$A$5:$A$500=$AO$1),--('2026'!$C$5:$C$500=$B20))+SUMPRODUCT(--('2026'!$A$5:$A$500=$AO$1),--('2026'!$F$5:$F$500=$B20))+SUMPRODUCT(--('2026'!$A$5:$A$500=$AO$1),--('2026'!$D$5:$D$500=$B20))+SUMPRODUCT(--('2026'!$A$5:$A$500=$AO$1),--('2026'!$G$5:$G$500=$B20))</f>
        <v/>
      </c>
      <c r="AP20" s="51">
        <f>SUMPRODUCT(--('2026'!$A$5:$A$500=$AO$1),--('2026'!$I$5:$I$500=$B20))+SUMPRODUCT(--('2026'!$A$5:$A$500=$AO$1),--('2026'!$J$5:$J$500=$B20))</f>
        <v/>
      </c>
      <c r="AQ20" s="51">
        <f>SUMPRODUCT(--('2026'!$A$5:$A$500=$AQ$1),--('2026'!$C$5:$C$500=$B20))+SUMPRODUCT(--('2026'!$A$5:$A$500=$AQ$1),--('2026'!$F$5:$F$500=$B20))+SUMPRODUCT(--('2026'!$A$5:$A$500=$AQ$1),--('2026'!$D$5:$D$500=$B20))+SUMPRODUCT(--('2026'!$A$5:$A$500=$AQ$1),--('2026'!$G$5:$G$500=$B20))</f>
        <v/>
      </c>
      <c r="AR20" s="51">
        <f>SUMPRODUCT(--('2026'!$A$5:$A$500=$AQ$1),--('2026'!$I$5:$I$500=$B20))+SUMPRODUCT(--('2026'!$A$5:$A$500=$AQ$1),--('2026'!$J$5:$J$500=$B20))</f>
        <v/>
      </c>
      <c r="AS20" s="51">
        <f>SUMPRODUCT(--('2026'!$A$5:$A$500=$AS$1),--('2026'!$C$5:$C$500=$B20))+SUMPRODUCT(--('2026'!$A$5:$A$500=$AS$1),--('2026'!$F$5:$F$500=$B20))+SUMPRODUCT(--('2026'!$A$5:$A$500=$AS$1),--('2026'!$D$5:$D$500=$B20))+SUMPRODUCT(--('2026'!$A$5:$A$500=$AS$1),--('2026'!$G$5:$G$500=$B20))</f>
        <v/>
      </c>
      <c r="AT20" s="51">
        <f>SUMPRODUCT(--('2026'!$A$5:$A$500=$AS$1),--('2026'!$I$5:$I$500=$B20))+SUMPRODUCT(--('2026'!$A$5:$A$500=$AS$1),--('2026'!$J$5:$J$500=$B20))</f>
        <v/>
      </c>
      <c r="AU20" s="51">
        <f>SUMPRODUCT(--('2026'!$A$5:$A$500=$AU$1),--('2026'!$C$5:$C$500=$B20))+SUMPRODUCT(--('2026'!$A$5:$A$500=$AU$1),--('2026'!$F$5:$F$500=$B20))+SUMPRODUCT(--('2026'!$A$5:$A$500=$AU$1),--('2026'!$D$5:$D$500=$B20))+SUMPRODUCT(--('2026'!$A$5:$A$500=$AU$1),--('2026'!$G$5:$G$500=$B20))</f>
        <v/>
      </c>
      <c r="AV20" s="51">
        <f>SUMPRODUCT(--('2026'!$A$5:$A$500=$AU$1),--('2026'!$I$5:$I$500=$B20))+SUMPRODUCT(--('2026'!$A$5:$A$500=$AU$1),--('2026'!$J$5:$J$500=$B20))</f>
        <v/>
      </c>
      <c r="AW20" s="51">
        <f>SUMPRODUCT(--('2026'!$A$5:$A$500=$AW$1),--('2026'!$C$5:$C$500=$B20))+SUMPRODUCT(--('2026'!$A$5:$A$500=$AW$1),--('2026'!$F$5:$F$500=$B20))+SUMPRODUCT(--('2026'!$A$5:$A$500=$AW$1),--('2026'!$D$5:$D$500=$B20))+SUMPRODUCT(--('2026'!$A$5:$A$500=$AW$1),--('2026'!$G$5:$G$500=$B20))</f>
        <v/>
      </c>
      <c r="AX20" s="51">
        <f>SUMPRODUCT(--('2026'!$A$5:$A$500=$AW$1),--('2026'!$I$5:$I$500=$B20))+SUMPRODUCT(--('2026'!$A$5:$A$500=$AW$1),--('2026'!$J$5:$J$500=$B20))</f>
        <v/>
      </c>
      <c r="BA20" s="54" t="inlineStr">
        <is>
          <t>Zaheer</t>
        </is>
      </c>
      <c r="BB20" s="47">
        <f>IF(ISODD(COUNTIF(C20:AX20,"&gt;0")),COUNTIF(C20:AX20,"&gt;0")+1,COUNTIF(C20:AX20,"&gt;0"))/2</f>
        <v/>
      </c>
      <c r="BC20" s="52">
        <f>BB20/15</f>
        <v/>
      </c>
    </row>
    <row r="21" ht="15" customHeight="1" s="106">
      <c r="A21" t="n">
        <v>19</v>
      </c>
      <c r="B21" s="54" t="inlineStr">
        <is>
          <t>Rahul J</t>
        </is>
      </c>
      <c r="C21" s="50">
        <f>SUMPRODUCT(--('2026'!$A$5:$A$500=$C$1),--('2026'!$C$5:$C$500=$B21))+SUMPRODUCT(--('2026'!$A$5:$A$500=$C$1),--('2026'!$F$5:$F$500=$B21))+SUMPRODUCT(--('2026'!$A$5:$A$500=$C$1),--('2026'!$D$5:$D$500=$B21))+SUMPRODUCT(--('2026'!$A$5:$A$500=$C$1),--('2026'!$G$5:$G$500=$B21))</f>
        <v/>
      </c>
      <c r="D21" s="50">
        <f>SUMPRODUCT(--('2026'!$A$5:$A$500=$C$1),--('2026'!$I$5:$I$500=$B21))+SUMPRODUCT(--('2026'!$A$5:$A$500=$C$1),--('2026'!$J$5:$J$500=$B21))</f>
        <v/>
      </c>
      <c r="E21" s="50">
        <f>SUMPRODUCT(--('2026'!$A$5:$A$500=$E$1),--('2026'!$C$5:$C$500=$B21))+SUMPRODUCT(--('2026'!$A$5:$A$500=$E$1),--('2026'!$F$5:$F$500=$B21))+SUMPRODUCT(--('2026'!$A$5:$A$500=$E$1),--('2026'!$D$5:$D$500=$B21))+SUMPRODUCT(--('2026'!$A$5:$A$500=$E$1),--('2026'!$G$5:$G$500=$B21))</f>
        <v/>
      </c>
      <c r="F21" s="50">
        <f>SUMPRODUCT(--('2026'!$A$5:$A$500=$E$1),--('2026'!$I$5:$I$500=$B21))+SUMPRODUCT(--('2026'!$A$5:$A$500=$E$1),--('2026'!$J$5:$J$500=$B21))</f>
        <v/>
      </c>
      <c r="G21" s="50">
        <f>SUMPRODUCT(--('2026'!$A$5:$A$500=$G$1),--('2026'!$C$5:$C$500=$B21))+SUMPRODUCT(--('2026'!$A$5:$A$500=$G$1),--('2026'!$F$5:$F$500=$B21))+SUMPRODUCT(--('2026'!$A$5:$A$500=$G$1),--('2026'!$D$5:$D$500=$B21))+SUMPRODUCT(--('2026'!$A$5:$A$500=$G$1),--('2026'!$G$5:$G$500=$B21))</f>
        <v/>
      </c>
      <c r="H21" s="50">
        <f>SUMPRODUCT(--('2026'!$A$5:$A$500=$G$1),--('2026'!$I$5:$I$500=$B21))+SUMPRODUCT(--('2026'!$A$5:$A$500=$G$1),--('2026'!$J$5:$J$500=$B21))</f>
        <v/>
      </c>
      <c r="I21" s="50">
        <f>SUMPRODUCT(--('2026'!$A$5:$A$500=$I$1),--('2026'!$C$5:$C$500=$B21))+SUMPRODUCT(--('2026'!$A$5:$A$500=$I$1),--('2026'!$F$5:$F$500=$B21))+SUMPRODUCT(--('2026'!$A$5:$A$500=$I$1),--('2026'!$D$5:$D$500=$B21))+SUMPRODUCT(--('2026'!$A$5:$A$500=$I$1),--('2026'!$G$5:$G$500=$B21))</f>
        <v/>
      </c>
      <c r="J21" s="50">
        <f>SUMPRODUCT(--('2026'!$A$5:$A$500=$I$1),--('2026'!$I$5:$I$500=$B21))+SUMPRODUCT(--('2026'!$A$5:$A$500=$I$1),--('2026'!$J$5:$J$500=$B21))</f>
        <v/>
      </c>
      <c r="K21" s="50">
        <f>SUMPRODUCT(--('2026'!$A$5:$A$500=$K$1),--('2026'!$C$5:$C$500=$B21))+SUMPRODUCT(--('2026'!$A$5:$A$500=$K$1),--('2026'!$F$5:$F$500=$B21))+SUMPRODUCT(--('2026'!$A$5:$A$500=$K$1),--('2026'!$D$5:$D$500=$B21))+SUMPRODUCT(--('2026'!$A$5:$A$500=$K$1),--('2026'!$G$5:$G$500=$B21))</f>
        <v/>
      </c>
      <c r="L21" s="50">
        <f>SUMPRODUCT(--('2026'!$A$5:$A$500=$K$1),--('2026'!$I$5:$I$500=$B21))+SUMPRODUCT(--('2026'!$A$5:$A$500=$K$1),--('2026'!$J$5:$J$500=$B21))</f>
        <v/>
      </c>
      <c r="M21" s="50">
        <f>SUMPRODUCT(--('2026'!$A$5:$A$500=$M$1),--('2026'!$C$5:$C$500=$B21))+SUMPRODUCT(--('2026'!$A$5:$A$500=$M$1),--('2026'!$F$5:$F$500=$B21))+SUMPRODUCT(--('2026'!$A$5:$A$500=$M$1),--('2026'!$D$5:$D$500=$B21))+SUMPRODUCT(--('2026'!$A$5:$A$500=$M$1),--('2026'!$G$5:$G$500=$B21))</f>
        <v/>
      </c>
      <c r="N21" s="50">
        <f>SUMPRODUCT(--('2026'!$A$5:$A$500=$M$1),--('2026'!$I$5:$I$500=$B21))+SUMPRODUCT(--('2026'!$A$5:$A$500=$M$1),--('2026'!$J$5:$J$500=$B21))</f>
        <v/>
      </c>
      <c r="O21" s="50">
        <f>SUMPRODUCT(--('2026'!$A$5:$A$500=$O$1),--('2026'!$C$5:$C$500=$B21))+SUMPRODUCT(--('2026'!$A$5:$A$500=$O$1),--('2026'!$F$5:$F$500=$B21))+SUMPRODUCT(--('2026'!$A$5:$A$500=$O$1),--('2026'!$D$5:$D$500=$B21))+SUMPRODUCT(--('2026'!$A$5:$A$500=$O$1),--('2026'!$G$5:$G$500=$B21))</f>
        <v/>
      </c>
      <c r="P21" s="50">
        <f>SUMPRODUCT(--('2026'!$A$5:$A$500=$O$1),--('2026'!$I$5:$I$500=$B21))+SUMPRODUCT(--('2026'!$A$5:$A$500=$O$1),--('2026'!$J$5:$J$500=$B21))</f>
        <v/>
      </c>
      <c r="Q21" s="50">
        <f>SUMPRODUCT(--('2026'!$A$5:$A$500=$Q$1),--('2026'!$C$5:$C$500=$B21))+SUMPRODUCT(--('2026'!$A$5:$A$500=$Q$1),--('2026'!$F$5:$F$500=$B21))+SUMPRODUCT(--('2026'!$A$5:$A$500=$Q$1),--('2026'!$D$5:$D$500=$B21))+SUMPRODUCT(--('2026'!$A$5:$A$500=$Q$1),--('2026'!$G$5:$G$500=$B21))</f>
        <v/>
      </c>
      <c r="R21" s="50">
        <f>SUMPRODUCT(--('2026'!$A$5:$A$500=$Q$1),--('2026'!$I$5:$I$500=$B21))+SUMPRODUCT(--('2026'!$A$5:$A$500=$Q$1),--('2026'!$J$5:$J$500=$B21))</f>
        <v/>
      </c>
      <c r="S21" s="50">
        <f>SUMPRODUCT(--('2026'!$A$5:$A$500=$S$1),--('2026'!$C$5:$C$500=$B21))+SUMPRODUCT(--('2026'!$A$5:$A$500=$S$1),--('2026'!$F$5:$F$500=$B21))+SUMPRODUCT(--('2026'!$A$5:$A$500=$S$1),--('2026'!$D$5:$D$500=$B21))+SUMPRODUCT(--('2026'!$A$5:$A$500=$S$1),--('2026'!$G$5:$G$500=$B21))</f>
        <v/>
      </c>
      <c r="T21" s="50">
        <f>SUMPRODUCT(--('2026'!$A$5:$A$500=$S$1),--('2026'!$I$5:$I$500=$B21))+SUMPRODUCT(--('2026'!$A$5:$A$500=$S$1),--('2026'!$J$5:$J$500=$B21))</f>
        <v/>
      </c>
      <c r="U21" s="50">
        <f>SUMPRODUCT(--('2026'!$A$5:$A$500=$U$1),--('2026'!$C$5:$C$500=$B21))+SUMPRODUCT(--('2026'!$A$5:$A$500=$U$1),--('2026'!$F$5:$F$500=$B21))+SUMPRODUCT(--('2026'!$A$5:$A$500=$U$1),--('2026'!$D$5:$D$500=$B21))+SUMPRODUCT(--('2026'!$A$5:$A$500=$U$1),--('2026'!$G$5:$G$500=$B21))</f>
        <v/>
      </c>
      <c r="V21" s="50">
        <f>SUMPRODUCT(--('2026'!$A$5:$A$500=$U$1),--('2026'!$I$5:$I$500=$B21))+SUMPRODUCT(--('2026'!$A$5:$A$500=$U$1),--('2026'!$J$5:$J$500=$B21))</f>
        <v/>
      </c>
      <c r="W21" s="60">
        <f>SUMPRODUCT(--('2026'!$A$5:$A$500=$W$1),--('2026'!$C$5:$C$500=$B21))+SUMPRODUCT(--('2026'!$A$5:$A$500=$W$1),--('2026'!$F$5:$F$500=$B21))+SUMPRODUCT(--('2026'!$A$5:$A$500=$W$1),--('2026'!$D$5:$D$500=$B21))+SUMPRODUCT(--('2026'!$A$5:$A$500=$W$1),--('2026'!$G$5:$G$500=$B21))</f>
        <v/>
      </c>
      <c r="X21" s="60">
        <f>SUMPRODUCT(--('2026'!$A$5:$A$500=$W$1),--('2026'!$I$5:$I$500=$B21))+SUMPRODUCT(--('2026'!$A$5:$A$500=$W$1),--('2026'!$J$5:$J$500=$B21))</f>
        <v/>
      </c>
      <c r="Y21" s="50">
        <f>SUMPRODUCT(--('2026'!$A$5:$A$500=$Y$1),--('2026'!$C$5:$C$500=$B21))+SUMPRODUCT(--('2026'!$A$5:$A$500=$Y$1),--('2026'!$F$5:$F$500=$B21))+SUMPRODUCT(--('2026'!$A$5:$A$500=$Y$1),--('2026'!$D$5:$D$500=$B21))+SUMPRODUCT(--('2026'!$A$5:$A$500=$Y$1),--('2026'!$G$5:$G$500=$B21))</f>
        <v/>
      </c>
      <c r="Z21" s="50">
        <f>SUMPRODUCT(--('2026'!$A$5:$A$500=$Y$1),--('2026'!$I$5:$I$500=$B21))+SUMPRODUCT(--('2026'!$A$5:$A$500=$Y$1),--('2026'!$J$5:$J$500=$B21))</f>
        <v/>
      </c>
      <c r="AA21" s="50">
        <f>SUMPRODUCT(--('2026'!$A$5:$A$500=$AA$1),--('2026'!$C$5:$C$500=$B21))+SUMPRODUCT(--('2026'!$A$5:$A$500=$AA$1),--('2026'!$F$5:$F$500=$B21))+SUMPRODUCT(--('2026'!$A$5:$A$500=$AA$1),--('2026'!$D$5:$D$500=$B21))+SUMPRODUCT(--('2026'!$A$5:$A$500=$AA$1),--('2026'!$G$5:$G$500=$B21))</f>
        <v/>
      </c>
      <c r="AB21" s="50">
        <f>SUMPRODUCT(--('2026'!$A$5:$A$500=$AA$1),--('2026'!$I$5:$I$500=$B21))+SUMPRODUCT(--('2026'!$A$5:$A$500=$AA$1),--('2026'!$J$5:$J$500=$B21))</f>
        <v/>
      </c>
      <c r="AC21" s="50">
        <f>SUMPRODUCT(--('2026'!$A$5:$A$500=$AC$1),--('2026'!$C$5:$C$500=$B21))+SUMPRODUCT(--('2026'!$A$5:$A$500=$AC$1),--('2026'!$F$5:$F$500=$B21))+SUMPRODUCT(--('2026'!$A$5:$A$500=$AC$1),--('2026'!$D$5:$D$500=$B21))+SUMPRODUCT(--('2026'!$A$5:$A$500=$AC$1),--('2026'!$G$5:$G$500=$B21))</f>
        <v/>
      </c>
      <c r="AD21" s="50">
        <f>SUMPRODUCT(--('2026'!$A$5:$A$500=$AC$1),--('2026'!$I$5:$I$500=$B21))+SUMPRODUCT(--('2026'!$A$5:$A$500=$AC$1),--('2026'!$J$5:$J$500=$B21))</f>
        <v/>
      </c>
      <c r="AE21" s="60">
        <f>SUMPRODUCT(--('2026'!$A$5:$A$500=$AE$1),--('2026'!$C$5:$C$500=$B21))+SUMPRODUCT(--('2026'!$A$5:$A$500=$AE$1),--('2026'!$F$5:$F$500=$B21))+SUMPRODUCT(--('2026'!$A$5:$A$500=$AE$1),--('2026'!$D$5:$D$500=$B21))+SUMPRODUCT(--('2026'!$A$5:$A$500=$AE$1),--('2026'!$G$5:$G$500=$B21))</f>
        <v/>
      </c>
      <c r="AF21" s="60">
        <f>SUMPRODUCT(--('2026'!$A$5:$A$500=$AE$1),--('2026'!$I$5:$I$500=$B21))+SUMPRODUCT(--('2026'!$A$5:$A$500=$AE$1),--('2026'!$J$5:$J$500=$B21))</f>
        <v/>
      </c>
      <c r="AG21" s="50">
        <f>SUMPRODUCT(--('2026'!$A$5:$A$500=$AG$1),--('2026'!$C$5:$C$500=$B21))+SUMPRODUCT(--('2026'!$A$5:$A$500=$AG$1),--('2026'!$F$5:$F$500=$B21))+SUMPRODUCT(--('2026'!$A$5:$A$500=$AG$1),--('2026'!$D$5:$D$500=$B21))+SUMPRODUCT(--('2026'!$A$5:$A$500=$AG$1),--('2026'!$G$5:$G$500=$B21))</f>
        <v/>
      </c>
      <c r="AH21" s="50">
        <f>SUMPRODUCT(--('2026'!$A$5:$A$500=$AG$1),--('2026'!$I$5:$I$500=$B21))+SUMPRODUCT(--('2026'!$A$5:$A$500=$AG$1),--('2026'!$J$5:$J$500=$B21))</f>
        <v/>
      </c>
      <c r="AI21" s="50">
        <f>SUMPRODUCT(--('2026'!$A$5:$A$500=$AI$1),--('2026'!$C$5:$C$500=$B21))+SUMPRODUCT(--('2026'!$A$5:$A$500=$AI$1),--('2026'!$F$5:$F$500=$B21))+SUMPRODUCT(--('2026'!$A$5:$A$500=$AI$1),--('2026'!$D$5:$D$500=$B21))+SUMPRODUCT(--('2026'!$A$5:$A$500=$AI$1),--('2026'!$G$5:$G$500=$B21))</f>
        <v/>
      </c>
      <c r="AJ21" s="50">
        <f>SUMPRODUCT(--('2026'!$A$5:$A$500=$AI$1),--('2026'!$I$5:$I$500=$B21))+SUMPRODUCT(--('2026'!$A$5:$A$500=$AI$1),--('2026'!$J$5:$J$500=$B21))</f>
        <v/>
      </c>
      <c r="AK21" s="50">
        <f>SUMPRODUCT(--('2026'!$A$5:$A$500=$AK$1),--('2026'!$C$5:$C$500=$B21))+SUMPRODUCT(--('2026'!$A$5:$A$500=$AK$1),--('2026'!$F$5:$F$500=$B21))+SUMPRODUCT(--('2026'!$A$5:$A$500=$AK$1),--('2026'!$D$5:$D$500=$B21))+SUMPRODUCT(--('2026'!$A$5:$A$500=$AK$1),--('2026'!$G$5:$G$500=$B21))</f>
        <v/>
      </c>
      <c r="AL21" s="50">
        <f>SUMPRODUCT(--('2026'!$A$5:$A$500=$AK$1),--('2026'!$I$5:$I$500=$B21))+SUMPRODUCT(--('2026'!$A$5:$A$500=$AK$1),--('2026'!$J$5:$J$500=$B21))</f>
        <v/>
      </c>
      <c r="AM21" s="50">
        <f>SUMPRODUCT(--('2026'!$A$5:$A$500=$AM$1),--('2026'!$C$5:$C$500=$B21))+SUMPRODUCT(--('2026'!$A$5:$A$500=$AM$1),--('2026'!$F$5:$F$500=$B21))+SUMPRODUCT(--('2026'!$A$5:$A$500=$AM$1),--('2026'!$D$5:$D$500=$B21))+SUMPRODUCT(--('2026'!$A$5:$A$500=$AM$1),--('2026'!$G$5:$G$500=$B21))</f>
        <v/>
      </c>
      <c r="AN21" s="50">
        <f>SUMPRODUCT(--('2026'!$A$5:$A$500=$AM$1),--('2026'!$I$5:$I$500=$B21))+SUMPRODUCT(--('2026'!$A$5:$A$500=$AM$1),--('2026'!$J$5:$J$500=$B21))</f>
        <v/>
      </c>
      <c r="AO21" s="50">
        <f>SUMPRODUCT(--('2026'!$A$5:$A$500=$AO$1),--('2026'!$C$5:$C$500=$B21))+SUMPRODUCT(--('2026'!$A$5:$A$500=$AO$1),--('2026'!$F$5:$F$500=$B21))+SUMPRODUCT(--('2026'!$A$5:$A$500=$AO$1),--('2026'!$D$5:$D$500=$B21))+SUMPRODUCT(--('2026'!$A$5:$A$500=$AO$1),--('2026'!$G$5:$G$500=$B21))</f>
        <v/>
      </c>
      <c r="AP21" s="50">
        <f>SUMPRODUCT(--('2026'!$A$5:$A$500=$AO$1),--('2026'!$I$5:$I$500=$B21))+SUMPRODUCT(--('2026'!$A$5:$A$500=$AO$1),--('2026'!$J$5:$J$500=$B21))</f>
        <v/>
      </c>
      <c r="AQ21" s="50">
        <f>SUMPRODUCT(--('2026'!$A$5:$A$500=$AQ$1),--('2026'!$C$5:$C$500=$B21))+SUMPRODUCT(--('2026'!$A$5:$A$500=$AQ$1),--('2026'!$F$5:$F$500=$B21))+SUMPRODUCT(--('2026'!$A$5:$A$500=$AQ$1),--('2026'!$D$5:$D$500=$B21))+SUMPRODUCT(--('2026'!$A$5:$A$500=$AQ$1),--('2026'!$G$5:$G$500=$B21))</f>
        <v/>
      </c>
      <c r="AR21" s="50">
        <f>SUMPRODUCT(--('2026'!$A$5:$A$500=$AQ$1),--('2026'!$I$5:$I$500=$B21))+SUMPRODUCT(--('2026'!$A$5:$A$500=$AQ$1),--('2026'!$J$5:$J$500=$B21))</f>
        <v/>
      </c>
      <c r="AS21" s="50">
        <f>SUMPRODUCT(--('2026'!$A$5:$A$500=$AS$1),--('2026'!$C$5:$C$500=$B21))+SUMPRODUCT(--('2026'!$A$5:$A$500=$AS$1),--('2026'!$F$5:$F$500=$B21))+SUMPRODUCT(--('2026'!$A$5:$A$500=$AS$1),--('2026'!$D$5:$D$500=$B21))+SUMPRODUCT(--('2026'!$A$5:$A$500=$AS$1),--('2026'!$G$5:$G$500=$B21))</f>
        <v/>
      </c>
      <c r="AT21" s="50">
        <f>SUMPRODUCT(--('2026'!$A$5:$A$500=$AS$1),--('2026'!$I$5:$I$500=$B21))+SUMPRODUCT(--('2026'!$A$5:$A$500=$AS$1),--('2026'!$J$5:$J$500=$B21))</f>
        <v/>
      </c>
      <c r="AU21" s="50">
        <f>SUMPRODUCT(--('2026'!$A$5:$A$500=$AU$1),--('2026'!$C$5:$C$500=$B21))+SUMPRODUCT(--('2026'!$A$5:$A$500=$AU$1),--('2026'!$F$5:$F$500=$B21))+SUMPRODUCT(--('2026'!$A$5:$A$500=$AU$1),--('2026'!$D$5:$D$500=$B21))+SUMPRODUCT(--('2026'!$A$5:$A$500=$AU$1),--('2026'!$G$5:$G$500=$B21))</f>
        <v/>
      </c>
      <c r="AV21" s="50">
        <f>SUMPRODUCT(--('2026'!$A$5:$A$500=$AU$1),--('2026'!$I$5:$I$500=$B21))+SUMPRODUCT(--('2026'!$A$5:$A$500=$AU$1),--('2026'!$J$5:$J$500=$B21))</f>
        <v/>
      </c>
      <c r="AW21" s="50">
        <f>SUMPRODUCT(--('2026'!$A$5:$A$500=$AW$1),--('2026'!$C$5:$C$500=$B21))+SUMPRODUCT(--('2026'!$A$5:$A$500=$AW$1),--('2026'!$F$5:$F$500=$B21))+SUMPRODUCT(--('2026'!$A$5:$A$500=$AW$1),--('2026'!$D$5:$D$500=$B21))+SUMPRODUCT(--('2026'!$A$5:$A$500=$AW$1),--('2026'!$G$5:$G$500=$B21))</f>
        <v/>
      </c>
      <c r="AX21" s="50">
        <f>SUMPRODUCT(--('2026'!$A$5:$A$500=$AW$1),--('2026'!$I$5:$I$500=$B21))+SUMPRODUCT(--('2026'!$A$5:$A$500=$AW$1),--('2026'!$J$5:$J$500=$B21))</f>
        <v/>
      </c>
      <c r="BA21" s="54" t="inlineStr">
        <is>
          <t>Rahul J</t>
        </is>
      </c>
      <c r="BB21" s="47">
        <f>IF(ISODD(COUNTIF(C21:AX21,"&gt;0")),COUNTIF(C21:AX21,"&gt;0")+1,COUNTIF(C21:AX21,"&gt;0"))/2</f>
        <v/>
      </c>
      <c r="BC21" s="52">
        <f>BB21/15</f>
        <v/>
      </c>
    </row>
    <row r="22" ht="15" customHeight="1" s="106">
      <c r="A22" t="n">
        <v>20</v>
      </c>
      <c r="B22" s="54" t="inlineStr">
        <is>
          <t>Purvaiz</t>
        </is>
      </c>
      <c r="C22" s="50">
        <f>SUMPRODUCT(--('2026'!$A$5:$A$500=$C$1),--('2026'!$C$5:$C$500=$B22))+SUMPRODUCT(--('2026'!$A$5:$A$500=$C$1),--('2026'!$F$5:$F$500=$B22))+SUMPRODUCT(--('2026'!$A$5:$A$500=$C$1),--('2026'!$D$5:$D$500=$B22))+SUMPRODUCT(--('2026'!$A$5:$A$500=$C$1),--('2026'!$G$5:$G$500=$B22))</f>
        <v/>
      </c>
      <c r="D22" s="50">
        <f>SUMPRODUCT(--('2026'!$A$5:$A$500=$C$1),--('2026'!$I$5:$I$500=$B22))+SUMPRODUCT(--('2026'!$A$5:$A$500=$C$1),--('2026'!$J$5:$J$500=$B22))</f>
        <v/>
      </c>
      <c r="E22" s="50">
        <f>SUMPRODUCT(--('2026'!$A$5:$A$500=$E$1),--('2026'!$C$5:$C$500=$B22))+SUMPRODUCT(--('2026'!$A$5:$A$500=$E$1),--('2026'!$F$5:$F$500=$B22))+SUMPRODUCT(--('2026'!$A$5:$A$500=$E$1),--('2026'!$D$5:$D$500=$B22))+SUMPRODUCT(--('2026'!$A$5:$A$500=$E$1),--('2026'!$G$5:$G$500=$B22))</f>
        <v/>
      </c>
      <c r="F22" s="50">
        <f>SUMPRODUCT(--('2026'!$A$5:$A$500=$E$1),--('2026'!$I$5:$I$500=$B22))+SUMPRODUCT(--('2026'!$A$5:$A$500=$E$1),--('2026'!$J$5:$J$500=$B22))</f>
        <v/>
      </c>
      <c r="G22" s="50">
        <f>SUMPRODUCT(--('2026'!$A$5:$A$500=$G$1),--('2026'!$C$5:$C$500=$B22))+SUMPRODUCT(--('2026'!$A$5:$A$500=$G$1),--('2026'!$F$5:$F$500=$B22))+SUMPRODUCT(--('2026'!$A$5:$A$500=$G$1),--('2026'!$D$5:$D$500=$B22))+SUMPRODUCT(--('2026'!$A$5:$A$500=$G$1),--('2026'!$G$5:$G$500=$B22))</f>
        <v/>
      </c>
      <c r="H22" s="50">
        <f>SUMPRODUCT(--('2026'!$A$5:$A$500=$G$1),--('2026'!$I$5:$I$500=$B22))+SUMPRODUCT(--('2026'!$A$5:$A$500=$G$1),--('2026'!$J$5:$J$500=$B22))</f>
        <v/>
      </c>
      <c r="I22" s="50">
        <f>SUMPRODUCT(--('2026'!$A$5:$A$500=$I$1),--('2026'!$C$5:$C$500=$B22))+SUMPRODUCT(--('2026'!$A$5:$A$500=$I$1),--('2026'!$F$5:$F$500=$B22))+SUMPRODUCT(--('2026'!$A$5:$A$500=$I$1),--('2026'!$D$5:$D$500=$B22))+SUMPRODUCT(--('2026'!$A$5:$A$500=$I$1),--('2026'!$G$5:$G$500=$B22))</f>
        <v/>
      </c>
      <c r="J22" s="50">
        <f>SUMPRODUCT(--('2026'!$A$5:$A$500=$I$1),--('2026'!$I$5:$I$500=$B22))+SUMPRODUCT(--('2026'!$A$5:$A$500=$I$1),--('2026'!$J$5:$J$500=$B22))</f>
        <v/>
      </c>
      <c r="K22" s="50">
        <f>SUMPRODUCT(--('2026'!$A$5:$A$500=$K$1),--('2026'!$C$5:$C$500=$B22))+SUMPRODUCT(--('2026'!$A$5:$A$500=$K$1),--('2026'!$F$5:$F$500=$B22))+SUMPRODUCT(--('2026'!$A$5:$A$500=$K$1),--('2026'!$D$5:$D$500=$B22))+SUMPRODUCT(--('2026'!$A$5:$A$500=$K$1),--('2026'!$G$5:$G$500=$B22))</f>
        <v/>
      </c>
      <c r="L22" s="50">
        <f>SUMPRODUCT(--('2026'!$A$5:$A$500=$K$1),--('2026'!$I$5:$I$500=$B22))+SUMPRODUCT(--('2026'!$A$5:$A$500=$K$1),--('2026'!$J$5:$J$500=$B22))</f>
        <v/>
      </c>
      <c r="M22" s="50">
        <f>SUMPRODUCT(--('2026'!$A$5:$A$500=$M$1),--('2026'!$C$5:$C$500=$B22))+SUMPRODUCT(--('2026'!$A$5:$A$500=$M$1),--('2026'!$F$5:$F$500=$B22))+SUMPRODUCT(--('2026'!$A$5:$A$500=$M$1),--('2026'!$D$5:$D$500=$B22))+SUMPRODUCT(--('2026'!$A$5:$A$500=$M$1),--('2026'!$G$5:$G$500=$B22))</f>
        <v/>
      </c>
      <c r="N22" s="50">
        <f>SUMPRODUCT(--('2026'!$A$5:$A$500=$M$1),--('2026'!$I$5:$I$500=$B22))+SUMPRODUCT(--('2026'!$A$5:$A$500=$M$1),--('2026'!$J$5:$J$500=$B22))</f>
        <v/>
      </c>
      <c r="O22" s="50">
        <f>SUMPRODUCT(--('2026'!$A$5:$A$500=$O$1),--('2026'!$C$5:$C$500=$B22))+SUMPRODUCT(--('2026'!$A$5:$A$500=$O$1),--('2026'!$F$5:$F$500=$B22))+SUMPRODUCT(--('2026'!$A$5:$A$500=$O$1),--('2026'!$D$5:$D$500=$B22))+SUMPRODUCT(--('2026'!$A$5:$A$500=$O$1),--('2026'!$G$5:$G$500=$B22))</f>
        <v/>
      </c>
      <c r="P22" s="50">
        <f>SUMPRODUCT(--('2026'!$A$5:$A$500=$O$1),--('2026'!$I$5:$I$500=$B22))+SUMPRODUCT(--('2026'!$A$5:$A$500=$O$1),--('2026'!$J$5:$J$500=$B22))</f>
        <v/>
      </c>
      <c r="Q22" s="50">
        <f>SUMPRODUCT(--('2026'!$A$5:$A$500=$Q$1),--('2026'!$C$5:$C$500=$B22))+SUMPRODUCT(--('2026'!$A$5:$A$500=$Q$1),--('2026'!$F$5:$F$500=$B22))+SUMPRODUCT(--('2026'!$A$5:$A$500=$Q$1),--('2026'!$D$5:$D$500=$B22))+SUMPRODUCT(--('2026'!$A$5:$A$500=$Q$1),--('2026'!$G$5:$G$500=$B22))</f>
        <v/>
      </c>
      <c r="R22" s="50">
        <f>SUMPRODUCT(--('2026'!$A$5:$A$500=$Q$1),--('2026'!$I$5:$I$500=$B22))+SUMPRODUCT(--('2026'!$A$5:$A$500=$Q$1),--('2026'!$J$5:$J$500=$B22))</f>
        <v/>
      </c>
      <c r="S22" s="50">
        <f>SUMPRODUCT(--('2026'!$A$5:$A$500=$S$1),--('2026'!$C$5:$C$500=$B22))+SUMPRODUCT(--('2026'!$A$5:$A$500=$S$1),--('2026'!$F$5:$F$500=$B22))+SUMPRODUCT(--('2026'!$A$5:$A$500=$S$1),--('2026'!$D$5:$D$500=$B22))+SUMPRODUCT(--('2026'!$A$5:$A$500=$S$1),--('2026'!$G$5:$G$500=$B22))</f>
        <v/>
      </c>
      <c r="T22" s="50">
        <f>SUMPRODUCT(--('2026'!$A$5:$A$500=$S$1),--('2026'!$I$5:$I$500=$B22))+SUMPRODUCT(--('2026'!$A$5:$A$500=$S$1),--('2026'!$J$5:$J$500=$B22))</f>
        <v/>
      </c>
      <c r="U22" s="50">
        <f>SUMPRODUCT(--('2026'!$A$5:$A$500=$U$1),--('2026'!$C$5:$C$500=$B22))+SUMPRODUCT(--('2026'!$A$5:$A$500=$U$1),--('2026'!$F$5:$F$500=$B22))+SUMPRODUCT(--('2026'!$A$5:$A$500=$U$1),--('2026'!$D$5:$D$500=$B22))+SUMPRODUCT(--('2026'!$A$5:$A$500=$U$1),--('2026'!$G$5:$G$500=$B22))</f>
        <v/>
      </c>
      <c r="V22" s="50">
        <f>SUMPRODUCT(--('2026'!$A$5:$A$500=$U$1),--('2026'!$I$5:$I$500=$B22))+SUMPRODUCT(--('2026'!$A$5:$A$500=$U$1),--('2026'!$J$5:$J$500=$B22))</f>
        <v/>
      </c>
      <c r="W22" s="60">
        <f>SUMPRODUCT(--('2026'!$A$5:$A$500=$W$1),--('2026'!$C$5:$C$500=$B22))+SUMPRODUCT(--('2026'!$A$5:$A$500=$W$1),--('2026'!$F$5:$F$500=$B22))+SUMPRODUCT(--('2026'!$A$5:$A$500=$W$1),--('2026'!$D$5:$D$500=$B22))+SUMPRODUCT(--('2026'!$A$5:$A$500=$W$1),--('2026'!$G$5:$G$500=$B22))</f>
        <v/>
      </c>
      <c r="X22" s="60">
        <f>SUMPRODUCT(--('2026'!$A$5:$A$500=$W$1),--('2026'!$I$5:$I$500=$B22))+SUMPRODUCT(--('2026'!$A$5:$A$500=$W$1),--('2026'!$J$5:$J$500=$B22))</f>
        <v/>
      </c>
      <c r="Y22" s="50">
        <f>SUMPRODUCT(--('2026'!$A$5:$A$500=$Y$1),--('2026'!$C$5:$C$500=$B22))+SUMPRODUCT(--('2026'!$A$5:$A$500=$Y$1),--('2026'!$F$5:$F$500=$B22))+SUMPRODUCT(--('2026'!$A$5:$A$500=$Y$1),--('2026'!$D$5:$D$500=$B22))+SUMPRODUCT(--('2026'!$A$5:$A$500=$Y$1),--('2026'!$G$5:$G$500=$B22))</f>
        <v/>
      </c>
      <c r="Z22" s="50">
        <f>SUMPRODUCT(--('2026'!$A$5:$A$500=$Y$1),--('2026'!$I$5:$I$500=$B22))+SUMPRODUCT(--('2026'!$A$5:$A$500=$Y$1),--('2026'!$J$5:$J$500=$B22))</f>
        <v/>
      </c>
      <c r="AA22" s="50">
        <f>SUMPRODUCT(--('2026'!$A$5:$A$500=$AA$1),--('2026'!$C$5:$C$500=$B22))+SUMPRODUCT(--('2026'!$A$5:$A$500=$AA$1),--('2026'!$F$5:$F$500=$B22))+SUMPRODUCT(--('2026'!$A$5:$A$500=$AA$1),--('2026'!$D$5:$D$500=$B22))+SUMPRODUCT(--('2026'!$A$5:$A$500=$AA$1),--('2026'!$G$5:$G$500=$B22))</f>
        <v/>
      </c>
      <c r="AB22" s="50">
        <f>SUMPRODUCT(--('2026'!$A$5:$A$500=$AA$1),--('2026'!$I$5:$I$500=$B22))+SUMPRODUCT(--('2026'!$A$5:$A$500=$AA$1),--('2026'!$J$5:$J$500=$B22))</f>
        <v/>
      </c>
      <c r="AC22" s="50">
        <f>SUMPRODUCT(--('2026'!$A$5:$A$500=$AC$1),--('2026'!$C$5:$C$500=$B22))+SUMPRODUCT(--('2026'!$A$5:$A$500=$AC$1),--('2026'!$F$5:$F$500=$B22))+SUMPRODUCT(--('2026'!$A$5:$A$500=$AC$1),--('2026'!$D$5:$D$500=$B22))+SUMPRODUCT(--('2026'!$A$5:$A$500=$AC$1),--('2026'!$G$5:$G$500=$B22))</f>
        <v/>
      </c>
      <c r="AD22" s="50">
        <f>SUMPRODUCT(--('2026'!$A$5:$A$500=$AC$1),--('2026'!$I$5:$I$500=$B22))+SUMPRODUCT(--('2026'!$A$5:$A$500=$AC$1),--('2026'!$J$5:$J$500=$B22))</f>
        <v/>
      </c>
      <c r="AE22" s="60">
        <f>SUMPRODUCT(--('2026'!$A$5:$A$500=$AE$1),--('2026'!$C$5:$C$500=$B22))+SUMPRODUCT(--('2026'!$A$5:$A$500=$AE$1),--('2026'!$F$5:$F$500=$B22))+SUMPRODUCT(--('2026'!$A$5:$A$500=$AE$1),--('2026'!$D$5:$D$500=$B22))+SUMPRODUCT(--('2026'!$A$5:$A$500=$AE$1),--('2026'!$G$5:$G$500=$B22))</f>
        <v/>
      </c>
      <c r="AF22" s="60">
        <f>SUMPRODUCT(--('2026'!$A$5:$A$500=$AE$1),--('2026'!$I$5:$I$500=$B22))+SUMPRODUCT(--('2026'!$A$5:$A$500=$AE$1),--('2026'!$J$5:$J$500=$B22))</f>
        <v/>
      </c>
      <c r="AG22" s="50">
        <f>SUMPRODUCT(--('2026'!$A$5:$A$500=$AG$1),--('2026'!$C$5:$C$500=$B22))+SUMPRODUCT(--('2026'!$A$5:$A$500=$AG$1),--('2026'!$F$5:$F$500=$B22))+SUMPRODUCT(--('2026'!$A$5:$A$500=$AG$1),--('2026'!$D$5:$D$500=$B22))+SUMPRODUCT(--('2026'!$A$5:$A$500=$AG$1),--('2026'!$G$5:$G$500=$B22))</f>
        <v/>
      </c>
      <c r="AH22" s="50">
        <f>SUMPRODUCT(--('2026'!$A$5:$A$500=$AG$1),--('2026'!$I$5:$I$500=$B22))+SUMPRODUCT(--('2026'!$A$5:$A$500=$AG$1),--('2026'!$J$5:$J$500=$B22))</f>
        <v/>
      </c>
      <c r="AI22" s="50">
        <f>SUMPRODUCT(--('2026'!$A$5:$A$500=$AI$1),--('2026'!$C$5:$C$500=$B22))+SUMPRODUCT(--('2026'!$A$5:$A$500=$AI$1),--('2026'!$F$5:$F$500=$B22))+SUMPRODUCT(--('2026'!$A$5:$A$500=$AI$1),--('2026'!$D$5:$D$500=$B22))+SUMPRODUCT(--('2026'!$A$5:$A$500=$AI$1),--('2026'!$G$5:$G$500=$B22))</f>
        <v/>
      </c>
      <c r="AJ22" s="50">
        <f>SUMPRODUCT(--('2026'!$A$5:$A$500=$AI$1),--('2026'!$I$5:$I$500=$B22))+SUMPRODUCT(--('2026'!$A$5:$A$500=$AI$1),--('2026'!$J$5:$J$500=$B22))</f>
        <v/>
      </c>
      <c r="AK22" s="50">
        <f>SUMPRODUCT(--('2026'!$A$5:$A$500=$AK$1),--('2026'!$C$5:$C$500=$B22))+SUMPRODUCT(--('2026'!$A$5:$A$500=$AK$1),--('2026'!$F$5:$F$500=$B22))+SUMPRODUCT(--('2026'!$A$5:$A$500=$AK$1),--('2026'!$D$5:$D$500=$B22))+SUMPRODUCT(--('2026'!$A$5:$A$500=$AK$1),--('2026'!$G$5:$G$500=$B22))</f>
        <v/>
      </c>
      <c r="AL22" s="50">
        <f>SUMPRODUCT(--('2026'!$A$5:$A$500=$AK$1),--('2026'!$I$5:$I$500=$B22))+SUMPRODUCT(--('2026'!$A$5:$A$500=$AK$1),--('2026'!$J$5:$J$500=$B22))</f>
        <v/>
      </c>
      <c r="AM22" s="50">
        <f>SUMPRODUCT(--('2026'!$A$5:$A$500=$AM$1),--('2026'!$C$5:$C$500=$B22))+SUMPRODUCT(--('2026'!$A$5:$A$500=$AM$1),--('2026'!$F$5:$F$500=$B22))+SUMPRODUCT(--('2026'!$A$5:$A$500=$AM$1),--('2026'!$D$5:$D$500=$B22))+SUMPRODUCT(--('2026'!$A$5:$A$500=$AM$1),--('2026'!$G$5:$G$500=$B22))</f>
        <v/>
      </c>
      <c r="AN22" s="50">
        <f>SUMPRODUCT(--('2026'!$A$5:$A$500=$AM$1),--('2026'!$I$5:$I$500=$B22))+SUMPRODUCT(--('2026'!$A$5:$A$500=$AM$1),--('2026'!$J$5:$J$500=$B22))</f>
        <v/>
      </c>
      <c r="AO22" s="50">
        <f>SUMPRODUCT(--('2026'!$A$5:$A$500=$AO$1),--('2026'!$C$5:$C$500=$B22))+SUMPRODUCT(--('2026'!$A$5:$A$500=$AO$1),--('2026'!$F$5:$F$500=$B22))+SUMPRODUCT(--('2026'!$A$5:$A$500=$AO$1),--('2026'!$D$5:$D$500=$B22))+SUMPRODUCT(--('2026'!$A$5:$A$500=$AO$1),--('2026'!$G$5:$G$500=$B22))</f>
        <v/>
      </c>
      <c r="AP22" s="50">
        <f>SUMPRODUCT(--('2026'!$A$5:$A$500=$AO$1),--('2026'!$I$5:$I$500=$B22))+SUMPRODUCT(--('2026'!$A$5:$A$500=$AO$1),--('2026'!$J$5:$J$500=$B22))</f>
        <v/>
      </c>
      <c r="AQ22" s="50">
        <f>SUMPRODUCT(--('2026'!$A$5:$A$500=$AQ$1),--('2026'!$C$5:$C$500=$B22))+SUMPRODUCT(--('2026'!$A$5:$A$500=$AQ$1),--('2026'!$F$5:$F$500=$B22))+SUMPRODUCT(--('2026'!$A$5:$A$500=$AQ$1),--('2026'!$D$5:$D$500=$B22))+SUMPRODUCT(--('2026'!$A$5:$A$500=$AQ$1),--('2026'!$G$5:$G$500=$B22))</f>
        <v/>
      </c>
      <c r="AR22" s="50">
        <f>SUMPRODUCT(--('2026'!$A$5:$A$500=$AQ$1),--('2026'!$I$5:$I$500=$B22))+SUMPRODUCT(--('2026'!$A$5:$A$500=$AQ$1),--('2026'!$J$5:$J$500=$B22))</f>
        <v/>
      </c>
      <c r="AS22" s="50">
        <f>SUMPRODUCT(--('2026'!$A$5:$A$500=$AS$1),--('2026'!$C$5:$C$500=$B22))+SUMPRODUCT(--('2026'!$A$5:$A$500=$AS$1),--('2026'!$F$5:$F$500=$B22))+SUMPRODUCT(--('2026'!$A$5:$A$500=$AS$1),--('2026'!$D$5:$D$500=$B22))+SUMPRODUCT(--('2026'!$A$5:$A$500=$AS$1),--('2026'!$G$5:$G$500=$B22))</f>
        <v/>
      </c>
      <c r="AT22" s="50">
        <f>SUMPRODUCT(--('2026'!$A$5:$A$500=$AS$1),--('2026'!$I$5:$I$500=$B22))+SUMPRODUCT(--('2026'!$A$5:$A$500=$AS$1),--('2026'!$J$5:$J$500=$B22))</f>
        <v/>
      </c>
      <c r="AU22" s="50">
        <f>SUMPRODUCT(--('2026'!$A$5:$A$500=$AU$1),--('2026'!$C$5:$C$500=$B22))+SUMPRODUCT(--('2026'!$A$5:$A$500=$AU$1),--('2026'!$F$5:$F$500=$B22))+SUMPRODUCT(--('2026'!$A$5:$A$500=$AU$1),--('2026'!$D$5:$D$500=$B22))+SUMPRODUCT(--('2026'!$A$5:$A$500=$AU$1),--('2026'!$G$5:$G$500=$B22))</f>
        <v/>
      </c>
      <c r="AV22" s="50">
        <f>SUMPRODUCT(--('2026'!$A$5:$A$500=$AU$1),--('2026'!$I$5:$I$500=$B22))+SUMPRODUCT(--('2026'!$A$5:$A$500=$AU$1),--('2026'!$J$5:$J$500=$B22))</f>
        <v/>
      </c>
      <c r="AW22" s="50">
        <f>SUMPRODUCT(--('2026'!$A$5:$A$500=$AW$1),--('2026'!$C$5:$C$500=$B22))+SUMPRODUCT(--('2026'!$A$5:$A$500=$AW$1),--('2026'!$F$5:$F$500=$B22))+SUMPRODUCT(--('2026'!$A$5:$A$500=$AW$1),--('2026'!$D$5:$D$500=$B22))+SUMPRODUCT(--('2026'!$A$5:$A$500=$AW$1),--('2026'!$G$5:$G$500=$B22))</f>
        <v/>
      </c>
      <c r="AX22" s="50">
        <f>SUMPRODUCT(--('2026'!$A$5:$A$500=$AW$1),--('2026'!$I$5:$I$500=$B22))+SUMPRODUCT(--('2026'!$A$5:$A$500=$AW$1),--('2026'!$J$5:$J$500=$B22))</f>
        <v/>
      </c>
      <c r="BA22" s="54" t="inlineStr">
        <is>
          <t>Purvaiz</t>
        </is>
      </c>
      <c r="BB22" s="47">
        <f>IF(ISODD(COUNTIF(C22:AX22,"&gt;0")),COUNTIF(C22:AX22,"&gt;0")+1,COUNTIF(C22:AX22,"&gt;0"))/2</f>
        <v/>
      </c>
      <c r="BC22" s="52">
        <f>BB22/15</f>
        <v/>
      </c>
    </row>
    <row r="23" ht="15" customHeight="1" s="106">
      <c r="A23" t="n">
        <v>21</v>
      </c>
      <c r="B23" s="54" t="inlineStr">
        <is>
          <t>Prasanna</t>
        </is>
      </c>
      <c r="C23" s="50">
        <f>SUMPRODUCT(--('2026'!$A$5:$A$500=$C$1),--('2026'!$C$5:$C$500=$B23))+SUMPRODUCT(--('2026'!$A$5:$A$500=$C$1),--('2026'!$F$5:$F$500=$B23))+SUMPRODUCT(--('2026'!$A$5:$A$500=$C$1),--('2026'!$D$5:$D$500=$B23))+SUMPRODUCT(--('2026'!$A$5:$A$500=$C$1),--('2026'!$G$5:$G$500=$B23))</f>
        <v/>
      </c>
      <c r="D23" s="50">
        <f>SUMPRODUCT(--('2026'!$A$5:$A$500=$C$1),--('2026'!$I$5:$I$500=$B23))+SUMPRODUCT(--('2026'!$A$5:$A$500=$C$1),--('2026'!$J$5:$J$500=$B23))</f>
        <v/>
      </c>
      <c r="E23" s="50">
        <f>SUMPRODUCT(--('2026'!$A$5:$A$500=$E$1),--('2026'!$C$5:$C$500=$B23))+SUMPRODUCT(--('2026'!$A$5:$A$500=$E$1),--('2026'!$F$5:$F$500=$B23))+SUMPRODUCT(--('2026'!$A$5:$A$500=$E$1),--('2026'!$D$5:$D$500=$B23))+SUMPRODUCT(--('2026'!$A$5:$A$500=$E$1),--('2026'!$G$5:$G$500=$B23))</f>
        <v/>
      </c>
      <c r="F23" s="50">
        <f>SUMPRODUCT(--('2026'!$A$5:$A$500=$E$1),--('2026'!$I$5:$I$500=$B23))+SUMPRODUCT(--('2026'!$A$5:$A$500=$E$1),--('2026'!$J$5:$J$500=$B23))</f>
        <v/>
      </c>
      <c r="G23" s="50">
        <f>SUMPRODUCT(--('2026'!$A$5:$A$500=$G$1),--('2026'!$C$5:$C$500=$B23))+SUMPRODUCT(--('2026'!$A$5:$A$500=$G$1),--('2026'!$F$5:$F$500=$B23))+SUMPRODUCT(--('2026'!$A$5:$A$500=$G$1),--('2026'!$D$5:$D$500=$B23))+SUMPRODUCT(--('2026'!$A$5:$A$500=$G$1),--('2026'!$G$5:$G$500=$B23))</f>
        <v/>
      </c>
      <c r="H23" s="50">
        <f>SUMPRODUCT(--('2026'!$A$5:$A$500=$G$1),--('2026'!$I$5:$I$500=$B23))+SUMPRODUCT(--('2026'!$A$5:$A$500=$G$1),--('2026'!$J$5:$J$500=$B23))</f>
        <v/>
      </c>
      <c r="I23" s="50">
        <f>SUMPRODUCT(--('2026'!$A$5:$A$500=$I$1),--('2026'!$C$5:$C$500=$B23))+SUMPRODUCT(--('2026'!$A$5:$A$500=$I$1),--('2026'!$F$5:$F$500=$B23))+SUMPRODUCT(--('2026'!$A$5:$A$500=$I$1),--('2026'!$D$5:$D$500=$B23))+SUMPRODUCT(--('2026'!$A$5:$A$500=$I$1),--('2026'!$G$5:$G$500=$B23))</f>
        <v/>
      </c>
      <c r="J23" s="50">
        <f>SUMPRODUCT(--('2026'!$A$5:$A$500=$I$1),--('2026'!$I$5:$I$500=$B23))+SUMPRODUCT(--('2026'!$A$5:$A$500=$I$1),--('2026'!$J$5:$J$500=$B23))</f>
        <v/>
      </c>
      <c r="K23" s="50">
        <f>SUMPRODUCT(--('2026'!$A$5:$A$500=$K$1),--('2026'!$C$5:$C$500=$B23))+SUMPRODUCT(--('2026'!$A$5:$A$500=$K$1),--('2026'!$F$5:$F$500=$B23))+SUMPRODUCT(--('2026'!$A$5:$A$500=$K$1),--('2026'!$D$5:$D$500=$B23))+SUMPRODUCT(--('2026'!$A$5:$A$500=$K$1),--('2026'!$G$5:$G$500=$B23))</f>
        <v/>
      </c>
      <c r="L23" s="50">
        <f>SUMPRODUCT(--('2026'!$A$5:$A$500=$K$1),--('2026'!$I$5:$I$500=$B23))+SUMPRODUCT(--('2026'!$A$5:$A$500=$K$1),--('2026'!$J$5:$J$500=$B23))</f>
        <v/>
      </c>
      <c r="M23" s="50">
        <f>SUMPRODUCT(--('2026'!$A$5:$A$500=$M$1),--('2026'!$C$5:$C$500=$B23))+SUMPRODUCT(--('2026'!$A$5:$A$500=$M$1),--('2026'!$F$5:$F$500=$B23))+SUMPRODUCT(--('2026'!$A$5:$A$500=$M$1),--('2026'!$D$5:$D$500=$B23))+SUMPRODUCT(--('2026'!$A$5:$A$500=$M$1),--('2026'!$G$5:$G$500=$B23))</f>
        <v/>
      </c>
      <c r="N23" s="50">
        <f>SUMPRODUCT(--('2026'!$A$5:$A$500=$M$1),--('2026'!$I$5:$I$500=$B23))+SUMPRODUCT(--('2026'!$A$5:$A$500=$M$1),--('2026'!$J$5:$J$500=$B23))</f>
        <v/>
      </c>
      <c r="O23" s="50">
        <f>SUMPRODUCT(--('2026'!$A$5:$A$500=$O$1),--('2026'!$C$5:$C$500=$B23))+SUMPRODUCT(--('2026'!$A$5:$A$500=$O$1),--('2026'!$F$5:$F$500=$B23))+SUMPRODUCT(--('2026'!$A$5:$A$500=$O$1),--('2026'!$D$5:$D$500=$B23))+SUMPRODUCT(--('2026'!$A$5:$A$500=$O$1),--('2026'!$G$5:$G$500=$B23))</f>
        <v/>
      </c>
      <c r="P23" s="50">
        <f>SUMPRODUCT(--('2026'!$A$5:$A$500=$O$1),--('2026'!$I$5:$I$500=$B23))+SUMPRODUCT(--('2026'!$A$5:$A$500=$O$1),--('2026'!$J$5:$J$500=$B23))</f>
        <v/>
      </c>
      <c r="Q23" s="50">
        <f>SUMPRODUCT(--('2026'!$A$5:$A$500=$Q$1),--('2026'!$C$5:$C$500=$B23))+SUMPRODUCT(--('2026'!$A$5:$A$500=$Q$1),--('2026'!$F$5:$F$500=$B23))+SUMPRODUCT(--('2026'!$A$5:$A$500=$Q$1),--('2026'!$D$5:$D$500=$B23))+SUMPRODUCT(--('2026'!$A$5:$A$500=$Q$1),--('2026'!$G$5:$G$500=$B23))</f>
        <v/>
      </c>
      <c r="R23" s="50">
        <f>SUMPRODUCT(--('2026'!$A$5:$A$500=$Q$1),--('2026'!$I$5:$I$500=$B23))+SUMPRODUCT(--('2026'!$A$5:$A$500=$Q$1),--('2026'!$J$5:$J$500=$B23))</f>
        <v/>
      </c>
      <c r="S23" s="50">
        <f>SUMPRODUCT(--('2026'!$A$5:$A$500=$S$1),--('2026'!$C$5:$C$500=$B23))+SUMPRODUCT(--('2026'!$A$5:$A$500=$S$1),--('2026'!$F$5:$F$500=$B23))+SUMPRODUCT(--('2026'!$A$5:$A$500=$S$1),--('2026'!$D$5:$D$500=$B23))+SUMPRODUCT(--('2026'!$A$5:$A$500=$S$1),--('2026'!$G$5:$G$500=$B23))</f>
        <v/>
      </c>
      <c r="T23" s="50">
        <f>SUMPRODUCT(--('2026'!$A$5:$A$500=$S$1),--('2026'!$I$5:$I$500=$B23))+SUMPRODUCT(--('2026'!$A$5:$A$500=$S$1),--('2026'!$J$5:$J$500=$B23))</f>
        <v/>
      </c>
      <c r="U23" s="50">
        <f>SUMPRODUCT(--('2026'!$A$5:$A$500=$U$1),--('2026'!$C$5:$C$500=$B23))+SUMPRODUCT(--('2026'!$A$5:$A$500=$U$1),--('2026'!$F$5:$F$500=$B23))+SUMPRODUCT(--('2026'!$A$5:$A$500=$U$1),--('2026'!$D$5:$D$500=$B23))+SUMPRODUCT(--('2026'!$A$5:$A$500=$U$1),--('2026'!$G$5:$G$500=$B23))</f>
        <v/>
      </c>
      <c r="V23" s="50">
        <f>SUMPRODUCT(--('2026'!$A$5:$A$500=$U$1),--('2026'!$I$5:$I$500=$B23))+SUMPRODUCT(--('2026'!$A$5:$A$500=$U$1),--('2026'!$J$5:$J$500=$B23))</f>
        <v/>
      </c>
      <c r="W23" s="60">
        <f>SUMPRODUCT(--('2026'!$A$5:$A$500=$W$1),--('2026'!$C$5:$C$500=$B23))+SUMPRODUCT(--('2026'!$A$5:$A$500=$W$1),--('2026'!$F$5:$F$500=$B23))+SUMPRODUCT(--('2026'!$A$5:$A$500=$W$1),--('2026'!$D$5:$D$500=$B23))+SUMPRODUCT(--('2026'!$A$5:$A$500=$W$1),--('2026'!$G$5:$G$500=$B23))</f>
        <v/>
      </c>
      <c r="X23" s="60">
        <f>SUMPRODUCT(--('2026'!$A$5:$A$500=$W$1),--('2026'!$I$5:$I$500=$B23))+SUMPRODUCT(--('2026'!$A$5:$A$500=$W$1),--('2026'!$J$5:$J$500=$B23))</f>
        <v/>
      </c>
      <c r="Y23" s="51">
        <f>SUMPRODUCT(--('2026'!$A$5:$A$500=$Y$1),--('2026'!$C$5:$C$500=$B23))+SUMPRODUCT(--('2026'!$A$5:$A$500=$Y$1),--('2026'!$F$5:$F$500=$B23))+SUMPRODUCT(--('2026'!$A$5:$A$500=$Y$1),--('2026'!$D$5:$D$500=$B23))+SUMPRODUCT(--('2026'!$A$5:$A$500=$Y$1),--('2026'!$G$5:$G$500=$B23))</f>
        <v/>
      </c>
      <c r="Z23" s="51">
        <f>SUMPRODUCT(--('2026'!$A$5:$A$500=$Y$1),--('2026'!$I$5:$I$500=$B23))+SUMPRODUCT(--('2026'!$A$5:$A$500=$Y$1),--('2026'!$J$5:$J$500=$B23))</f>
        <v/>
      </c>
      <c r="AA23" s="51">
        <f>SUMPRODUCT(--('2026'!$A$5:$A$500=$AA$1),--('2026'!$C$5:$C$500=$B23))+SUMPRODUCT(--('2026'!$A$5:$A$500=$AA$1),--('2026'!$F$5:$F$500=$B23))+SUMPRODUCT(--('2026'!$A$5:$A$500=$AA$1),--('2026'!$D$5:$D$500=$B23))+SUMPRODUCT(--('2026'!$A$5:$A$500=$AA$1),--('2026'!$G$5:$G$500=$B23))</f>
        <v/>
      </c>
      <c r="AB23" s="51">
        <f>SUMPRODUCT(--('2026'!$A$5:$A$500=$AA$1),--('2026'!$I$5:$I$500=$B23))+SUMPRODUCT(--('2026'!$A$5:$A$500=$AA$1),--('2026'!$J$5:$J$500=$B23))</f>
        <v/>
      </c>
      <c r="AC23" s="51">
        <f>SUMPRODUCT(--('2026'!$A$5:$A$500=$AC$1),--('2026'!$C$5:$C$500=$B23))+SUMPRODUCT(--('2026'!$A$5:$A$500=$AC$1),--('2026'!$F$5:$F$500=$B23))+SUMPRODUCT(--('2026'!$A$5:$A$500=$AC$1),--('2026'!$D$5:$D$500=$B23))+SUMPRODUCT(--('2026'!$A$5:$A$500=$AC$1),--('2026'!$G$5:$G$500=$B23))</f>
        <v/>
      </c>
      <c r="AD23" s="51">
        <f>SUMPRODUCT(--('2026'!$A$5:$A$500=$AC$1),--('2026'!$I$5:$I$500=$B23))+SUMPRODUCT(--('2026'!$A$5:$A$500=$AC$1),--('2026'!$J$5:$J$500=$B23))</f>
        <v/>
      </c>
      <c r="AE23" s="61">
        <f>SUMPRODUCT(--('2026'!$A$5:$A$500=$AE$1),--('2026'!$C$5:$C$500=$B23))+SUMPRODUCT(--('2026'!$A$5:$A$500=$AE$1),--('2026'!$F$5:$F$500=$B23))+SUMPRODUCT(--('2026'!$A$5:$A$500=$AE$1),--('2026'!$D$5:$D$500=$B23))+SUMPRODUCT(--('2026'!$A$5:$A$500=$AE$1),--('2026'!$G$5:$G$500=$B23))</f>
        <v/>
      </c>
      <c r="AF23" s="61">
        <f>SUMPRODUCT(--('2026'!$A$5:$A$500=$AE$1),--('2026'!$I$5:$I$500=$B23))+SUMPRODUCT(--('2026'!$A$5:$A$500=$AE$1),--('2026'!$J$5:$J$500=$B23))</f>
        <v/>
      </c>
      <c r="AG23" s="51">
        <f>SUMPRODUCT(--('2026'!$A$5:$A$500=$AG$1),--('2026'!$C$5:$C$500=$B23))+SUMPRODUCT(--('2026'!$A$5:$A$500=$AG$1),--('2026'!$F$5:$F$500=$B23))+SUMPRODUCT(--('2026'!$A$5:$A$500=$AG$1),--('2026'!$D$5:$D$500=$B23))+SUMPRODUCT(--('2026'!$A$5:$A$500=$AG$1),--('2026'!$G$5:$G$500=$B23))</f>
        <v/>
      </c>
      <c r="AH23" s="51">
        <f>SUMPRODUCT(--('2026'!$A$5:$A$500=$AG$1),--('2026'!$I$5:$I$500=$B23))+SUMPRODUCT(--('2026'!$A$5:$A$500=$AG$1),--('2026'!$J$5:$J$500=$B23))</f>
        <v/>
      </c>
      <c r="AI23" s="51">
        <f>SUMPRODUCT(--('2026'!$A$5:$A$500=$AI$1),--('2026'!$C$5:$C$500=$B23))+SUMPRODUCT(--('2026'!$A$5:$A$500=$AI$1),--('2026'!$F$5:$F$500=$B23))+SUMPRODUCT(--('2026'!$A$5:$A$500=$AI$1),--('2026'!$D$5:$D$500=$B23))+SUMPRODUCT(--('2026'!$A$5:$A$500=$AI$1),--('2026'!$G$5:$G$500=$B23))</f>
        <v/>
      </c>
      <c r="AJ23" s="51">
        <f>SUMPRODUCT(--('2026'!$A$5:$A$500=$AI$1),--('2026'!$I$5:$I$500=$B23))+SUMPRODUCT(--('2026'!$A$5:$A$500=$AI$1),--('2026'!$J$5:$J$500=$B23))</f>
        <v/>
      </c>
      <c r="AK23" s="51">
        <f>SUMPRODUCT(--('2026'!$A$5:$A$500=$AK$1),--('2026'!$C$5:$C$500=$B23))+SUMPRODUCT(--('2026'!$A$5:$A$500=$AK$1),--('2026'!$F$5:$F$500=$B23))+SUMPRODUCT(--('2026'!$A$5:$A$500=$AK$1),--('2026'!$D$5:$D$500=$B23))+SUMPRODUCT(--('2026'!$A$5:$A$500=$AK$1),--('2026'!$G$5:$G$500=$B23))</f>
        <v/>
      </c>
      <c r="AL23" s="51">
        <f>SUMPRODUCT(--('2026'!$A$5:$A$500=$AK$1),--('2026'!$I$5:$I$500=$B23))+SUMPRODUCT(--('2026'!$A$5:$A$500=$AK$1),--('2026'!$J$5:$J$500=$B23))</f>
        <v/>
      </c>
      <c r="AM23" s="51">
        <f>SUMPRODUCT(--('2026'!$A$5:$A$500=$AM$1),--('2026'!$C$5:$C$500=$B23))+SUMPRODUCT(--('2026'!$A$5:$A$500=$AM$1),--('2026'!$F$5:$F$500=$B23))+SUMPRODUCT(--('2026'!$A$5:$A$500=$AM$1),--('2026'!$D$5:$D$500=$B23))+SUMPRODUCT(--('2026'!$A$5:$A$500=$AM$1),--('2026'!$G$5:$G$500=$B23))</f>
        <v/>
      </c>
      <c r="AN23" s="51">
        <f>SUMPRODUCT(--('2026'!$A$5:$A$500=$AM$1),--('2026'!$I$5:$I$500=$B23))+SUMPRODUCT(--('2026'!$A$5:$A$500=$AM$1),--('2026'!$J$5:$J$500=$B23))</f>
        <v/>
      </c>
      <c r="AO23" s="51">
        <f>SUMPRODUCT(--('2026'!$A$5:$A$500=$AO$1),--('2026'!$C$5:$C$500=$B23))+SUMPRODUCT(--('2026'!$A$5:$A$500=$AO$1),--('2026'!$F$5:$F$500=$B23))+SUMPRODUCT(--('2026'!$A$5:$A$500=$AO$1),--('2026'!$D$5:$D$500=$B23))+SUMPRODUCT(--('2026'!$A$5:$A$500=$AO$1),--('2026'!$G$5:$G$500=$B23))</f>
        <v/>
      </c>
      <c r="AP23" s="51">
        <f>SUMPRODUCT(--('2026'!$A$5:$A$500=$AO$1),--('2026'!$I$5:$I$500=$B23))+SUMPRODUCT(--('2026'!$A$5:$A$500=$AO$1),--('2026'!$J$5:$J$500=$B23))</f>
        <v/>
      </c>
      <c r="AQ23" s="51">
        <f>SUMPRODUCT(--('2026'!$A$5:$A$500=$AQ$1),--('2026'!$C$5:$C$500=$B23))+SUMPRODUCT(--('2026'!$A$5:$A$500=$AQ$1),--('2026'!$F$5:$F$500=$B23))+SUMPRODUCT(--('2026'!$A$5:$A$500=$AQ$1),--('2026'!$D$5:$D$500=$B23))+SUMPRODUCT(--('2026'!$A$5:$A$500=$AQ$1),--('2026'!$G$5:$G$500=$B23))</f>
        <v/>
      </c>
      <c r="AR23" s="51">
        <f>SUMPRODUCT(--('2026'!$A$5:$A$500=$AQ$1),--('2026'!$I$5:$I$500=$B23))+SUMPRODUCT(--('2026'!$A$5:$A$500=$AQ$1),--('2026'!$J$5:$J$500=$B23))</f>
        <v/>
      </c>
      <c r="AS23" s="51">
        <f>SUMPRODUCT(--('2026'!$A$5:$A$500=$AS$1),--('2026'!$C$5:$C$500=$B23))+SUMPRODUCT(--('2026'!$A$5:$A$500=$AS$1),--('2026'!$F$5:$F$500=$B23))+SUMPRODUCT(--('2026'!$A$5:$A$500=$AS$1),--('2026'!$D$5:$D$500=$B23))+SUMPRODUCT(--('2026'!$A$5:$A$500=$AS$1),--('2026'!$G$5:$G$500=$B23))</f>
        <v/>
      </c>
      <c r="AT23" s="51">
        <f>SUMPRODUCT(--('2026'!$A$5:$A$500=$AS$1),--('2026'!$I$5:$I$500=$B23))+SUMPRODUCT(--('2026'!$A$5:$A$500=$AS$1),--('2026'!$J$5:$J$500=$B23))</f>
        <v/>
      </c>
      <c r="AU23" s="51">
        <f>SUMPRODUCT(--('2026'!$A$5:$A$500=$AU$1),--('2026'!$C$5:$C$500=$B23))+SUMPRODUCT(--('2026'!$A$5:$A$500=$AU$1),--('2026'!$F$5:$F$500=$B23))+SUMPRODUCT(--('2026'!$A$5:$A$500=$AU$1),--('2026'!$D$5:$D$500=$B23))+SUMPRODUCT(--('2026'!$A$5:$A$500=$AU$1),--('2026'!$G$5:$G$500=$B23))</f>
        <v/>
      </c>
      <c r="AV23" s="51">
        <f>SUMPRODUCT(--('2026'!$A$5:$A$500=$AU$1),--('2026'!$I$5:$I$500=$B23))+SUMPRODUCT(--('2026'!$A$5:$A$500=$AU$1),--('2026'!$J$5:$J$500=$B23))</f>
        <v/>
      </c>
      <c r="AW23" s="51">
        <f>SUMPRODUCT(--('2026'!$A$5:$A$500=$AW$1),--('2026'!$C$5:$C$500=$B23))+SUMPRODUCT(--('2026'!$A$5:$A$500=$AW$1),--('2026'!$F$5:$F$500=$B23))+SUMPRODUCT(--('2026'!$A$5:$A$500=$AW$1),--('2026'!$D$5:$D$500=$B23))+SUMPRODUCT(--('2026'!$A$5:$A$500=$AW$1),--('2026'!$G$5:$G$500=$B23))</f>
        <v/>
      </c>
      <c r="AX23" s="51">
        <f>SUMPRODUCT(--('2026'!$A$5:$A$500=$AW$1),--('2026'!$I$5:$I$500=$B23))+SUMPRODUCT(--('2026'!$A$5:$A$500=$AW$1),--('2026'!$J$5:$J$500=$B23))</f>
        <v/>
      </c>
      <c r="BA23" s="54" t="inlineStr">
        <is>
          <t>Prasanna</t>
        </is>
      </c>
      <c r="BB23" s="47">
        <f>IF(ISODD(COUNTIF(C23:AX23,"&gt;0")),COUNTIF(C23:AX23,"&gt;0")+1,COUNTIF(C23:AX23,"&gt;0"))/2</f>
        <v/>
      </c>
      <c r="BC23" s="52">
        <f>BB23/15</f>
        <v/>
      </c>
    </row>
    <row r="24" ht="15" customHeight="1" s="106">
      <c r="A24" t="n">
        <v>22</v>
      </c>
      <c r="B24" s="54" t="inlineStr">
        <is>
          <t>Vasu</t>
        </is>
      </c>
      <c r="C24" s="50">
        <f>SUMPRODUCT(--('2026'!$A$5:$A$500=$C$1),--('2026'!$C$5:$C$500=$B24))+SUMPRODUCT(--('2026'!$A$5:$A$500=$C$1),--('2026'!$F$5:$F$500=$B24))+SUMPRODUCT(--('2026'!$A$5:$A$500=$C$1),--('2026'!$D$5:$D$500=$B24))+SUMPRODUCT(--('2026'!$A$5:$A$500=$C$1),--('2026'!$G$5:$G$500=$B24))</f>
        <v/>
      </c>
      <c r="D24" s="50">
        <f>SUMPRODUCT(--('2026'!$A$5:$A$500=$C$1),--('2026'!$I$5:$I$500=$B24))+SUMPRODUCT(--('2026'!$A$5:$A$500=$C$1),--('2026'!$J$5:$J$500=$B24))</f>
        <v/>
      </c>
      <c r="E24" s="50">
        <f>SUMPRODUCT(--('2026'!$A$5:$A$500=$E$1),--('2026'!$C$5:$C$500=$B24))+SUMPRODUCT(--('2026'!$A$5:$A$500=$E$1),--('2026'!$F$5:$F$500=$B24))+SUMPRODUCT(--('2026'!$A$5:$A$500=$E$1),--('2026'!$D$5:$D$500=$B24))+SUMPRODUCT(--('2026'!$A$5:$A$500=$E$1),--('2026'!$G$5:$G$500=$B24))</f>
        <v/>
      </c>
      <c r="F24" s="50">
        <f>SUMPRODUCT(--('2026'!$A$5:$A$500=$E$1),--('2026'!$I$5:$I$500=$B24))+SUMPRODUCT(--('2026'!$A$5:$A$500=$E$1),--('2026'!$J$5:$J$500=$B24))</f>
        <v/>
      </c>
      <c r="G24" s="50">
        <f>SUMPRODUCT(--('2026'!$A$5:$A$500=$G$1),--('2026'!$C$5:$C$500=$B24))+SUMPRODUCT(--('2026'!$A$5:$A$500=$G$1),--('2026'!$F$5:$F$500=$B24))+SUMPRODUCT(--('2026'!$A$5:$A$500=$G$1),--('2026'!$D$5:$D$500=$B24))+SUMPRODUCT(--('2026'!$A$5:$A$500=$G$1),--('2026'!$G$5:$G$500=$B24))</f>
        <v/>
      </c>
      <c r="H24" s="50">
        <f>SUMPRODUCT(--('2026'!$A$5:$A$500=$G$1),--('2026'!$I$5:$I$500=$B24))+SUMPRODUCT(--('2026'!$A$5:$A$500=$G$1),--('2026'!$J$5:$J$500=$B24))</f>
        <v/>
      </c>
      <c r="I24" s="50">
        <f>SUMPRODUCT(--('2026'!$A$5:$A$500=$I$1),--('2026'!$C$5:$C$500=$B24))+SUMPRODUCT(--('2026'!$A$5:$A$500=$I$1),--('2026'!$F$5:$F$500=$B24))+SUMPRODUCT(--('2026'!$A$5:$A$500=$I$1),--('2026'!$D$5:$D$500=$B24))+SUMPRODUCT(--('2026'!$A$5:$A$500=$I$1),--('2026'!$G$5:$G$500=$B24))</f>
        <v/>
      </c>
      <c r="J24" s="50">
        <f>SUMPRODUCT(--('2026'!$A$5:$A$500=$I$1),--('2026'!$I$5:$I$500=$B24))+SUMPRODUCT(--('2026'!$A$5:$A$500=$I$1),--('2026'!$J$5:$J$500=$B24))</f>
        <v/>
      </c>
      <c r="K24" s="50">
        <f>SUMPRODUCT(--('2026'!$A$5:$A$500=$K$1),--('2026'!$C$5:$C$500=$B24))+SUMPRODUCT(--('2026'!$A$5:$A$500=$K$1),--('2026'!$F$5:$F$500=$B24))+SUMPRODUCT(--('2026'!$A$5:$A$500=$K$1),--('2026'!$D$5:$D$500=$B24))+SUMPRODUCT(--('2026'!$A$5:$A$500=$K$1),--('2026'!$G$5:$G$500=$B24))</f>
        <v/>
      </c>
      <c r="L24" s="50">
        <f>SUMPRODUCT(--('2026'!$A$5:$A$500=$K$1),--('2026'!$I$5:$I$500=$B24))+SUMPRODUCT(--('2026'!$A$5:$A$500=$K$1),--('2026'!$J$5:$J$500=$B24))</f>
        <v/>
      </c>
      <c r="M24" s="50">
        <f>SUMPRODUCT(--('2026'!$A$5:$A$500=$M$1),--('2026'!$C$5:$C$500=$B24))+SUMPRODUCT(--('2026'!$A$5:$A$500=$M$1),--('2026'!$F$5:$F$500=$B24))+SUMPRODUCT(--('2026'!$A$5:$A$500=$M$1),--('2026'!$D$5:$D$500=$B24))+SUMPRODUCT(--('2026'!$A$5:$A$500=$M$1),--('2026'!$G$5:$G$500=$B24))</f>
        <v/>
      </c>
      <c r="N24" s="50">
        <f>SUMPRODUCT(--('2026'!$A$5:$A$500=$M$1),--('2026'!$I$5:$I$500=$B24))+SUMPRODUCT(--('2026'!$A$5:$A$500=$M$1),--('2026'!$J$5:$J$500=$B24))</f>
        <v/>
      </c>
      <c r="O24" s="50">
        <f>SUMPRODUCT(--('2026'!$A$5:$A$500=$O$1),--('2026'!$C$5:$C$500=$B24))+SUMPRODUCT(--('2026'!$A$5:$A$500=$O$1),--('2026'!$F$5:$F$500=$B24))+SUMPRODUCT(--('2026'!$A$5:$A$500=$O$1),--('2026'!$D$5:$D$500=$B24))+SUMPRODUCT(--('2026'!$A$5:$A$500=$O$1),--('2026'!$G$5:$G$500=$B24))</f>
        <v/>
      </c>
      <c r="P24" s="50">
        <f>SUMPRODUCT(--('2026'!$A$5:$A$500=$O$1),--('2026'!$I$5:$I$500=$B24))+SUMPRODUCT(--('2026'!$A$5:$A$500=$O$1),--('2026'!$J$5:$J$500=$B24))</f>
        <v/>
      </c>
      <c r="Q24" s="50">
        <f>SUMPRODUCT(--('2026'!$A$5:$A$500=$Q$1),--('2026'!$C$5:$C$500=$B24))+SUMPRODUCT(--('2026'!$A$5:$A$500=$Q$1),--('2026'!$F$5:$F$500=$B24))+SUMPRODUCT(--('2026'!$A$5:$A$500=$Q$1),--('2026'!$D$5:$D$500=$B24))+SUMPRODUCT(--('2026'!$A$5:$A$500=$Q$1),--('2026'!$G$5:$G$500=$B24))</f>
        <v/>
      </c>
      <c r="R24" s="50">
        <f>SUMPRODUCT(--('2026'!$A$5:$A$500=$Q$1),--('2026'!$I$5:$I$500=$B24))+SUMPRODUCT(--('2026'!$A$5:$A$500=$Q$1),--('2026'!$J$5:$J$500=$B24))</f>
        <v/>
      </c>
      <c r="S24" s="50">
        <f>SUMPRODUCT(--('2026'!$A$5:$A$500=$S$1),--('2026'!$C$5:$C$500=$B24))+SUMPRODUCT(--('2026'!$A$5:$A$500=$S$1),--('2026'!$F$5:$F$500=$B24))+SUMPRODUCT(--('2026'!$A$5:$A$500=$S$1),--('2026'!$D$5:$D$500=$B24))+SUMPRODUCT(--('2026'!$A$5:$A$500=$S$1),--('2026'!$G$5:$G$500=$B24))</f>
        <v/>
      </c>
      <c r="T24" s="50">
        <f>SUMPRODUCT(--('2026'!$A$5:$A$500=$S$1),--('2026'!$I$5:$I$500=$B24))+SUMPRODUCT(--('2026'!$A$5:$A$500=$S$1),--('2026'!$J$5:$J$500=$B24))</f>
        <v/>
      </c>
      <c r="U24" s="50">
        <f>SUMPRODUCT(--('2026'!$A$5:$A$500=$U$1),--('2026'!$C$5:$C$500=$B24))+SUMPRODUCT(--('2026'!$A$5:$A$500=$U$1),--('2026'!$F$5:$F$500=$B24))+SUMPRODUCT(--('2026'!$A$5:$A$500=$U$1),--('2026'!$D$5:$D$500=$B24))+SUMPRODUCT(--('2026'!$A$5:$A$500=$U$1),--('2026'!$G$5:$G$500=$B24))</f>
        <v/>
      </c>
      <c r="V24" s="50">
        <f>SUMPRODUCT(--('2026'!$A$5:$A$500=$U$1),--('2026'!$I$5:$I$500=$B24))+SUMPRODUCT(--('2026'!$A$5:$A$500=$U$1),--('2026'!$J$5:$J$500=$B24))</f>
        <v/>
      </c>
      <c r="W24" s="60">
        <f>SUMPRODUCT(--('2026'!$A$5:$A$500=$W$1),--('2026'!$C$5:$C$500=$B24))+SUMPRODUCT(--('2026'!$A$5:$A$500=$W$1),--('2026'!$F$5:$F$500=$B24))+SUMPRODUCT(--('2026'!$A$5:$A$500=$W$1),--('2026'!$D$5:$D$500=$B24))+SUMPRODUCT(--('2026'!$A$5:$A$500=$W$1),--('2026'!$G$5:$G$500=$B24))</f>
        <v/>
      </c>
      <c r="X24" s="60">
        <f>SUMPRODUCT(--('2026'!$A$5:$A$500=$W$1),--('2026'!$I$5:$I$500=$B24))+SUMPRODUCT(--('2026'!$A$5:$A$500=$W$1),--('2026'!$J$5:$J$500=$B24))</f>
        <v/>
      </c>
      <c r="Y24" s="51">
        <f>SUMPRODUCT(--('2026'!$A$5:$A$500=$Y$1),--('2026'!$C$5:$C$500=$B24))+SUMPRODUCT(--('2026'!$A$5:$A$500=$Y$1),--('2026'!$F$5:$F$500=$B24))+SUMPRODUCT(--('2026'!$A$5:$A$500=$Y$1),--('2026'!$D$5:$D$500=$B24))+SUMPRODUCT(--('2026'!$A$5:$A$500=$Y$1),--('2026'!$G$5:$G$500=$B24))</f>
        <v/>
      </c>
      <c r="Z24" s="51">
        <f>SUMPRODUCT(--('2026'!$A$5:$A$500=$Y$1),--('2026'!$I$5:$I$500=$B24))+SUMPRODUCT(--('2026'!$A$5:$A$500=$Y$1),--('2026'!$J$5:$J$500=$B24))</f>
        <v/>
      </c>
      <c r="AA24" s="51">
        <f>SUMPRODUCT(--('2026'!$A$5:$A$500=$AA$1),--('2026'!$C$5:$C$500=$B24))+SUMPRODUCT(--('2026'!$A$5:$A$500=$AA$1),--('2026'!$F$5:$F$500=$B24))+SUMPRODUCT(--('2026'!$A$5:$A$500=$AA$1),--('2026'!$D$5:$D$500=$B24))+SUMPRODUCT(--('2026'!$A$5:$A$500=$AA$1),--('2026'!$G$5:$G$500=$B24))</f>
        <v/>
      </c>
      <c r="AB24" s="51">
        <f>SUMPRODUCT(--('2026'!$A$5:$A$500=$AA$1),--('2026'!$I$5:$I$500=$B24))+SUMPRODUCT(--('2026'!$A$5:$A$500=$AA$1),--('2026'!$J$5:$J$500=$B24))</f>
        <v/>
      </c>
      <c r="AC24" s="51">
        <f>SUMPRODUCT(--('2026'!$A$5:$A$500=$AC$1),--('2026'!$C$5:$C$500=$B24))+SUMPRODUCT(--('2026'!$A$5:$A$500=$AC$1),--('2026'!$F$5:$F$500=$B24))+SUMPRODUCT(--('2026'!$A$5:$A$500=$AC$1),--('2026'!$D$5:$D$500=$B24))+SUMPRODUCT(--('2026'!$A$5:$A$500=$AC$1),--('2026'!$G$5:$G$500=$B24))</f>
        <v/>
      </c>
      <c r="AD24" s="51">
        <f>SUMPRODUCT(--('2026'!$A$5:$A$500=$AC$1),--('2026'!$I$5:$I$500=$B24))+SUMPRODUCT(--('2026'!$A$5:$A$500=$AC$1),--('2026'!$J$5:$J$500=$B24))</f>
        <v/>
      </c>
      <c r="AE24" s="51">
        <f>SUMPRODUCT(--('2026'!$A$5:$A$500=$AE$1),--('2026'!$C$5:$C$500=$B24))+SUMPRODUCT(--('2026'!$A$5:$A$500=$AE$1),--('2026'!$F$5:$F$500=$B24))+SUMPRODUCT(--('2026'!$A$5:$A$500=$AE$1),--('2026'!$D$5:$D$500=$B24))+SUMPRODUCT(--('2026'!$A$5:$A$500=$AE$1),--('2026'!$G$5:$G$500=$B24))</f>
        <v/>
      </c>
      <c r="AF24" s="51">
        <f>SUMPRODUCT(--('2026'!$A$5:$A$500=$AE$1),--('2026'!$I$5:$I$500=$B24))+SUMPRODUCT(--('2026'!$A$5:$A$500=$AE$1),--('2026'!$J$5:$J$500=$B24))</f>
        <v/>
      </c>
      <c r="AG24" s="51">
        <f>SUMPRODUCT(--('2026'!$A$5:$A$500=$AG$1),--('2026'!$C$5:$C$500=$B24))+SUMPRODUCT(--('2026'!$A$5:$A$500=$AG$1),--('2026'!$F$5:$F$500=$B24))+SUMPRODUCT(--('2026'!$A$5:$A$500=$AG$1),--('2026'!$D$5:$D$500=$B24))+SUMPRODUCT(--('2026'!$A$5:$A$500=$AG$1),--('2026'!$G$5:$G$500=$B24))</f>
        <v/>
      </c>
      <c r="AH24" s="51">
        <f>SUMPRODUCT(--('2026'!$A$5:$A$500=$AG$1),--('2026'!$I$5:$I$500=$B24))+SUMPRODUCT(--('2026'!$A$5:$A$500=$AG$1),--('2026'!$J$5:$J$500=$B24))</f>
        <v/>
      </c>
      <c r="AI24" s="51">
        <f>SUMPRODUCT(--('2026'!$A$5:$A$500=$AI$1),--('2026'!$C$5:$C$500=$B24))+SUMPRODUCT(--('2026'!$A$5:$A$500=$AI$1),--('2026'!$F$5:$F$500=$B24))+SUMPRODUCT(--('2026'!$A$5:$A$500=$AI$1),--('2026'!$D$5:$D$500=$B24))+SUMPRODUCT(--('2026'!$A$5:$A$500=$AI$1),--('2026'!$G$5:$G$500=$B24))</f>
        <v/>
      </c>
      <c r="AJ24" s="51">
        <f>SUMPRODUCT(--('2026'!$A$5:$A$500=$AI$1),--('2026'!$I$5:$I$500=$B24))+SUMPRODUCT(--('2026'!$A$5:$A$500=$AI$1),--('2026'!$J$5:$J$500=$B24))</f>
        <v/>
      </c>
      <c r="AK24" s="51">
        <f>SUMPRODUCT(--('2026'!$A$5:$A$500=$AK$1),--('2026'!$C$5:$C$500=$B24))+SUMPRODUCT(--('2026'!$A$5:$A$500=$AK$1),--('2026'!$F$5:$F$500=$B24))+SUMPRODUCT(--('2026'!$A$5:$A$500=$AK$1),--('2026'!$D$5:$D$500=$B24))+SUMPRODUCT(--('2026'!$A$5:$A$500=$AK$1),--('2026'!$G$5:$G$500=$B24))</f>
        <v/>
      </c>
      <c r="AL24" s="51">
        <f>SUMPRODUCT(--('2026'!$A$5:$A$500=$AK$1),--('2026'!$I$5:$I$500=$B24))+SUMPRODUCT(--('2026'!$A$5:$A$500=$AK$1),--('2026'!$J$5:$J$500=$B24))</f>
        <v/>
      </c>
      <c r="AM24" s="51">
        <f>SUMPRODUCT(--('2026'!$A$5:$A$500=$AM$1),--('2026'!$C$5:$C$500=$B24))+SUMPRODUCT(--('2026'!$A$5:$A$500=$AM$1),--('2026'!$F$5:$F$500=$B24))+SUMPRODUCT(--('2026'!$A$5:$A$500=$AM$1),--('2026'!$D$5:$D$500=$B24))+SUMPRODUCT(--('2026'!$A$5:$A$500=$AM$1),--('2026'!$G$5:$G$500=$B24))</f>
        <v/>
      </c>
      <c r="AN24" s="51">
        <f>SUMPRODUCT(--('2026'!$A$5:$A$500=$AM$1),--('2026'!$I$5:$I$500=$B24))+SUMPRODUCT(--('2026'!$A$5:$A$500=$AM$1),--('2026'!$J$5:$J$500=$B24))</f>
        <v/>
      </c>
      <c r="AO24" s="51">
        <f>SUMPRODUCT(--('2026'!$A$5:$A$500=$AO$1),--('2026'!$C$5:$C$500=$B24))+SUMPRODUCT(--('2026'!$A$5:$A$500=$AO$1),--('2026'!$F$5:$F$500=$B24))+SUMPRODUCT(--('2026'!$A$5:$A$500=$AO$1),--('2026'!$D$5:$D$500=$B24))+SUMPRODUCT(--('2026'!$A$5:$A$500=$AO$1),--('2026'!$G$5:$G$500=$B24))</f>
        <v/>
      </c>
      <c r="AP24" s="51">
        <f>SUMPRODUCT(--('2026'!$A$5:$A$500=$AO$1),--('2026'!$I$5:$I$500=$B24))+SUMPRODUCT(--('2026'!$A$5:$A$500=$AO$1),--('2026'!$J$5:$J$500=$B24))</f>
        <v/>
      </c>
      <c r="AQ24" s="51">
        <f>SUMPRODUCT(--('2026'!$A$5:$A$500=$AQ$1),--('2026'!$C$5:$C$500=$B24))+SUMPRODUCT(--('2026'!$A$5:$A$500=$AQ$1),--('2026'!$F$5:$F$500=$B24))+SUMPRODUCT(--('2026'!$A$5:$A$500=$AQ$1),--('2026'!$D$5:$D$500=$B24))+SUMPRODUCT(--('2026'!$A$5:$A$500=$AQ$1),--('2026'!$G$5:$G$500=$B24))</f>
        <v/>
      </c>
      <c r="AR24" s="51">
        <f>SUMPRODUCT(--('2026'!$A$5:$A$500=$AQ$1),--('2026'!$I$5:$I$500=$B24))+SUMPRODUCT(--('2026'!$A$5:$A$500=$AQ$1),--('2026'!$J$5:$J$500=$B24))</f>
        <v/>
      </c>
      <c r="AS24" s="51">
        <f>SUMPRODUCT(--('2026'!$A$5:$A$500=$AS$1),--('2026'!$C$5:$C$500=$B24))+SUMPRODUCT(--('2026'!$A$5:$A$500=$AS$1),--('2026'!$F$5:$F$500=$B24))+SUMPRODUCT(--('2026'!$A$5:$A$500=$AS$1),--('2026'!$D$5:$D$500=$B24))+SUMPRODUCT(--('2026'!$A$5:$A$500=$AS$1),--('2026'!$G$5:$G$500=$B24))</f>
        <v/>
      </c>
      <c r="AT24" s="51">
        <f>SUMPRODUCT(--('2026'!$A$5:$A$500=$AS$1),--('2026'!$I$5:$I$500=$B24))+SUMPRODUCT(--('2026'!$A$5:$A$500=$AS$1),--('2026'!$J$5:$J$500=$B24))</f>
        <v/>
      </c>
      <c r="AU24" s="51">
        <f>SUMPRODUCT(--('2026'!$A$5:$A$500=$AU$1),--('2026'!$C$5:$C$500=$B24))+SUMPRODUCT(--('2026'!$A$5:$A$500=$AU$1),--('2026'!$F$5:$F$500=$B24))+SUMPRODUCT(--('2026'!$A$5:$A$500=$AU$1),--('2026'!$D$5:$D$500=$B24))+SUMPRODUCT(--('2026'!$A$5:$A$500=$AU$1),--('2026'!$G$5:$G$500=$B24))</f>
        <v/>
      </c>
      <c r="AV24" s="51">
        <f>SUMPRODUCT(--('2026'!$A$5:$A$500=$AU$1),--('2026'!$I$5:$I$500=$B24))+SUMPRODUCT(--('2026'!$A$5:$A$500=$AU$1),--('2026'!$J$5:$J$500=$B24))</f>
        <v/>
      </c>
      <c r="AW24" s="51">
        <f>SUMPRODUCT(--('2026'!$A$5:$A$500=$AW$1),--('2026'!$C$5:$C$500=$B24))+SUMPRODUCT(--('2026'!$A$5:$A$500=$AW$1),--('2026'!$F$5:$F$500=$B24))+SUMPRODUCT(--('2026'!$A$5:$A$500=$AW$1),--('2026'!$D$5:$D$500=$B24))+SUMPRODUCT(--('2026'!$A$5:$A$500=$AW$1),--('2026'!$G$5:$G$500=$B24))</f>
        <v/>
      </c>
      <c r="AX24" s="51">
        <f>SUMPRODUCT(--('2026'!$A$5:$A$500=$AW$1),--('2026'!$I$5:$I$500=$B24))+SUMPRODUCT(--('2026'!$A$5:$A$500=$AW$1),--('2026'!$J$5:$J$500=$B24))</f>
        <v/>
      </c>
      <c r="BA24" s="54" t="inlineStr">
        <is>
          <t>Vasu</t>
        </is>
      </c>
      <c r="BB24" s="47">
        <f>IF(ISODD(COUNTIF(C24:AX24,"&gt;0")),COUNTIF(C24:AX24,"&gt;0")+1,COUNTIF(C24:AX24,"&gt;0"))/2</f>
        <v/>
      </c>
      <c r="BC24" s="52">
        <f>BB24/15</f>
        <v/>
      </c>
    </row>
    <row r="25" ht="15" customHeight="1" s="106">
      <c r="A25" t="n">
        <v>23</v>
      </c>
      <c r="B25" s="54" t="inlineStr">
        <is>
          <t>Vishal</t>
        </is>
      </c>
      <c r="C25" s="50">
        <f>SUMPRODUCT(--('2026'!$A$5:$A$500=$C$1),--('2026'!$C$5:$C$500=$B25))+SUMPRODUCT(--('2026'!$A$5:$A$500=$C$1),--('2026'!$F$5:$F$500=$B25))+SUMPRODUCT(--('2026'!$A$5:$A$500=$C$1),--('2026'!$D$5:$D$500=$B25))+SUMPRODUCT(--('2026'!$A$5:$A$500=$C$1),--('2026'!$G$5:$G$500=$B25))</f>
        <v/>
      </c>
      <c r="D25" s="50">
        <f>SUMPRODUCT(--('2026'!$A$5:$A$500=$C$1),--('2026'!$I$5:$I$500=$B25))+SUMPRODUCT(--('2026'!$A$5:$A$500=$C$1),--('2026'!$J$5:$J$500=$B25))</f>
        <v/>
      </c>
      <c r="E25" s="50">
        <f>SUMPRODUCT(--('2026'!$A$5:$A$500=$E$1),--('2026'!$C$5:$C$500=$B25))+SUMPRODUCT(--('2026'!$A$5:$A$500=$E$1),--('2026'!$F$5:$F$500=$B25))+SUMPRODUCT(--('2026'!$A$5:$A$500=$E$1),--('2026'!$D$5:$D$500=$B25))+SUMPRODUCT(--('2026'!$A$5:$A$500=$E$1),--('2026'!$G$5:$G$500=$B25))</f>
        <v/>
      </c>
      <c r="F25" s="50">
        <f>SUMPRODUCT(--('2026'!$A$5:$A$500=$E$1),--('2026'!$I$5:$I$500=$B25))+SUMPRODUCT(--('2026'!$A$5:$A$500=$E$1),--('2026'!$J$5:$J$500=$B25))</f>
        <v/>
      </c>
      <c r="G25" s="50">
        <f>SUMPRODUCT(--('2026'!$A$5:$A$500=$G$1),--('2026'!$C$5:$C$500=$B25))+SUMPRODUCT(--('2026'!$A$5:$A$500=$G$1),--('2026'!$F$5:$F$500=$B25))+SUMPRODUCT(--('2026'!$A$5:$A$500=$G$1),--('2026'!$D$5:$D$500=$B25))+SUMPRODUCT(--('2026'!$A$5:$A$500=$G$1),--('2026'!$G$5:$G$500=$B25))</f>
        <v/>
      </c>
      <c r="H25" s="50">
        <f>SUMPRODUCT(--('2026'!$A$5:$A$500=$G$1),--('2026'!$I$5:$I$500=$B25))+SUMPRODUCT(--('2026'!$A$5:$A$500=$G$1),--('2026'!$J$5:$J$500=$B25))</f>
        <v/>
      </c>
      <c r="I25" s="50">
        <f>SUMPRODUCT(--('2026'!$A$5:$A$500=$I$1),--('2026'!$C$5:$C$500=$B25))+SUMPRODUCT(--('2026'!$A$5:$A$500=$I$1),--('2026'!$F$5:$F$500=$B25))+SUMPRODUCT(--('2026'!$A$5:$A$500=$I$1),--('2026'!$D$5:$D$500=$B25))+SUMPRODUCT(--('2026'!$A$5:$A$500=$I$1),--('2026'!$G$5:$G$500=$B25))</f>
        <v/>
      </c>
      <c r="J25" s="50">
        <f>SUMPRODUCT(--('2026'!$A$5:$A$500=$I$1),--('2026'!$I$5:$I$500=$B25))+SUMPRODUCT(--('2026'!$A$5:$A$500=$I$1),--('2026'!$J$5:$J$500=$B25))</f>
        <v/>
      </c>
      <c r="K25" s="50">
        <f>SUMPRODUCT(--('2026'!$A$5:$A$500=$K$1),--('2026'!$C$5:$C$500=$B25))+SUMPRODUCT(--('2026'!$A$5:$A$500=$K$1),--('2026'!$F$5:$F$500=$B25))+SUMPRODUCT(--('2026'!$A$5:$A$500=$K$1),--('2026'!$D$5:$D$500=$B25))+SUMPRODUCT(--('2026'!$A$5:$A$500=$K$1),--('2026'!$G$5:$G$500=$B25))</f>
        <v/>
      </c>
      <c r="L25" s="50">
        <f>SUMPRODUCT(--('2026'!$A$5:$A$500=$K$1),--('2026'!$I$5:$I$500=$B25))+SUMPRODUCT(--('2026'!$A$5:$A$500=$K$1),--('2026'!$J$5:$J$500=$B25))</f>
        <v/>
      </c>
      <c r="M25" s="50">
        <f>SUMPRODUCT(--('2026'!$A$5:$A$500=$M$1),--('2026'!$C$5:$C$500=$B25))+SUMPRODUCT(--('2026'!$A$5:$A$500=$M$1),--('2026'!$F$5:$F$500=$B25))+SUMPRODUCT(--('2026'!$A$5:$A$500=$M$1),--('2026'!$D$5:$D$500=$B25))+SUMPRODUCT(--('2026'!$A$5:$A$500=$M$1),--('2026'!$G$5:$G$500=$B25))</f>
        <v/>
      </c>
      <c r="N25" s="50">
        <f>SUMPRODUCT(--('2026'!$A$5:$A$500=$M$1),--('2026'!$I$5:$I$500=$B25))+SUMPRODUCT(--('2026'!$A$5:$A$500=$M$1),--('2026'!$J$5:$J$500=$B25))</f>
        <v/>
      </c>
      <c r="O25" s="50">
        <f>SUMPRODUCT(--('2026'!$A$5:$A$500=$O$1),--('2026'!$C$5:$C$500=$B25))+SUMPRODUCT(--('2026'!$A$5:$A$500=$O$1),--('2026'!$F$5:$F$500=$B25))+SUMPRODUCT(--('2026'!$A$5:$A$500=$O$1),--('2026'!$D$5:$D$500=$B25))+SUMPRODUCT(--('2026'!$A$5:$A$500=$O$1),--('2026'!$G$5:$G$500=$B25))</f>
        <v/>
      </c>
      <c r="P25" s="50">
        <f>SUMPRODUCT(--('2026'!$A$5:$A$500=$O$1),--('2026'!$I$5:$I$500=$B25))+SUMPRODUCT(--('2026'!$A$5:$A$500=$O$1),--('2026'!$J$5:$J$500=$B25))</f>
        <v/>
      </c>
      <c r="Q25" s="50">
        <f>SUMPRODUCT(--('2026'!$A$5:$A$500=$Q$1),--('2026'!$C$5:$C$500=$B25))+SUMPRODUCT(--('2026'!$A$5:$A$500=$Q$1),--('2026'!$F$5:$F$500=$B25))+SUMPRODUCT(--('2026'!$A$5:$A$500=$Q$1),--('2026'!$D$5:$D$500=$B25))+SUMPRODUCT(--('2026'!$A$5:$A$500=$Q$1),--('2026'!$G$5:$G$500=$B25))</f>
        <v/>
      </c>
      <c r="R25" s="50">
        <f>SUMPRODUCT(--('2026'!$A$5:$A$500=$Q$1),--('2026'!$I$5:$I$500=$B25))+SUMPRODUCT(--('2026'!$A$5:$A$500=$Q$1),--('2026'!$J$5:$J$500=$B25))</f>
        <v/>
      </c>
      <c r="S25" s="50">
        <f>SUMPRODUCT(--('2026'!$A$5:$A$500=$S$1),--('2026'!$C$5:$C$500=$B25))+SUMPRODUCT(--('2026'!$A$5:$A$500=$S$1),--('2026'!$F$5:$F$500=$B25))+SUMPRODUCT(--('2026'!$A$5:$A$500=$S$1),--('2026'!$D$5:$D$500=$B25))+SUMPRODUCT(--('2026'!$A$5:$A$500=$S$1),--('2026'!$G$5:$G$500=$B25))</f>
        <v/>
      </c>
      <c r="T25" s="50">
        <f>SUMPRODUCT(--('2026'!$A$5:$A$500=$S$1),--('2026'!$I$5:$I$500=$B25))+SUMPRODUCT(--('2026'!$A$5:$A$500=$S$1),--('2026'!$J$5:$J$500=$B25))</f>
        <v/>
      </c>
      <c r="U25" s="50">
        <f>SUMPRODUCT(--('2026'!$A$5:$A$500=$U$1),--('2026'!$C$5:$C$500=$B25))+SUMPRODUCT(--('2026'!$A$5:$A$500=$U$1),--('2026'!$F$5:$F$500=$B25))+SUMPRODUCT(--('2026'!$A$5:$A$500=$U$1),--('2026'!$D$5:$D$500=$B25))+SUMPRODUCT(--('2026'!$A$5:$A$500=$U$1),--('2026'!$G$5:$G$500=$B25))</f>
        <v/>
      </c>
      <c r="V25" s="50">
        <f>SUMPRODUCT(--('2026'!$A$5:$A$500=$U$1),--('2026'!$I$5:$I$500=$B25))+SUMPRODUCT(--('2026'!$A$5:$A$500=$U$1),--('2026'!$J$5:$J$500=$B25))</f>
        <v/>
      </c>
      <c r="W25" s="60">
        <f>SUMPRODUCT(--('2026'!$A$5:$A$500=$W$1),--('2026'!$C$5:$C$500=$B25))+SUMPRODUCT(--('2026'!$A$5:$A$500=$W$1),--('2026'!$F$5:$F$500=$B25))+SUMPRODUCT(--('2026'!$A$5:$A$500=$W$1),--('2026'!$D$5:$D$500=$B25))+SUMPRODUCT(--('2026'!$A$5:$A$500=$W$1),--('2026'!$G$5:$G$500=$B25))</f>
        <v/>
      </c>
      <c r="X25" s="60">
        <f>SUMPRODUCT(--('2026'!$A$5:$A$500=$W$1),--('2026'!$I$5:$I$500=$B25))+SUMPRODUCT(--('2026'!$A$5:$A$500=$W$1),--('2026'!$J$5:$J$500=$B25))</f>
        <v/>
      </c>
      <c r="Y25" s="50">
        <f>SUMPRODUCT(--('2026'!$A$5:$A$500=$Y$1),--('2026'!$C$5:$C$500=$B25))+SUMPRODUCT(--('2026'!$A$5:$A$500=$Y$1),--('2026'!$F$5:$F$500=$B25))+SUMPRODUCT(--('2026'!$A$5:$A$500=$Y$1),--('2026'!$D$5:$D$500=$B25))+SUMPRODUCT(--('2026'!$A$5:$A$500=$Y$1),--('2026'!$G$5:$G$500=$B25))</f>
        <v/>
      </c>
      <c r="Z25" s="50">
        <f>SUMPRODUCT(--('2026'!$A$5:$A$500=$Y$1),--('2026'!$I$5:$I$500=$B25))+SUMPRODUCT(--('2026'!$A$5:$A$500=$Y$1),--('2026'!$J$5:$J$500=$B25))</f>
        <v/>
      </c>
      <c r="AA25" s="50">
        <f>SUMPRODUCT(--('2026'!$A$5:$A$500=$AA$1),--('2026'!$C$5:$C$500=$B25))+SUMPRODUCT(--('2026'!$A$5:$A$500=$AA$1),--('2026'!$F$5:$F$500=$B25))+SUMPRODUCT(--('2026'!$A$5:$A$500=$AA$1),--('2026'!$D$5:$D$500=$B25))+SUMPRODUCT(--('2026'!$A$5:$A$500=$AA$1),--('2026'!$G$5:$G$500=$B25))</f>
        <v/>
      </c>
      <c r="AB25" s="50">
        <f>SUMPRODUCT(--('2026'!$A$5:$A$500=$AA$1),--('2026'!$I$5:$I$500=$B25))+SUMPRODUCT(--('2026'!$A$5:$A$500=$AA$1),--('2026'!$J$5:$J$500=$B25))</f>
        <v/>
      </c>
      <c r="AC25" s="50">
        <f>SUMPRODUCT(--('2026'!$A$5:$A$500=$AC$1),--('2026'!$C$5:$C$500=$B25))+SUMPRODUCT(--('2026'!$A$5:$A$500=$AC$1),--('2026'!$F$5:$F$500=$B25))+SUMPRODUCT(--('2026'!$A$5:$A$500=$AC$1),--('2026'!$D$5:$D$500=$B25))+SUMPRODUCT(--('2026'!$A$5:$A$500=$AC$1),--('2026'!$G$5:$G$500=$B25))</f>
        <v/>
      </c>
      <c r="AD25" s="50">
        <f>SUMPRODUCT(--('2026'!$A$5:$A$500=$AC$1),--('2026'!$I$5:$I$500=$B25))+SUMPRODUCT(--('2026'!$A$5:$A$500=$AC$1),--('2026'!$J$5:$J$500=$B25))</f>
        <v/>
      </c>
      <c r="AE25" s="60">
        <f>SUMPRODUCT(--('2026'!$A$5:$A$500=$AE$1),--('2026'!$C$5:$C$500=$B25))+SUMPRODUCT(--('2026'!$A$5:$A$500=$AE$1),--('2026'!$F$5:$F$500=$B25))+SUMPRODUCT(--('2026'!$A$5:$A$500=$AE$1),--('2026'!$D$5:$D$500=$B25))+SUMPRODUCT(--('2026'!$A$5:$A$500=$AE$1),--('2026'!$G$5:$G$500=$B25))</f>
        <v/>
      </c>
      <c r="AF25" s="60">
        <f>SUMPRODUCT(--('2026'!$A$5:$A$500=$AE$1),--('2026'!$I$5:$I$500=$B25))+SUMPRODUCT(--('2026'!$A$5:$A$500=$AE$1),--('2026'!$J$5:$J$500=$B25))</f>
        <v/>
      </c>
      <c r="AG25" s="50">
        <f>SUMPRODUCT(--('2026'!$A$5:$A$500=$AG$1),--('2026'!$C$5:$C$500=$B25))+SUMPRODUCT(--('2026'!$A$5:$A$500=$AG$1),--('2026'!$F$5:$F$500=$B25))+SUMPRODUCT(--('2026'!$A$5:$A$500=$AG$1),--('2026'!$D$5:$D$500=$B25))+SUMPRODUCT(--('2026'!$A$5:$A$500=$AG$1),--('2026'!$G$5:$G$500=$B25))</f>
        <v/>
      </c>
      <c r="AH25" s="50">
        <f>SUMPRODUCT(--('2026'!$A$5:$A$500=$AG$1),--('2026'!$I$5:$I$500=$B25))+SUMPRODUCT(--('2026'!$A$5:$A$500=$AG$1),--('2026'!$J$5:$J$500=$B25))</f>
        <v/>
      </c>
      <c r="AI25" s="50">
        <f>SUMPRODUCT(--('2026'!$A$5:$A$500=$AI$1),--('2026'!$C$5:$C$500=$B25))+SUMPRODUCT(--('2026'!$A$5:$A$500=$AI$1),--('2026'!$F$5:$F$500=$B25))+SUMPRODUCT(--('2026'!$A$5:$A$500=$AI$1),--('2026'!$D$5:$D$500=$B25))+SUMPRODUCT(--('2026'!$A$5:$A$500=$AI$1),--('2026'!$G$5:$G$500=$B25))</f>
        <v/>
      </c>
      <c r="AJ25" s="50">
        <f>SUMPRODUCT(--('2026'!$A$5:$A$500=$AI$1),--('2026'!$I$5:$I$500=$B25))+SUMPRODUCT(--('2026'!$A$5:$A$500=$AI$1),--('2026'!$J$5:$J$500=$B25))</f>
        <v/>
      </c>
      <c r="AK25" s="50">
        <f>SUMPRODUCT(--('2026'!$A$5:$A$500=$AK$1),--('2026'!$C$5:$C$500=$B25))+SUMPRODUCT(--('2026'!$A$5:$A$500=$AK$1),--('2026'!$F$5:$F$500=$B25))+SUMPRODUCT(--('2026'!$A$5:$A$500=$AK$1),--('2026'!$D$5:$D$500=$B25))+SUMPRODUCT(--('2026'!$A$5:$A$500=$AK$1),--('2026'!$G$5:$G$500=$B25))</f>
        <v/>
      </c>
      <c r="AL25" s="50">
        <f>SUMPRODUCT(--('2026'!$A$5:$A$500=$AK$1),--('2026'!$I$5:$I$500=$B25))+SUMPRODUCT(--('2026'!$A$5:$A$500=$AK$1),--('2026'!$J$5:$J$500=$B25))</f>
        <v/>
      </c>
      <c r="AM25" s="50">
        <f>SUMPRODUCT(--('2026'!$A$5:$A$500=$AM$1),--('2026'!$C$5:$C$500=$B25))+SUMPRODUCT(--('2026'!$A$5:$A$500=$AM$1),--('2026'!$F$5:$F$500=$B25))+SUMPRODUCT(--('2026'!$A$5:$A$500=$AM$1),--('2026'!$D$5:$D$500=$B25))+SUMPRODUCT(--('2026'!$A$5:$A$500=$AM$1),--('2026'!$G$5:$G$500=$B25))</f>
        <v/>
      </c>
      <c r="AN25" s="50">
        <f>SUMPRODUCT(--('2026'!$A$5:$A$500=$AM$1),--('2026'!$I$5:$I$500=$B25))+SUMPRODUCT(--('2026'!$A$5:$A$500=$AM$1),--('2026'!$J$5:$J$500=$B25))</f>
        <v/>
      </c>
      <c r="AO25" s="50">
        <f>SUMPRODUCT(--('2026'!$A$5:$A$500=$AO$1),--('2026'!$C$5:$C$500=$B25))+SUMPRODUCT(--('2026'!$A$5:$A$500=$AO$1),--('2026'!$F$5:$F$500=$B25))+SUMPRODUCT(--('2026'!$A$5:$A$500=$AO$1),--('2026'!$D$5:$D$500=$B25))+SUMPRODUCT(--('2026'!$A$5:$A$500=$AO$1),--('2026'!$G$5:$G$500=$B25))</f>
        <v/>
      </c>
      <c r="AP25" s="50">
        <f>SUMPRODUCT(--('2026'!$A$5:$A$500=$AO$1),--('2026'!$I$5:$I$500=$B25))+SUMPRODUCT(--('2026'!$A$5:$A$500=$AO$1),--('2026'!$J$5:$J$500=$B25))</f>
        <v/>
      </c>
      <c r="AQ25" s="50">
        <f>SUMPRODUCT(--('2026'!$A$5:$A$500=$AQ$1),--('2026'!$C$5:$C$500=$B25))+SUMPRODUCT(--('2026'!$A$5:$A$500=$AQ$1),--('2026'!$F$5:$F$500=$B25))+SUMPRODUCT(--('2026'!$A$5:$A$500=$AQ$1),--('2026'!$D$5:$D$500=$B25))+SUMPRODUCT(--('2026'!$A$5:$A$500=$AQ$1),--('2026'!$G$5:$G$500=$B25))</f>
        <v/>
      </c>
      <c r="AR25" s="50">
        <f>SUMPRODUCT(--('2026'!$A$5:$A$500=$AQ$1),--('2026'!$I$5:$I$500=$B25))+SUMPRODUCT(--('2026'!$A$5:$A$500=$AQ$1),--('2026'!$J$5:$J$500=$B25))</f>
        <v/>
      </c>
      <c r="AS25" s="50">
        <f>SUMPRODUCT(--('2026'!$A$5:$A$500=$AS$1),--('2026'!$C$5:$C$500=$B25))+SUMPRODUCT(--('2026'!$A$5:$A$500=$AS$1),--('2026'!$F$5:$F$500=$B25))+SUMPRODUCT(--('2026'!$A$5:$A$500=$AS$1),--('2026'!$D$5:$D$500=$B25))+SUMPRODUCT(--('2026'!$A$5:$A$500=$AS$1),--('2026'!$G$5:$G$500=$B25))</f>
        <v/>
      </c>
      <c r="AT25" s="50">
        <f>SUMPRODUCT(--('2026'!$A$5:$A$500=$AS$1),--('2026'!$I$5:$I$500=$B25))+SUMPRODUCT(--('2026'!$A$5:$A$500=$AS$1),--('2026'!$J$5:$J$500=$B25))</f>
        <v/>
      </c>
      <c r="AU25" s="50">
        <f>SUMPRODUCT(--('2026'!$A$5:$A$500=$AU$1),--('2026'!$C$5:$C$500=$B25))+SUMPRODUCT(--('2026'!$A$5:$A$500=$AU$1),--('2026'!$F$5:$F$500=$B25))+SUMPRODUCT(--('2026'!$A$5:$A$500=$AU$1),--('2026'!$D$5:$D$500=$B25))+SUMPRODUCT(--('2026'!$A$5:$A$500=$AU$1),--('2026'!$G$5:$G$500=$B25))</f>
        <v/>
      </c>
      <c r="AV25" s="50">
        <f>SUMPRODUCT(--('2026'!$A$5:$A$500=$AU$1),--('2026'!$I$5:$I$500=$B25))+SUMPRODUCT(--('2026'!$A$5:$A$500=$AU$1),--('2026'!$J$5:$J$500=$B25))</f>
        <v/>
      </c>
      <c r="AW25" s="50">
        <f>SUMPRODUCT(--('2026'!$A$5:$A$500=$AW$1),--('2026'!$C$5:$C$500=$B25))+SUMPRODUCT(--('2026'!$A$5:$A$500=$AW$1),--('2026'!$F$5:$F$500=$B25))+SUMPRODUCT(--('2026'!$A$5:$A$500=$AW$1),--('2026'!$D$5:$D$500=$B25))+SUMPRODUCT(--('2026'!$A$5:$A$500=$AW$1),--('2026'!$G$5:$G$500=$B25))</f>
        <v/>
      </c>
      <c r="AX25" s="50">
        <f>SUMPRODUCT(--('2026'!$A$5:$A$500=$AW$1),--('2026'!$I$5:$I$500=$B25))+SUMPRODUCT(--('2026'!$A$5:$A$500=$AW$1),--('2026'!$J$5:$J$500=$B25))</f>
        <v/>
      </c>
      <c r="BA25" s="54" t="inlineStr">
        <is>
          <t>Vishal</t>
        </is>
      </c>
      <c r="BB25" s="47">
        <f>IF(ISODD(COUNTIF(C25:AX25,"&gt;0")),COUNTIF(C25:AX25,"&gt;0")+1,COUNTIF(C25:AX25,"&gt;0"))/2</f>
        <v/>
      </c>
      <c r="BC25" s="52">
        <f>BB25/15</f>
        <v/>
      </c>
    </row>
    <row r="26" ht="15" customHeight="1" s="106">
      <c r="A26" t="n">
        <v>24</v>
      </c>
      <c r="B26" s="54" t="inlineStr">
        <is>
          <t>Faiyaz</t>
        </is>
      </c>
      <c r="C26" s="50">
        <f>SUMPRODUCT(--('2026'!$A$5:$A$500=$C$1),--('2026'!$C$5:$C$500=$B26))+SUMPRODUCT(--('2026'!$A$5:$A$500=$C$1),--('2026'!$F$5:$F$500=$B26))+SUMPRODUCT(--('2026'!$A$5:$A$500=$C$1),--('2026'!$D$5:$D$500=$B26))+SUMPRODUCT(--('2026'!$A$5:$A$500=$C$1),--('2026'!$G$5:$G$500=$B26))</f>
        <v/>
      </c>
      <c r="D26" s="50">
        <f>SUMPRODUCT(--('2026'!$A$5:$A$500=$C$1),--('2026'!$I$5:$I$500=$B26))+SUMPRODUCT(--('2026'!$A$5:$A$500=$C$1),--('2026'!$J$5:$J$500=$B26))</f>
        <v/>
      </c>
      <c r="E26" s="50">
        <f>SUMPRODUCT(--('2026'!$A$5:$A$500=$E$1),--('2026'!$C$5:$C$500=$B26))+SUMPRODUCT(--('2026'!$A$5:$A$500=$E$1),--('2026'!$F$5:$F$500=$B26))+SUMPRODUCT(--('2026'!$A$5:$A$500=$E$1),--('2026'!$D$5:$D$500=$B26))+SUMPRODUCT(--('2026'!$A$5:$A$500=$E$1),--('2026'!$G$5:$G$500=$B26))</f>
        <v/>
      </c>
      <c r="F26" s="50">
        <f>SUMPRODUCT(--('2026'!$A$5:$A$500=$E$1),--('2026'!$I$5:$I$500=$B26))+SUMPRODUCT(--('2026'!$A$5:$A$500=$E$1),--('2026'!$J$5:$J$500=$B26))</f>
        <v/>
      </c>
      <c r="G26" s="50">
        <f>SUMPRODUCT(--('2026'!$A$5:$A$500=$G$1),--('2026'!$C$5:$C$500=$B26))+SUMPRODUCT(--('2026'!$A$5:$A$500=$G$1),--('2026'!$F$5:$F$500=$B26))+SUMPRODUCT(--('2026'!$A$5:$A$500=$G$1),--('2026'!$D$5:$D$500=$B26))+SUMPRODUCT(--('2026'!$A$5:$A$500=$G$1),--('2026'!$G$5:$G$500=$B26))</f>
        <v/>
      </c>
      <c r="H26" s="50">
        <f>SUMPRODUCT(--('2026'!$A$5:$A$500=$G$1),--('2026'!$I$5:$I$500=$B26))+SUMPRODUCT(--('2026'!$A$5:$A$500=$G$1),--('2026'!$J$5:$J$500=$B26))</f>
        <v/>
      </c>
      <c r="I26" s="50">
        <f>SUMPRODUCT(--('2026'!$A$5:$A$500=$I$1),--('2026'!$C$5:$C$500=$B26))+SUMPRODUCT(--('2026'!$A$5:$A$500=$I$1),--('2026'!$F$5:$F$500=$B26))+SUMPRODUCT(--('2026'!$A$5:$A$500=$I$1),--('2026'!$D$5:$D$500=$B26))+SUMPRODUCT(--('2026'!$A$5:$A$500=$I$1),--('2026'!$G$5:$G$500=$B26))</f>
        <v/>
      </c>
      <c r="J26" s="50">
        <f>SUMPRODUCT(--('2026'!$A$5:$A$500=$I$1),--('2026'!$I$5:$I$500=$B26))+SUMPRODUCT(--('2026'!$A$5:$A$500=$I$1),--('2026'!$J$5:$J$500=$B26))</f>
        <v/>
      </c>
      <c r="K26" s="50">
        <f>SUMPRODUCT(--('2026'!$A$5:$A$500=$K$1),--('2026'!$C$5:$C$500=$B26))+SUMPRODUCT(--('2026'!$A$5:$A$500=$K$1),--('2026'!$F$5:$F$500=$B26))+SUMPRODUCT(--('2026'!$A$5:$A$500=$K$1),--('2026'!$D$5:$D$500=$B26))+SUMPRODUCT(--('2026'!$A$5:$A$500=$K$1),--('2026'!$G$5:$G$500=$B26))</f>
        <v/>
      </c>
      <c r="L26" s="50">
        <f>SUMPRODUCT(--('2026'!$A$5:$A$500=$K$1),--('2026'!$I$5:$I$500=$B26))+SUMPRODUCT(--('2026'!$A$5:$A$500=$K$1),--('2026'!$J$5:$J$500=$B26))</f>
        <v/>
      </c>
      <c r="M26" s="50">
        <f>SUMPRODUCT(--('2026'!$A$5:$A$500=$M$1),--('2026'!$C$5:$C$500=$B26))+SUMPRODUCT(--('2026'!$A$5:$A$500=$M$1),--('2026'!$F$5:$F$500=$B26))+SUMPRODUCT(--('2026'!$A$5:$A$500=$M$1),--('2026'!$D$5:$D$500=$B26))+SUMPRODUCT(--('2026'!$A$5:$A$500=$M$1),--('2026'!$G$5:$G$500=$B26))</f>
        <v/>
      </c>
      <c r="N26" s="50">
        <f>SUMPRODUCT(--('2026'!$A$5:$A$500=$M$1),--('2026'!$I$5:$I$500=$B26))+SUMPRODUCT(--('2026'!$A$5:$A$500=$M$1),--('2026'!$J$5:$J$500=$B26))</f>
        <v/>
      </c>
      <c r="O26" s="50">
        <f>SUMPRODUCT(--('2026'!$A$5:$A$500=$O$1),--('2026'!$C$5:$C$500=$B26))+SUMPRODUCT(--('2026'!$A$5:$A$500=$O$1),--('2026'!$F$5:$F$500=$B26))+SUMPRODUCT(--('2026'!$A$5:$A$500=$O$1),--('2026'!$D$5:$D$500=$B26))+SUMPRODUCT(--('2026'!$A$5:$A$500=$O$1),--('2026'!$G$5:$G$500=$B26))</f>
        <v/>
      </c>
      <c r="P26" s="50">
        <f>SUMPRODUCT(--('2026'!$A$5:$A$500=$O$1),--('2026'!$I$5:$I$500=$B26))+SUMPRODUCT(--('2026'!$A$5:$A$500=$O$1),--('2026'!$J$5:$J$500=$B26))</f>
        <v/>
      </c>
      <c r="Q26" s="50">
        <f>SUMPRODUCT(--('2026'!$A$5:$A$500=$Q$1),--('2026'!$C$5:$C$500=$B26))+SUMPRODUCT(--('2026'!$A$5:$A$500=$Q$1),--('2026'!$F$5:$F$500=$B26))+SUMPRODUCT(--('2026'!$A$5:$A$500=$Q$1),--('2026'!$D$5:$D$500=$B26))+SUMPRODUCT(--('2026'!$A$5:$A$500=$Q$1),--('2026'!$G$5:$G$500=$B26))</f>
        <v/>
      </c>
      <c r="R26" s="50">
        <f>SUMPRODUCT(--('2026'!$A$5:$A$500=$Q$1),--('2026'!$I$5:$I$500=$B26))+SUMPRODUCT(--('2026'!$A$5:$A$500=$Q$1),--('2026'!$J$5:$J$500=$B26))</f>
        <v/>
      </c>
      <c r="S26" s="50">
        <f>SUMPRODUCT(--('2026'!$A$5:$A$500=$S$1),--('2026'!$C$5:$C$500=$B26))+SUMPRODUCT(--('2026'!$A$5:$A$500=$S$1),--('2026'!$F$5:$F$500=$B26))+SUMPRODUCT(--('2026'!$A$5:$A$500=$S$1),--('2026'!$D$5:$D$500=$B26))+SUMPRODUCT(--('2026'!$A$5:$A$500=$S$1),--('2026'!$G$5:$G$500=$B26))</f>
        <v/>
      </c>
      <c r="T26" s="50">
        <f>SUMPRODUCT(--('2026'!$A$5:$A$500=$S$1),--('2026'!$I$5:$I$500=$B26))+SUMPRODUCT(--('2026'!$A$5:$A$500=$S$1),--('2026'!$J$5:$J$500=$B26))</f>
        <v/>
      </c>
      <c r="U26" s="50">
        <f>SUMPRODUCT(--('2026'!$A$5:$A$500=$U$1),--('2026'!$C$5:$C$500=$B26))+SUMPRODUCT(--('2026'!$A$5:$A$500=$U$1),--('2026'!$F$5:$F$500=$B26))+SUMPRODUCT(--('2026'!$A$5:$A$500=$U$1),--('2026'!$D$5:$D$500=$B26))+SUMPRODUCT(--('2026'!$A$5:$A$500=$U$1),--('2026'!$G$5:$G$500=$B26))</f>
        <v/>
      </c>
      <c r="V26" s="50">
        <f>SUMPRODUCT(--('2026'!$A$5:$A$500=$U$1),--('2026'!$I$5:$I$500=$B26))+SUMPRODUCT(--('2026'!$A$5:$A$500=$U$1),--('2026'!$J$5:$J$500=$B26))</f>
        <v/>
      </c>
      <c r="W26" s="60">
        <f>SUMPRODUCT(--('2026'!$A$5:$A$500=$W$1),--('2026'!$C$5:$C$500=$B26))+SUMPRODUCT(--('2026'!$A$5:$A$500=$W$1),--('2026'!$F$5:$F$500=$B26))+SUMPRODUCT(--('2026'!$A$5:$A$500=$W$1),--('2026'!$D$5:$D$500=$B26))+SUMPRODUCT(--('2026'!$A$5:$A$500=$W$1),--('2026'!$G$5:$G$500=$B26))</f>
        <v/>
      </c>
      <c r="X26" s="60">
        <f>SUMPRODUCT(--('2026'!$A$5:$A$500=$W$1),--('2026'!$I$5:$I$500=$B26))+SUMPRODUCT(--('2026'!$A$5:$A$500=$W$1),--('2026'!$J$5:$J$500=$B26))</f>
        <v/>
      </c>
      <c r="Y26" s="50">
        <f>SUMPRODUCT(--('2026'!$A$5:$A$500=$Y$1),--('2026'!$C$5:$C$500=$B26))+SUMPRODUCT(--('2026'!$A$5:$A$500=$Y$1),--('2026'!$F$5:$F$500=$B26))+SUMPRODUCT(--('2026'!$A$5:$A$500=$Y$1),--('2026'!$D$5:$D$500=$B26))+SUMPRODUCT(--('2026'!$A$5:$A$500=$Y$1),--('2026'!$G$5:$G$500=$B26))</f>
        <v/>
      </c>
      <c r="Z26" s="50">
        <f>SUMPRODUCT(--('2026'!$A$5:$A$500=$Y$1),--('2026'!$I$5:$I$500=$B26))+SUMPRODUCT(--('2026'!$A$5:$A$500=$Y$1),--('2026'!$J$5:$J$500=$B26))</f>
        <v/>
      </c>
      <c r="AA26" s="50">
        <f>SUMPRODUCT(--('2026'!$A$5:$A$500=$AA$1),--('2026'!$C$5:$C$500=$B26))+SUMPRODUCT(--('2026'!$A$5:$A$500=$AA$1),--('2026'!$F$5:$F$500=$B26))+SUMPRODUCT(--('2026'!$A$5:$A$500=$AA$1),--('2026'!$D$5:$D$500=$B26))+SUMPRODUCT(--('2026'!$A$5:$A$500=$AA$1),--('2026'!$G$5:$G$500=$B26))</f>
        <v/>
      </c>
      <c r="AB26" s="50">
        <f>SUMPRODUCT(--('2026'!$A$5:$A$500=$AA$1),--('2026'!$I$5:$I$500=$B26))+SUMPRODUCT(--('2026'!$A$5:$A$500=$AA$1),--('2026'!$J$5:$J$500=$B26))</f>
        <v/>
      </c>
      <c r="AC26" s="50">
        <f>SUMPRODUCT(--('2026'!$A$5:$A$500=$AC$1),--('2026'!$C$5:$C$500=$B26))+SUMPRODUCT(--('2026'!$A$5:$A$500=$AC$1),--('2026'!$F$5:$F$500=$B26))+SUMPRODUCT(--('2026'!$A$5:$A$500=$AC$1),--('2026'!$D$5:$D$500=$B26))+SUMPRODUCT(--('2026'!$A$5:$A$500=$AC$1),--('2026'!$G$5:$G$500=$B26))</f>
        <v/>
      </c>
      <c r="AD26" s="50">
        <f>SUMPRODUCT(--('2026'!$A$5:$A$500=$AC$1),--('2026'!$I$5:$I$500=$B26))+SUMPRODUCT(--('2026'!$A$5:$A$500=$AC$1),--('2026'!$J$5:$J$500=$B26))</f>
        <v/>
      </c>
      <c r="AE26" s="60">
        <f>SUMPRODUCT(--('2026'!$A$5:$A$500=$AE$1),--('2026'!$C$5:$C$500=$B26))+SUMPRODUCT(--('2026'!$A$5:$A$500=$AE$1),--('2026'!$F$5:$F$500=$B26))+SUMPRODUCT(--('2026'!$A$5:$A$500=$AE$1),--('2026'!$D$5:$D$500=$B26))+SUMPRODUCT(--('2026'!$A$5:$A$500=$AE$1),--('2026'!$G$5:$G$500=$B26))</f>
        <v/>
      </c>
      <c r="AF26" s="60">
        <f>SUMPRODUCT(--('2026'!$A$5:$A$500=$AE$1),--('2026'!$I$5:$I$500=$B26))+SUMPRODUCT(--('2026'!$A$5:$A$500=$AE$1),--('2026'!$J$5:$J$500=$B26))</f>
        <v/>
      </c>
      <c r="AG26" s="50">
        <f>SUMPRODUCT(--('2026'!$A$5:$A$500=$AG$1),--('2026'!$C$5:$C$500=$B26))+SUMPRODUCT(--('2026'!$A$5:$A$500=$AG$1),--('2026'!$F$5:$F$500=$B26))+SUMPRODUCT(--('2026'!$A$5:$A$500=$AG$1),--('2026'!$D$5:$D$500=$B26))+SUMPRODUCT(--('2026'!$A$5:$A$500=$AG$1),--('2026'!$G$5:$G$500=$B26))</f>
        <v/>
      </c>
      <c r="AH26" s="50">
        <f>SUMPRODUCT(--('2026'!$A$5:$A$500=$AG$1),--('2026'!$I$5:$I$500=$B26))+SUMPRODUCT(--('2026'!$A$5:$A$500=$AG$1),--('2026'!$J$5:$J$500=$B26))</f>
        <v/>
      </c>
      <c r="AI26" s="50">
        <f>SUMPRODUCT(--('2026'!$A$5:$A$500=$AI$1),--('2026'!$C$5:$C$500=$B26))+SUMPRODUCT(--('2026'!$A$5:$A$500=$AI$1),--('2026'!$F$5:$F$500=$B26))+SUMPRODUCT(--('2026'!$A$5:$A$500=$AI$1),--('2026'!$D$5:$D$500=$B26))+SUMPRODUCT(--('2026'!$A$5:$A$500=$AI$1),--('2026'!$G$5:$G$500=$B26))</f>
        <v/>
      </c>
      <c r="AJ26" s="50">
        <f>SUMPRODUCT(--('2026'!$A$5:$A$500=$AI$1),--('2026'!$I$5:$I$500=$B26))+SUMPRODUCT(--('2026'!$A$5:$A$500=$AI$1),--('2026'!$J$5:$J$500=$B26))</f>
        <v/>
      </c>
      <c r="AK26" s="50">
        <f>SUMPRODUCT(--('2026'!$A$5:$A$500=$AK$1),--('2026'!$C$5:$C$500=$B26))+SUMPRODUCT(--('2026'!$A$5:$A$500=$AK$1),--('2026'!$F$5:$F$500=$B26))+SUMPRODUCT(--('2026'!$A$5:$A$500=$AK$1),--('2026'!$D$5:$D$500=$B26))+SUMPRODUCT(--('2026'!$A$5:$A$500=$AK$1),--('2026'!$G$5:$G$500=$B26))</f>
        <v/>
      </c>
      <c r="AL26" s="50">
        <f>SUMPRODUCT(--('2026'!$A$5:$A$500=$AK$1),--('2026'!$I$5:$I$500=$B26))+SUMPRODUCT(--('2026'!$A$5:$A$500=$AK$1),--('2026'!$J$5:$J$500=$B26))</f>
        <v/>
      </c>
      <c r="AM26" s="50">
        <f>SUMPRODUCT(--('2026'!$A$5:$A$500=$AM$1),--('2026'!$C$5:$C$500=$B26))+SUMPRODUCT(--('2026'!$A$5:$A$500=$AM$1),--('2026'!$F$5:$F$500=$B26))+SUMPRODUCT(--('2026'!$A$5:$A$500=$AM$1),--('2026'!$D$5:$D$500=$B26))+SUMPRODUCT(--('2026'!$A$5:$A$500=$AM$1),--('2026'!$G$5:$G$500=$B26))</f>
        <v/>
      </c>
      <c r="AN26" s="50">
        <f>SUMPRODUCT(--('2026'!$A$5:$A$500=$AM$1),--('2026'!$I$5:$I$500=$B26))+SUMPRODUCT(--('2026'!$A$5:$A$500=$AM$1),--('2026'!$J$5:$J$500=$B26))</f>
        <v/>
      </c>
      <c r="AO26" s="50">
        <f>SUMPRODUCT(--('2026'!$A$5:$A$500=$AO$1),--('2026'!$C$5:$C$500=$B26))+SUMPRODUCT(--('2026'!$A$5:$A$500=$AO$1),--('2026'!$F$5:$F$500=$B26))+SUMPRODUCT(--('2026'!$A$5:$A$500=$AO$1),--('2026'!$D$5:$D$500=$B26))+SUMPRODUCT(--('2026'!$A$5:$A$500=$AO$1),--('2026'!$G$5:$G$500=$B26))</f>
        <v/>
      </c>
      <c r="AP26" s="50">
        <f>SUMPRODUCT(--('2026'!$A$5:$A$500=$AO$1),--('2026'!$I$5:$I$500=$B26))+SUMPRODUCT(--('2026'!$A$5:$A$500=$AO$1),--('2026'!$J$5:$J$500=$B26))</f>
        <v/>
      </c>
      <c r="AQ26" s="50">
        <f>SUMPRODUCT(--('2026'!$A$5:$A$500=$AQ$1),--('2026'!$C$5:$C$500=$B26))+SUMPRODUCT(--('2026'!$A$5:$A$500=$AQ$1),--('2026'!$F$5:$F$500=$B26))+SUMPRODUCT(--('2026'!$A$5:$A$500=$AQ$1),--('2026'!$D$5:$D$500=$B26))+SUMPRODUCT(--('2026'!$A$5:$A$500=$AQ$1),--('2026'!$G$5:$G$500=$B26))</f>
        <v/>
      </c>
      <c r="AR26" s="50">
        <f>SUMPRODUCT(--('2026'!$A$5:$A$500=$AQ$1),--('2026'!$I$5:$I$500=$B26))+SUMPRODUCT(--('2026'!$A$5:$A$500=$AQ$1),--('2026'!$J$5:$J$500=$B26))</f>
        <v/>
      </c>
      <c r="AS26" s="50">
        <f>SUMPRODUCT(--('2026'!$A$5:$A$500=$AS$1),--('2026'!$C$5:$C$500=$B26))+SUMPRODUCT(--('2026'!$A$5:$A$500=$AS$1),--('2026'!$F$5:$F$500=$B26))+SUMPRODUCT(--('2026'!$A$5:$A$500=$AS$1),--('2026'!$D$5:$D$500=$B26))+SUMPRODUCT(--('2026'!$A$5:$A$500=$AS$1),--('2026'!$G$5:$G$500=$B26))</f>
        <v/>
      </c>
      <c r="AT26" s="50">
        <f>SUMPRODUCT(--('2026'!$A$5:$A$500=$AS$1),--('2026'!$I$5:$I$500=$B26))+SUMPRODUCT(--('2026'!$A$5:$A$500=$AS$1),--('2026'!$J$5:$J$500=$B26))</f>
        <v/>
      </c>
      <c r="AU26" s="50">
        <f>SUMPRODUCT(--('2026'!$A$5:$A$500=$AU$1),--('2026'!$C$5:$C$500=$B26))+SUMPRODUCT(--('2026'!$A$5:$A$500=$AU$1),--('2026'!$F$5:$F$500=$B26))+SUMPRODUCT(--('2026'!$A$5:$A$500=$AU$1),--('2026'!$D$5:$D$500=$B26))+SUMPRODUCT(--('2026'!$A$5:$A$500=$AU$1),--('2026'!$G$5:$G$500=$B26))</f>
        <v/>
      </c>
      <c r="AV26" s="50">
        <f>SUMPRODUCT(--('2026'!$A$5:$A$500=$AU$1),--('2026'!$I$5:$I$500=$B26))+SUMPRODUCT(--('2026'!$A$5:$A$500=$AU$1),--('2026'!$J$5:$J$500=$B26))</f>
        <v/>
      </c>
      <c r="AW26" s="50">
        <f>SUMPRODUCT(--('2026'!$A$5:$A$500=$AW$1),--('2026'!$C$5:$C$500=$B26))+SUMPRODUCT(--('2026'!$A$5:$A$500=$AW$1),--('2026'!$F$5:$F$500=$B26))+SUMPRODUCT(--('2026'!$A$5:$A$500=$AW$1),--('2026'!$D$5:$D$500=$B26))+SUMPRODUCT(--('2026'!$A$5:$A$500=$AW$1),--('2026'!$G$5:$G$500=$B26))</f>
        <v/>
      </c>
      <c r="AX26" s="50">
        <f>SUMPRODUCT(--('2026'!$A$5:$A$500=$AW$1),--('2026'!$I$5:$I$500=$B26))+SUMPRODUCT(--('2026'!$A$5:$A$500=$AW$1),--('2026'!$J$5:$J$500=$B26))</f>
        <v/>
      </c>
      <c r="BA26" s="54" t="inlineStr">
        <is>
          <t>Faiyaz</t>
        </is>
      </c>
      <c r="BB26" s="47">
        <f>IF(ISODD(COUNTIF(C26:AX26,"&gt;0")),COUNTIF(C26:AX26,"&gt;0")+1,COUNTIF(C26:AX26,"&gt;0"))/2</f>
        <v/>
      </c>
      <c r="BC26" s="52">
        <f>BB26/15</f>
        <v/>
      </c>
    </row>
    <row r="27" ht="15" customHeight="1" s="106">
      <c r="A27" t="n">
        <v>25</v>
      </c>
      <c r="B27" s="54" t="inlineStr">
        <is>
          <t>Deepesh</t>
        </is>
      </c>
      <c r="C27" s="50">
        <f>SUMPRODUCT(--('2026'!$A$5:$A$500=$C$1),--('2026'!$C$5:$C$500=$B27))+SUMPRODUCT(--('2026'!$A$5:$A$500=$C$1),--('2026'!$F$5:$F$500=$B27))+SUMPRODUCT(--('2026'!$A$5:$A$500=$C$1),--('2026'!$D$5:$D$500=$B27))+SUMPRODUCT(--('2026'!$A$5:$A$500=$C$1),--('2026'!$G$5:$G$500=$B27))</f>
        <v/>
      </c>
      <c r="D27" s="50">
        <f>SUMPRODUCT(--('2026'!$A$5:$A$500=$C$1),--('2026'!$I$5:$I$500=$B27))+SUMPRODUCT(--('2026'!$A$5:$A$500=$C$1),--('2026'!$J$5:$J$500=$B27))</f>
        <v/>
      </c>
      <c r="E27" s="50">
        <f>SUMPRODUCT(--('2026'!$A$5:$A$500=$E$1),--('2026'!$C$5:$C$500=$B27))+SUMPRODUCT(--('2026'!$A$5:$A$500=$E$1),--('2026'!$F$5:$F$500=$B27))+SUMPRODUCT(--('2026'!$A$5:$A$500=$E$1),--('2026'!$D$5:$D$500=$B27))+SUMPRODUCT(--('2026'!$A$5:$A$500=$E$1),--('2026'!$G$5:$G$500=$B27))</f>
        <v/>
      </c>
      <c r="F27" s="50">
        <f>SUMPRODUCT(--('2026'!$A$5:$A$500=$E$1),--('2026'!$I$5:$I$500=$B27))+SUMPRODUCT(--('2026'!$A$5:$A$500=$E$1),--('2026'!$J$5:$J$500=$B27))</f>
        <v/>
      </c>
      <c r="G27" s="50">
        <f>SUMPRODUCT(--('2026'!$A$5:$A$500=$G$1),--('2026'!$C$5:$C$500=$B27))+SUMPRODUCT(--('2026'!$A$5:$A$500=$G$1),--('2026'!$F$5:$F$500=$B27))+SUMPRODUCT(--('2026'!$A$5:$A$500=$G$1),--('2026'!$D$5:$D$500=$B27))+SUMPRODUCT(--('2026'!$A$5:$A$500=$G$1),--('2026'!$G$5:$G$500=$B27))</f>
        <v/>
      </c>
      <c r="H27" s="50">
        <f>SUMPRODUCT(--('2026'!$A$5:$A$500=$G$1),--('2026'!$I$5:$I$500=$B27))+SUMPRODUCT(--('2026'!$A$5:$A$500=$G$1),--('2026'!$J$5:$J$500=$B27))</f>
        <v/>
      </c>
      <c r="I27" s="50">
        <f>SUMPRODUCT(--('2026'!$A$5:$A$500=$I$1),--('2026'!$C$5:$C$500=$B27))+SUMPRODUCT(--('2026'!$A$5:$A$500=$I$1),--('2026'!$F$5:$F$500=$B27))+SUMPRODUCT(--('2026'!$A$5:$A$500=$I$1),--('2026'!$D$5:$D$500=$B27))+SUMPRODUCT(--('2026'!$A$5:$A$500=$I$1),--('2026'!$G$5:$G$500=$B27))</f>
        <v/>
      </c>
      <c r="J27" s="50">
        <f>SUMPRODUCT(--('2026'!$A$5:$A$500=$I$1),--('2026'!$I$5:$I$500=$B27))+SUMPRODUCT(--('2026'!$A$5:$A$500=$I$1),--('2026'!$J$5:$J$500=$B27))</f>
        <v/>
      </c>
      <c r="K27" s="50">
        <f>SUMPRODUCT(--('2026'!$A$5:$A$500=$K$1),--('2026'!$C$5:$C$500=$B27))+SUMPRODUCT(--('2026'!$A$5:$A$500=$K$1),--('2026'!$F$5:$F$500=$B27))+SUMPRODUCT(--('2026'!$A$5:$A$500=$K$1),--('2026'!$D$5:$D$500=$B27))+SUMPRODUCT(--('2026'!$A$5:$A$500=$K$1),--('2026'!$G$5:$G$500=$B27))</f>
        <v/>
      </c>
      <c r="L27" s="50">
        <f>SUMPRODUCT(--('2026'!$A$5:$A$500=$K$1),--('2026'!$I$5:$I$500=$B27))+SUMPRODUCT(--('2026'!$A$5:$A$500=$K$1),--('2026'!$J$5:$J$500=$B27))</f>
        <v/>
      </c>
      <c r="M27" s="50">
        <f>SUMPRODUCT(--('2026'!$A$5:$A$500=$M$1),--('2026'!$C$5:$C$500=$B27))+SUMPRODUCT(--('2026'!$A$5:$A$500=$M$1),--('2026'!$F$5:$F$500=$B27))+SUMPRODUCT(--('2026'!$A$5:$A$500=$M$1),--('2026'!$D$5:$D$500=$B27))+SUMPRODUCT(--('2026'!$A$5:$A$500=$M$1),--('2026'!$G$5:$G$500=$B27))</f>
        <v/>
      </c>
      <c r="N27" s="50">
        <f>SUMPRODUCT(--('2026'!$A$5:$A$500=$M$1),--('2026'!$I$5:$I$500=$B27))+SUMPRODUCT(--('2026'!$A$5:$A$500=$M$1),--('2026'!$J$5:$J$500=$B27))</f>
        <v/>
      </c>
      <c r="O27" s="50">
        <f>SUMPRODUCT(--('2026'!$A$5:$A$500=$O$1),--('2026'!$C$5:$C$500=$B27))+SUMPRODUCT(--('2026'!$A$5:$A$500=$O$1),--('2026'!$F$5:$F$500=$B27))+SUMPRODUCT(--('2026'!$A$5:$A$500=$O$1),--('2026'!$D$5:$D$500=$B27))+SUMPRODUCT(--('2026'!$A$5:$A$500=$O$1),--('2026'!$G$5:$G$500=$B27))</f>
        <v/>
      </c>
      <c r="P27" s="50">
        <f>SUMPRODUCT(--('2026'!$A$5:$A$500=$O$1),--('2026'!$I$5:$I$500=$B27))+SUMPRODUCT(--('2026'!$A$5:$A$500=$O$1),--('2026'!$J$5:$J$500=$B27))</f>
        <v/>
      </c>
      <c r="Q27" s="50">
        <f>SUMPRODUCT(--('2026'!$A$5:$A$500=$Q$1),--('2026'!$C$5:$C$500=$B27))+SUMPRODUCT(--('2026'!$A$5:$A$500=$Q$1),--('2026'!$F$5:$F$500=$B27))+SUMPRODUCT(--('2026'!$A$5:$A$500=$Q$1),--('2026'!$D$5:$D$500=$B27))+SUMPRODUCT(--('2026'!$A$5:$A$500=$Q$1),--('2026'!$G$5:$G$500=$B27))</f>
        <v/>
      </c>
      <c r="R27" s="50">
        <f>SUMPRODUCT(--('2026'!$A$5:$A$500=$Q$1),--('2026'!$I$5:$I$500=$B27))+SUMPRODUCT(--('2026'!$A$5:$A$500=$Q$1),--('2026'!$J$5:$J$500=$B27))</f>
        <v/>
      </c>
      <c r="S27" s="50">
        <f>SUMPRODUCT(--('2026'!$A$5:$A$500=$S$1),--('2026'!$C$5:$C$500=$B27))+SUMPRODUCT(--('2026'!$A$5:$A$500=$S$1),--('2026'!$F$5:$F$500=$B27))+SUMPRODUCT(--('2026'!$A$5:$A$500=$S$1),--('2026'!$D$5:$D$500=$B27))+SUMPRODUCT(--('2026'!$A$5:$A$500=$S$1),--('2026'!$G$5:$G$500=$B27))</f>
        <v/>
      </c>
      <c r="T27" s="50">
        <f>SUMPRODUCT(--('2026'!$A$5:$A$500=$S$1),--('2026'!$I$5:$I$500=$B27))+SUMPRODUCT(--('2026'!$A$5:$A$500=$S$1),--('2026'!$J$5:$J$500=$B27))</f>
        <v/>
      </c>
      <c r="U27" s="50">
        <f>SUMPRODUCT(--('2026'!$A$5:$A$500=$U$1),--('2026'!$C$5:$C$500=$B27))+SUMPRODUCT(--('2026'!$A$5:$A$500=$U$1),--('2026'!$F$5:$F$500=$B27))+SUMPRODUCT(--('2026'!$A$5:$A$500=$U$1),--('2026'!$D$5:$D$500=$B27))+SUMPRODUCT(--('2026'!$A$5:$A$500=$U$1),--('2026'!$G$5:$G$500=$B27))</f>
        <v/>
      </c>
      <c r="V27" s="50">
        <f>SUMPRODUCT(--('2026'!$A$5:$A$500=$U$1),--('2026'!$I$5:$I$500=$B27))+SUMPRODUCT(--('2026'!$A$5:$A$500=$U$1),--('2026'!$J$5:$J$500=$B27))</f>
        <v/>
      </c>
      <c r="W27" s="60">
        <f>SUMPRODUCT(--('2026'!$A$5:$A$500=$W$1),--('2026'!$C$5:$C$500=$B27))+SUMPRODUCT(--('2026'!$A$5:$A$500=$W$1),--('2026'!$F$5:$F$500=$B27))+SUMPRODUCT(--('2026'!$A$5:$A$500=$W$1),--('2026'!$D$5:$D$500=$B27))+SUMPRODUCT(--('2026'!$A$5:$A$500=$W$1),--('2026'!$G$5:$G$500=$B27))</f>
        <v/>
      </c>
      <c r="X27" s="60">
        <f>SUMPRODUCT(--('2026'!$A$5:$A$500=$W$1),--('2026'!$I$5:$I$500=$B27))+SUMPRODUCT(--('2026'!$A$5:$A$500=$W$1),--('2026'!$J$5:$J$500=$B27))</f>
        <v/>
      </c>
      <c r="Y27" s="50">
        <f>SUMPRODUCT(--('2026'!$A$5:$A$500=$Y$1),--('2026'!$C$5:$C$500=$B27))+SUMPRODUCT(--('2026'!$A$5:$A$500=$Y$1),--('2026'!$F$5:$F$500=$B27))+SUMPRODUCT(--('2026'!$A$5:$A$500=$Y$1),--('2026'!$D$5:$D$500=$B27))+SUMPRODUCT(--('2026'!$A$5:$A$500=$Y$1),--('2026'!$G$5:$G$500=$B27))</f>
        <v/>
      </c>
      <c r="Z27" s="50">
        <f>SUMPRODUCT(--('2026'!$A$5:$A$500=$Y$1),--('2026'!$I$5:$I$500=$B27))+SUMPRODUCT(--('2026'!$A$5:$A$500=$Y$1),--('2026'!$J$5:$J$500=$B27))</f>
        <v/>
      </c>
      <c r="AA27" s="50">
        <f>SUMPRODUCT(--('2026'!$A$5:$A$500=$AA$1),--('2026'!$C$5:$C$500=$B27))+SUMPRODUCT(--('2026'!$A$5:$A$500=$AA$1),--('2026'!$F$5:$F$500=$B27))+SUMPRODUCT(--('2026'!$A$5:$A$500=$AA$1),--('2026'!$D$5:$D$500=$B27))+SUMPRODUCT(--('2026'!$A$5:$A$500=$AA$1),--('2026'!$G$5:$G$500=$B27))</f>
        <v/>
      </c>
      <c r="AB27" s="50">
        <f>SUMPRODUCT(--('2026'!$A$5:$A$500=$AA$1),--('2026'!$I$5:$I$500=$B27))+SUMPRODUCT(--('2026'!$A$5:$A$500=$AA$1),--('2026'!$J$5:$J$500=$B27))</f>
        <v/>
      </c>
      <c r="AC27" s="50">
        <f>SUMPRODUCT(--('2026'!$A$5:$A$500=$AC$1),--('2026'!$C$5:$C$500=$B27))+SUMPRODUCT(--('2026'!$A$5:$A$500=$AC$1),--('2026'!$F$5:$F$500=$B27))+SUMPRODUCT(--('2026'!$A$5:$A$500=$AC$1),--('2026'!$D$5:$D$500=$B27))+SUMPRODUCT(--('2026'!$A$5:$A$500=$AC$1),--('2026'!$G$5:$G$500=$B27))</f>
        <v/>
      </c>
      <c r="AD27" s="50">
        <f>SUMPRODUCT(--('2026'!$A$5:$A$500=$AC$1),--('2026'!$I$5:$I$500=$B27))+SUMPRODUCT(--('2026'!$A$5:$A$500=$AC$1),--('2026'!$J$5:$J$500=$B27))</f>
        <v/>
      </c>
      <c r="AE27" s="60">
        <f>SUMPRODUCT(--('2026'!$A$5:$A$500=$AE$1),--('2026'!$C$5:$C$500=$B27))+SUMPRODUCT(--('2026'!$A$5:$A$500=$AE$1),--('2026'!$F$5:$F$500=$B27))+SUMPRODUCT(--('2026'!$A$5:$A$500=$AE$1),--('2026'!$D$5:$D$500=$B27))+SUMPRODUCT(--('2026'!$A$5:$A$500=$AE$1),--('2026'!$G$5:$G$500=$B27))</f>
        <v/>
      </c>
      <c r="AF27" s="60">
        <f>SUMPRODUCT(--('2026'!$A$5:$A$500=$AE$1),--('2026'!$I$5:$I$500=$B27))+SUMPRODUCT(--('2026'!$A$5:$A$500=$AE$1),--('2026'!$J$5:$J$500=$B27))</f>
        <v/>
      </c>
      <c r="AG27" s="50">
        <f>SUMPRODUCT(--('2026'!$A$5:$A$500=$AG$1),--('2026'!$C$5:$C$500=$B27))+SUMPRODUCT(--('2026'!$A$5:$A$500=$AG$1),--('2026'!$F$5:$F$500=$B27))+SUMPRODUCT(--('2026'!$A$5:$A$500=$AG$1),--('2026'!$D$5:$D$500=$B27))+SUMPRODUCT(--('2026'!$A$5:$A$500=$AG$1),--('2026'!$G$5:$G$500=$B27))</f>
        <v/>
      </c>
      <c r="AH27" s="50">
        <f>SUMPRODUCT(--('2026'!$A$5:$A$500=$AG$1),--('2026'!$I$5:$I$500=$B27))+SUMPRODUCT(--('2026'!$A$5:$A$500=$AG$1),--('2026'!$J$5:$J$500=$B27))</f>
        <v/>
      </c>
      <c r="AI27" s="50">
        <f>SUMPRODUCT(--('2026'!$A$5:$A$500=$AI$1),--('2026'!$C$5:$C$500=$B27))+SUMPRODUCT(--('2026'!$A$5:$A$500=$AI$1),--('2026'!$F$5:$F$500=$B27))+SUMPRODUCT(--('2026'!$A$5:$A$500=$AI$1),--('2026'!$D$5:$D$500=$B27))+SUMPRODUCT(--('2026'!$A$5:$A$500=$AI$1),--('2026'!$G$5:$G$500=$B27))</f>
        <v/>
      </c>
      <c r="AJ27" s="50">
        <f>SUMPRODUCT(--('2026'!$A$5:$A$500=$AI$1),--('2026'!$I$5:$I$500=$B27))+SUMPRODUCT(--('2026'!$A$5:$A$500=$AI$1),--('2026'!$J$5:$J$500=$B27))</f>
        <v/>
      </c>
      <c r="AK27" s="50">
        <f>SUMPRODUCT(--('2026'!$A$5:$A$500=$AK$1),--('2026'!$C$5:$C$500=$B27))+SUMPRODUCT(--('2026'!$A$5:$A$500=$AK$1),--('2026'!$F$5:$F$500=$B27))+SUMPRODUCT(--('2026'!$A$5:$A$500=$AK$1),--('2026'!$D$5:$D$500=$B27))+SUMPRODUCT(--('2026'!$A$5:$A$500=$AK$1),--('2026'!$G$5:$G$500=$B27))</f>
        <v/>
      </c>
      <c r="AL27" s="50">
        <f>SUMPRODUCT(--('2026'!$A$5:$A$500=$AK$1),--('2026'!$I$5:$I$500=$B27))+SUMPRODUCT(--('2026'!$A$5:$A$500=$AK$1),--('2026'!$J$5:$J$500=$B27))</f>
        <v/>
      </c>
      <c r="AM27" s="50">
        <f>SUMPRODUCT(--('2026'!$A$5:$A$500=$AM$1),--('2026'!$C$5:$C$500=$B27))+SUMPRODUCT(--('2026'!$A$5:$A$500=$AM$1),--('2026'!$F$5:$F$500=$B27))+SUMPRODUCT(--('2026'!$A$5:$A$500=$AM$1),--('2026'!$D$5:$D$500=$B27))+SUMPRODUCT(--('2026'!$A$5:$A$500=$AM$1),--('2026'!$G$5:$G$500=$B27))</f>
        <v/>
      </c>
      <c r="AN27" s="50">
        <f>SUMPRODUCT(--('2026'!$A$5:$A$500=$AM$1),--('2026'!$I$5:$I$500=$B27))+SUMPRODUCT(--('2026'!$A$5:$A$500=$AM$1),--('2026'!$J$5:$J$500=$B27))</f>
        <v/>
      </c>
      <c r="AO27" s="50">
        <f>SUMPRODUCT(--('2026'!$A$5:$A$500=$AO$1),--('2026'!$C$5:$C$500=$B27))+SUMPRODUCT(--('2026'!$A$5:$A$500=$AO$1),--('2026'!$F$5:$F$500=$B27))+SUMPRODUCT(--('2026'!$A$5:$A$500=$AO$1),--('2026'!$D$5:$D$500=$B27))+SUMPRODUCT(--('2026'!$A$5:$A$500=$AO$1),--('2026'!$G$5:$G$500=$B27))</f>
        <v/>
      </c>
      <c r="AP27" s="50">
        <f>SUMPRODUCT(--('2026'!$A$5:$A$500=$AO$1),--('2026'!$I$5:$I$500=$B27))+SUMPRODUCT(--('2026'!$A$5:$A$500=$AO$1),--('2026'!$J$5:$J$500=$B27))</f>
        <v/>
      </c>
      <c r="AQ27" s="50">
        <f>SUMPRODUCT(--('2026'!$A$5:$A$500=$AQ$1),--('2026'!$C$5:$C$500=$B27))+SUMPRODUCT(--('2026'!$A$5:$A$500=$AQ$1),--('2026'!$F$5:$F$500=$B27))+SUMPRODUCT(--('2026'!$A$5:$A$500=$AQ$1),--('2026'!$D$5:$D$500=$B27))+SUMPRODUCT(--('2026'!$A$5:$A$500=$AQ$1),--('2026'!$G$5:$G$500=$B27))</f>
        <v/>
      </c>
      <c r="AR27" s="50">
        <f>SUMPRODUCT(--('2026'!$A$5:$A$500=$AQ$1),--('2026'!$I$5:$I$500=$B27))+SUMPRODUCT(--('2026'!$A$5:$A$500=$AQ$1),--('2026'!$J$5:$J$500=$B27))</f>
        <v/>
      </c>
      <c r="AS27" s="50">
        <f>SUMPRODUCT(--('2026'!$A$5:$A$500=$AS$1),--('2026'!$C$5:$C$500=$B27))+SUMPRODUCT(--('2026'!$A$5:$A$500=$AS$1),--('2026'!$F$5:$F$500=$B27))+SUMPRODUCT(--('2026'!$A$5:$A$500=$AS$1),--('2026'!$D$5:$D$500=$B27))+SUMPRODUCT(--('2026'!$A$5:$A$500=$AS$1),--('2026'!$G$5:$G$500=$B27))</f>
        <v/>
      </c>
      <c r="AT27" s="50">
        <f>SUMPRODUCT(--('2026'!$A$5:$A$500=$AS$1),--('2026'!$I$5:$I$500=$B27))+SUMPRODUCT(--('2026'!$A$5:$A$500=$AS$1),--('2026'!$J$5:$J$500=$B27))</f>
        <v/>
      </c>
      <c r="AU27" s="50">
        <f>SUMPRODUCT(--('2026'!$A$5:$A$500=$AU$1),--('2026'!$C$5:$C$500=$B27))+SUMPRODUCT(--('2026'!$A$5:$A$500=$AU$1),--('2026'!$F$5:$F$500=$B27))+SUMPRODUCT(--('2026'!$A$5:$A$500=$AU$1),--('2026'!$D$5:$D$500=$B27))+SUMPRODUCT(--('2026'!$A$5:$A$500=$AU$1),--('2026'!$G$5:$G$500=$B27))</f>
        <v/>
      </c>
      <c r="AV27" s="50">
        <f>SUMPRODUCT(--('2026'!$A$5:$A$500=$AU$1),--('2026'!$I$5:$I$500=$B27))+SUMPRODUCT(--('2026'!$A$5:$A$500=$AU$1),--('2026'!$J$5:$J$500=$B27))</f>
        <v/>
      </c>
      <c r="AW27" s="50">
        <f>SUMPRODUCT(--('2026'!$A$5:$A$500=$AW$1),--('2026'!$C$5:$C$500=$B27))+SUMPRODUCT(--('2026'!$A$5:$A$500=$AW$1),--('2026'!$F$5:$F$500=$B27))+SUMPRODUCT(--('2026'!$A$5:$A$500=$AW$1),--('2026'!$D$5:$D$500=$B27))+SUMPRODUCT(--('2026'!$A$5:$A$500=$AW$1),--('2026'!$G$5:$G$500=$B27))</f>
        <v/>
      </c>
      <c r="AX27" s="50">
        <f>SUMPRODUCT(--('2026'!$A$5:$A$500=$AW$1),--('2026'!$I$5:$I$500=$B27))+SUMPRODUCT(--('2026'!$A$5:$A$500=$AW$1),--('2026'!$J$5:$J$500=$B27))</f>
        <v/>
      </c>
      <c r="BA27" s="54" t="inlineStr">
        <is>
          <t>Deepesh</t>
        </is>
      </c>
      <c r="BB27" s="47">
        <f>IF(ISODD(COUNTIF(C27:AX27,"&gt;0")),COUNTIF(C27:AX27,"&gt;0")+1,COUNTIF(C27:AX27,"&gt;0"))/2</f>
        <v/>
      </c>
      <c r="BC27" s="52">
        <f>BB27/15</f>
        <v/>
      </c>
    </row>
    <row r="28" ht="15" customHeight="1" s="106">
      <c r="A28" t="n">
        <v>26</v>
      </c>
      <c r="B28" s="54" t="inlineStr">
        <is>
          <t>Jalal</t>
        </is>
      </c>
      <c r="C28" s="50">
        <f>SUMPRODUCT(--('2026'!$A$5:$A$500=$C$1),--('2026'!$C$5:$C$500=$B28))+SUMPRODUCT(--('2026'!$A$5:$A$500=$C$1),--('2026'!$F$5:$F$500=$B28))+SUMPRODUCT(--('2026'!$A$5:$A$500=$C$1),--('2026'!$D$5:$D$500=$B28))+SUMPRODUCT(--('2026'!$A$5:$A$500=$C$1),--('2026'!$G$5:$G$500=$B28))</f>
        <v/>
      </c>
      <c r="D28" s="50">
        <f>SUMPRODUCT(--('2026'!$A$5:$A$500=$C$1),--('2026'!$I$5:$I$500=$B28))+SUMPRODUCT(--('2026'!$A$5:$A$500=$C$1),--('2026'!$J$5:$J$500=$B28))</f>
        <v/>
      </c>
      <c r="E28" s="50">
        <f>SUMPRODUCT(--('2026'!$A$5:$A$500=$E$1),--('2026'!$C$5:$C$500=$B28))+SUMPRODUCT(--('2026'!$A$5:$A$500=$E$1),--('2026'!$F$5:$F$500=$B28))+SUMPRODUCT(--('2026'!$A$5:$A$500=$E$1),--('2026'!$D$5:$D$500=$B28))+SUMPRODUCT(--('2026'!$A$5:$A$500=$E$1),--('2026'!$G$5:$G$500=$B28))</f>
        <v/>
      </c>
      <c r="F28" s="50">
        <f>SUMPRODUCT(--('2026'!$A$5:$A$500=$E$1),--('2026'!$I$5:$I$500=$B28))+SUMPRODUCT(--('2026'!$A$5:$A$500=$E$1),--('2026'!$J$5:$J$500=$B28))</f>
        <v/>
      </c>
      <c r="G28" s="50">
        <f>SUMPRODUCT(--('2026'!$A$5:$A$500=$G$1),--('2026'!$C$5:$C$500=$B28))+SUMPRODUCT(--('2026'!$A$5:$A$500=$G$1),--('2026'!$F$5:$F$500=$B28))+SUMPRODUCT(--('2026'!$A$5:$A$500=$G$1),--('2026'!$D$5:$D$500=$B28))+SUMPRODUCT(--('2026'!$A$5:$A$500=$G$1),--('2026'!$G$5:$G$500=$B28))</f>
        <v/>
      </c>
      <c r="H28" s="50">
        <f>SUMPRODUCT(--('2026'!$A$5:$A$500=$G$1),--('2026'!$I$5:$I$500=$B28))+SUMPRODUCT(--('2026'!$A$5:$A$500=$G$1),--('2026'!$J$5:$J$500=$B28))</f>
        <v/>
      </c>
      <c r="I28" s="50">
        <f>SUMPRODUCT(--('2026'!$A$5:$A$500=$I$1),--('2026'!$C$5:$C$500=$B28))+SUMPRODUCT(--('2026'!$A$5:$A$500=$I$1),--('2026'!$F$5:$F$500=$B28))+SUMPRODUCT(--('2026'!$A$5:$A$500=$I$1),--('2026'!$D$5:$D$500=$B28))+SUMPRODUCT(--('2026'!$A$5:$A$500=$I$1),--('2026'!$G$5:$G$500=$B28))</f>
        <v/>
      </c>
      <c r="J28" s="50">
        <f>SUMPRODUCT(--('2026'!$A$5:$A$500=$I$1),--('2026'!$I$5:$I$500=$B28))+SUMPRODUCT(--('2026'!$A$5:$A$500=$I$1),--('2026'!$J$5:$J$500=$B28))</f>
        <v/>
      </c>
      <c r="K28" s="50">
        <f>SUMPRODUCT(--('2026'!$A$5:$A$500=$K$1),--('2026'!$C$5:$C$500=$B28))+SUMPRODUCT(--('2026'!$A$5:$A$500=$K$1),--('2026'!$F$5:$F$500=$B28))+SUMPRODUCT(--('2026'!$A$5:$A$500=$K$1),--('2026'!$D$5:$D$500=$B28))+SUMPRODUCT(--('2026'!$A$5:$A$500=$K$1),--('2026'!$G$5:$G$500=$B28))</f>
        <v/>
      </c>
      <c r="L28" s="50">
        <f>SUMPRODUCT(--('2026'!$A$5:$A$500=$K$1),--('2026'!$I$5:$I$500=$B28))+SUMPRODUCT(--('2026'!$A$5:$A$500=$K$1),--('2026'!$J$5:$J$500=$B28))</f>
        <v/>
      </c>
      <c r="M28" s="50">
        <f>SUMPRODUCT(--('2026'!$A$5:$A$500=$M$1),--('2026'!$C$5:$C$500=$B28))+SUMPRODUCT(--('2026'!$A$5:$A$500=$M$1),--('2026'!$F$5:$F$500=$B28))+SUMPRODUCT(--('2026'!$A$5:$A$500=$M$1),--('2026'!$D$5:$D$500=$B28))+SUMPRODUCT(--('2026'!$A$5:$A$500=$M$1),--('2026'!$G$5:$G$500=$B28))</f>
        <v/>
      </c>
      <c r="N28" s="50">
        <f>SUMPRODUCT(--('2026'!$A$5:$A$500=$M$1),--('2026'!$I$5:$I$500=$B28))+SUMPRODUCT(--('2026'!$A$5:$A$500=$M$1),--('2026'!$J$5:$J$500=$B28))</f>
        <v/>
      </c>
      <c r="O28" s="50">
        <f>SUMPRODUCT(--('2026'!$A$5:$A$500=$O$1),--('2026'!$C$5:$C$500=$B28))+SUMPRODUCT(--('2026'!$A$5:$A$500=$O$1),--('2026'!$F$5:$F$500=$B28))+SUMPRODUCT(--('2026'!$A$5:$A$500=$O$1),--('2026'!$D$5:$D$500=$B28))+SUMPRODUCT(--('2026'!$A$5:$A$500=$O$1),--('2026'!$G$5:$G$500=$B28))</f>
        <v/>
      </c>
      <c r="P28" s="50">
        <f>SUMPRODUCT(--('2026'!$A$5:$A$500=$O$1),--('2026'!$I$5:$I$500=$B28))+SUMPRODUCT(--('2026'!$A$5:$A$500=$O$1),--('2026'!$J$5:$J$500=$B28))</f>
        <v/>
      </c>
      <c r="Q28" s="50">
        <f>SUMPRODUCT(--('2026'!$A$5:$A$500=$Q$1),--('2026'!$C$5:$C$500=$B28))+SUMPRODUCT(--('2026'!$A$5:$A$500=$Q$1),--('2026'!$F$5:$F$500=$B28))+SUMPRODUCT(--('2026'!$A$5:$A$500=$Q$1),--('2026'!$D$5:$D$500=$B28))+SUMPRODUCT(--('2026'!$A$5:$A$500=$Q$1),--('2026'!$G$5:$G$500=$B28))</f>
        <v/>
      </c>
      <c r="R28" s="50">
        <f>SUMPRODUCT(--('2026'!$A$5:$A$500=$Q$1),--('2026'!$I$5:$I$500=$B28))+SUMPRODUCT(--('2026'!$A$5:$A$500=$Q$1),--('2026'!$J$5:$J$500=$B28))</f>
        <v/>
      </c>
      <c r="S28" s="50">
        <f>SUMPRODUCT(--('2026'!$A$5:$A$500=$S$1),--('2026'!$C$5:$C$500=$B28))+SUMPRODUCT(--('2026'!$A$5:$A$500=$S$1),--('2026'!$F$5:$F$500=$B28))+SUMPRODUCT(--('2026'!$A$5:$A$500=$S$1),--('2026'!$D$5:$D$500=$B28))+SUMPRODUCT(--('2026'!$A$5:$A$500=$S$1),--('2026'!$G$5:$G$500=$B28))</f>
        <v/>
      </c>
      <c r="T28" s="50">
        <f>SUMPRODUCT(--('2026'!$A$5:$A$500=$S$1),--('2026'!$I$5:$I$500=$B28))+SUMPRODUCT(--('2026'!$A$5:$A$500=$S$1),--('2026'!$J$5:$J$500=$B28))</f>
        <v/>
      </c>
      <c r="U28" s="50">
        <f>SUMPRODUCT(--('2026'!$A$5:$A$500=$U$1),--('2026'!$C$5:$C$500=$B28))+SUMPRODUCT(--('2026'!$A$5:$A$500=$U$1),--('2026'!$F$5:$F$500=$B28))+SUMPRODUCT(--('2026'!$A$5:$A$500=$U$1),--('2026'!$D$5:$D$500=$B28))+SUMPRODUCT(--('2026'!$A$5:$A$500=$U$1),--('2026'!$G$5:$G$500=$B28))</f>
        <v/>
      </c>
      <c r="V28" s="50">
        <f>SUMPRODUCT(--('2026'!$A$5:$A$500=$U$1),--('2026'!$I$5:$I$500=$B28))+SUMPRODUCT(--('2026'!$A$5:$A$500=$U$1),--('2026'!$J$5:$J$500=$B28))</f>
        <v/>
      </c>
      <c r="W28" s="50">
        <f>SUMPRODUCT(--('2026'!$A$5:$A$500=$W$1),--('2026'!$C$5:$C$500=$B28))+SUMPRODUCT(--('2026'!$A$5:$A$500=$W$1),--('2026'!$F$5:$F$500=$B28))+SUMPRODUCT(--('2026'!$A$5:$A$500=$W$1),--('2026'!$D$5:$D$500=$B28))+SUMPRODUCT(--('2026'!$A$5:$A$500=$W$1),--('2026'!$G$5:$G$500=$B28))</f>
        <v/>
      </c>
      <c r="X28" s="50">
        <f>SUMPRODUCT(--('2026'!$A$5:$A$500=$W$1),--('2026'!$I$5:$I$500=$B28))+SUMPRODUCT(--('2026'!$A$5:$A$500=$W$1),--('2026'!$J$5:$J$500=$B28))</f>
        <v/>
      </c>
      <c r="Y28" s="51">
        <f>SUMPRODUCT(--('2026'!$A$5:$A$500=$Y$1),--('2026'!$C$5:$C$500=$B28))+SUMPRODUCT(--('2026'!$A$5:$A$500=$Y$1),--('2026'!$F$5:$F$500=$B28))+SUMPRODUCT(--('2026'!$A$5:$A$500=$Y$1),--('2026'!$D$5:$D$500=$B28))+SUMPRODUCT(--('2026'!$A$5:$A$500=$Y$1),--('2026'!$G$5:$G$500=$B28))</f>
        <v/>
      </c>
      <c r="Z28" s="51">
        <f>SUMPRODUCT(--('2026'!$A$5:$A$500=$Y$1),--('2026'!$I$5:$I$500=$B28))+SUMPRODUCT(--('2026'!$A$5:$A$500=$Y$1),--('2026'!$J$5:$J$500=$B28))</f>
        <v/>
      </c>
      <c r="AA28" s="51">
        <f>SUMPRODUCT(--('2026'!$A$5:$A$500=$AA$1),--('2026'!$C$5:$C$500=$B28))+SUMPRODUCT(--('2026'!$A$5:$A$500=$AA$1),--('2026'!$F$5:$F$500=$B28))+SUMPRODUCT(--('2026'!$A$5:$A$500=$AA$1),--('2026'!$D$5:$D$500=$B28))+SUMPRODUCT(--('2026'!$A$5:$A$500=$AA$1),--('2026'!$G$5:$G$500=$B28))</f>
        <v/>
      </c>
      <c r="AB28" s="51">
        <f>SUMPRODUCT(--('2026'!$A$5:$A$500=$AA$1),--('2026'!$I$5:$I$500=$B28))+SUMPRODUCT(--('2026'!$A$5:$A$500=$AA$1),--('2026'!$J$5:$J$500=$B28))</f>
        <v/>
      </c>
      <c r="AC28" s="51">
        <f>SUMPRODUCT(--('2026'!$A$5:$A$500=$AC$1),--('2026'!$C$5:$C$500=$B28))+SUMPRODUCT(--('2026'!$A$5:$A$500=$AC$1),--('2026'!$F$5:$F$500=$B28))+SUMPRODUCT(--('2026'!$A$5:$A$500=$AC$1),--('2026'!$D$5:$D$500=$B28))+SUMPRODUCT(--('2026'!$A$5:$A$500=$AC$1),--('2026'!$G$5:$G$500=$B28))</f>
        <v/>
      </c>
      <c r="AD28" s="51">
        <f>SUMPRODUCT(--('2026'!$A$5:$A$500=$AC$1),--('2026'!$I$5:$I$500=$B28))+SUMPRODUCT(--('2026'!$A$5:$A$500=$AC$1),--('2026'!$J$5:$J$500=$B28))</f>
        <v/>
      </c>
      <c r="AE28" s="61">
        <f>SUMPRODUCT(--('2026'!$A$5:$A$500=$AE$1),--('2026'!$C$5:$C$500=$B28))+SUMPRODUCT(--('2026'!$A$5:$A$500=$AE$1),--('2026'!$F$5:$F$500=$B28))+SUMPRODUCT(--('2026'!$A$5:$A$500=$AE$1),--('2026'!$D$5:$D$500=$B28))+SUMPRODUCT(--('2026'!$A$5:$A$500=$AE$1),--('2026'!$G$5:$G$500=$B28))</f>
        <v/>
      </c>
      <c r="AF28" s="61">
        <f>SUMPRODUCT(--('2026'!$A$5:$A$500=$AE$1),--('2026'!$I$5:$I$500=$B28))+SUMPRODUCT(--('2026'!$A$5:$A$500=$AE$1),--('2026'!$J$5:$J$500=$B28))</f>
        <v/>
      </c>
      <c r="AG28" s="51">
        <f>SUMPRODUCT(--('2026'!$A$5:$A$500=$AG$1),--('2026'!$C$5:$C$500=$B28))+SUMPRODUCT(--('2026'!$A$5:$A$500=$AG$1),--('2026'!$F$5:$F$500=$B28))+SUMPRODUCT(--('2026'!$A$5:$A$500=$AG$1),--('2026'!$D$5:$D$500=$B28))+SUMPRODUCT(--('2026'!$A$5:$A$500=$AG$1),--('2026'!$G$5:$G$500=$B28))</f>
        <v/>
      </c>
      <c r="AH28" s="51">
        <f>SUMPRODUCT(--('2026'!$A$5:$A$500=$AG$1),--('2026'!$I$5:$I$500=$B28))+SUMPRODUCT(--('2026'!$A$5:$A$500=$AG$1),--('2026'!$J$5:$J$500=$B28))</f>
        <v/>
      </c>
      <c r="AI28" s="51">
        <f>SUMPRODUCT(--('2026'!$A$5:$A$500=$AI$1),--('2026'!$C$5:$C$500=$B28))+SUMPRODUCT(--('2026'!$A$5:$A$500=$AI$1),--('2026'!$F$5:$F$500=$B28))+SUMPRODUCT(--('2026'!$A$5:$A$500=$AI$1),--('2026'!$D$5:$D$500=$B28))+SUMPRODUCT(--('2026'!$A$5:$A$500=$AI$1),--('2026'!$G$5:$G$500=$B28))</f>
        <v/>
      </c>
      <c r="AJ28" s="51">
        <f>SUMPRODUCT(--('2026'!$A$5:$A$500=$AI$1),--('2026'!$I$5:$I$500=$B28))+SUMPRODUCT(--('2026'!$A$5:$A$500=$AI$1),--('2026'!$J$5:$J$500=$B28))</f>
        <v/>
      </c>
      <c r="AK28" s="51">
        <f>SUMPRODUCT(--('2026'!$A$5:$A$500=$AK$1),--('2026'!$C$5:$C$500=$B28))+SUMPRODUCT(--('2026'!$A$5:$A$500=$AK$1),--('2026'!$F$5:$F$500=$B28))+SUMPRODUCT(--('2026'!$A$5:$A$500=$AK$1),--('2026'!$D$5:$D$500=$B28))+SUMPRODUCT(--('2026'!$A$5:$A$500=$AK$1),--('2026'!$G$5:$G$500=$B28))</f>
        <v/>
      </c>
      <c r="AL28" s="51">
        <f>SUMPRODUCT(--('2026'!$A$5:$A$500=$AK$1),--('2026'!$I$5:$I$500=$B28))+SUMPRODUCT(--('2026'!$A$5:$A$500=$AK$1),--('2026'!$J$5:$J$500=$B28))</f>
        <v/>
      </c>
      <c r="AM28" s="51">
        <f>SUMPRODUCT(--('2026'!$A$5:$A$500=$AM$1),--('2026'!$C$5:$C$500=$B28))+SUMPRODUCT(--('2026'!$A$5:$A$500=$AM$1),--('2026'!$F$5:$F$500=$B28))+SUMPRODUCT(--('2026'!$A$5:$A$500=$AM$1),--('2026'!$D$5:$D$500=$B28))+SUMPRODUCT(--('2026'!$A$5:$A$500=$AM$1),--('2026'!$G$5:$G$500=$B28))</f>
        <v/>
      </c>
      <c r="AN28" s="51">
        <f>SUMPRODUCT(--('2026'!$A$5:$A$500=$AM$1),--('2026'!$I$5:$I$500=$B28))+SUMPRODUCT(--('2026'!$A$5:$A$500=$AM$1),--('2026'!$J$5:$J$500=$B28))</f>
        <v/>
      </c>
      <c r="AO28" s="51">
        <f>SUMPRODUCT(--('2026'!$A$5:$A$500=$AO$1),--('2026'!$C$5:$C$500=$B28))+SUMPRODUCT(--('2026'!$A$5:$A$500=$AO$1),--('2026'!$F$5:$F$500=$B28))+SUMPRODUCT(--('2026'!$A$5:$A$500=$AO$1),--('2026'!$D$5:$D$500=$B28))+SUMPRODUCT(--('2026'!$A$5:$A$500=$AO$1),--('2026'!$G$5:$G$500=$B28))</f>
        <v/>
      </c>
      <c r="AP28" s="51">
        <f>SUMPRODUCT(--('2026'!$A$5:$A$500=$AO$1),--('2026'!$I$5:$I$500=$B28))+SUMPRODUCT(--('2026'!$A$5:$A$500=$AO$1),--('2026'!$J$5:$J$500=$B28))</f>
        <v/>
      </c>
      <c r="AQ28" s="51">
        <f>SUMPRODUCT(--('2026'!$A$5:$A$500=$AQ$1),--('2026'!$C$5:$C$500=$B28))+SUMPRODUCT(--('2026'!$A$5:$A$500=$AQ$1),--('2026'!$F$5:$F$500=$B28))+SUMPRODUCT(--('2026'!$A$5:$A$500=$AQ$1),--('2026'!$D$5:$D$500=$B28))+SUMPRODUCT(--('2026'!$A$5:$A$500=$AQ$1),--('2026'!$G$5:$G$500=$B28))</f>
        <v/>
      </c>
      <c r="AR28" s="51">
        <f>SUMPRODUCT(--('2026'!$A$5:$A$500=$AQ$1),--('2026'!$I$5:$I$500=$B28))+SUMPRODUCT(--('2026'!$A$5:$A$500=$AQ$1),--('2026'!$J$5:$J$500=$B28))</f>
        <v/>
      </c>
      <c r="AS28" s="51">
        <f>SUMPRODUCT(--('2026'!$A$5:$A$500=$AS$1),--('2026'!$C$5:$C$500=$B28))+SUMPRODUCT(--('2026'!$A$5:$A$500=$AS$1),--('2026'!$F$5:$F$500=$B28))+SUMPRODUCT(--('2026'!$A$5:$A$500=$AS$1),--('2026'!$D$5:$D$500=$B28))+SUMPRODUCT(--('2026'!$A$5:$A$500=$AS$1),--('2026'!$G$5:$G$500=$B28))</f>
        <v/>
      </c>
      <c r="AT28" s="51">
        <f>SUMPRODUCT(--('2026'!$A$5:$A$500=$AS$1),--('2026'!$I$5:$I$500=$B28))+SUMPRODUCT(--('2026'!$A$5:$A$500=$AS$1),--('2026'!$J$5:$J$500=$B28))</f>
        <v/>
      </c>
      <c r="AU28" s="51">
        <f>SUMPRODUCT(--('2026'!$A$5:$A$500=$AU$1),--('2026'!$C$5:$C$500=$B28))+SUMPRODUCT(--('2026'!$A$5:$A$500=$AU$1),--('2026'!$F$5:$F$500=$B28))+SUMPRODUCT(--('2026'!$A$5:$A$500=$AU$1),--('2026'!$D$5:$D$500=$B28))+SUMPRODUCT(--('2026'!$A$5:$A$500=$AU$1),--('2026'!$G$5:$G$500=$B28))</f>
        <v/>
      </c>
      <c r="AV28" s="51">
        <f>SUMPRODUCT(--('2026'!$A$5:$A$500=$AU$1),--('2026'!$I$5:$I$500=$B28))+SUMPRODUCT(--('2026'!$A$5:$A$500=$AU$1),--('2026'!$J$5:$J$500=$B28))</f>
        <v/>
      </c>
      <c r="AW28" s="51">
        <f>SUMPRODUCT(--('2026'!$A$5:$A$500=$AW$1),--('2026'!$C$5:$C$500=$B28))+SUMPRODUCT(--('2026'!$A$5:$A$500=$AW$1),--('2026'!$F$5:$F$500=$B28))+SUMPRODUCT(--('2026'!$A$5:$A$500=$AW$1),--('2026'!$D$5:$D$500=$B28))+SUMPRODUCT(--('2026'!$A$5:$A$500=$AW$1),--('2026'!$G$5:$G$500=$B28))</f>
        <v/>
      </c>
      <c r="AX28" s="51">
        <f>SUMPRODUCT(--('2026'!$A$5:$A$500=$AW$1),--('2026'!$I$5:$I$500=$B28))+SUMPRODUCT(--('2026'!$A$5:$A$500=$AW$1),--('2026'!$J$5:$J$500=$B28))</f>
        <v/>
      </c>
      <c r="BA28" s="54" t="inlineStr">
        <is>
          <t>Jalal</t>
        </is>
      </c>
      <c r="BB28" s="47">
        <f>IF(ISODD(COUNTIF(C28:AX28,"&gt;0")),COUNTIF(C28:AX28,"&gt;0")+1,COUNTIF(C28:AX28,"&gt;0"))/2</f>
        <v/>
      </c>
      <c r="BC28" s="52">
        <f>BB28/15</f>
        <v/>
      </c>
    </row>
    <row r="29" ht="15" customHeight="1" s="106">
      <c r="A29" t="n">
        <v>27</v>
      </c>
      <c r="B29" s="54" t="inlineStr">
        <is>
          <t>Nabeel</t>
        </is>
      </c>
      <c r="C29" s="50">
        <f>SUMPRODUCT(--('2026'!$A$5:$A$500=$C$1),--('2026'!$C$5:$C$500=$B29))+SUMPRODUCT(--('2026'!$A$5:$A$500=$C$1),--('2026'!$F$5:$F$500=$B29))+SUMPRODUCT(--('2026'!$A$5:$A$500=$C$1),--('2026'!$D$5:$D$500=$B29))+SUMPRODUCT(--('2026'!$A$5:$A$500=$C$1),--('2026'!$G$5:$G$500=$B29))</f>
        <v/>
      </c>
      <c r="D29" s="50">
        <f>SUMPRODUCT(--('2026'!$A$5:$A$500=$C$1),--('2026'!$I$5:$I$500=$B29))+SUMPRODUCT(--('2026'!$A$5:$A$500=$C$1),--('2026'!$J$5:$J$500=$B29))</f>
        <v/>
      </c>
      <c r="E29" s="50">
        <f>SUMPRODUCT(--('2026'!$A$5:$A$500=$E$1),--('2026'!$C$5:$C$500=$B29))+SUMPRODUCT(--('2026'!$A$5:$A$500=$E$1),--('2026'!$F$5:$F$500=$B29))+SUMPRODUCT(--('2026'!$A$5:$A$500=$E$1),--('2026'!$D$5:$D$500=$B29))+SUMPRODUCT(--('2026'!$A$5:$A$500=$E$1),--('2026'!$G$5:$G$500=$B29))</f>
        <v/>
      </c>
      <c r="F29" s="50">
        <f>SUMPRODUCT(--('2026'!$A$5:$A$500=$E$1),--('2026'!$I$5:$I$500=$B29))+SUMPRODUCT(--('2026'!$A$5:$A$500=$E$1),--('2026'!$J$5:$J$500=$B29))</f>
        <v/>
      </c>
      <c r="G29" s="50">
        <f>SUMPRODUCT(--('2026'!$A$5:$A$500=$G$1),--('2026'!$C$5:$C$500=$B29))+SUMPRODUCT(--('2026'!$A$5:$A$500=$G$1),--('2026'!$F$5:$F$500=$B29))+SUMPRODUCT(--('2026'!$A$5:$A$500=$G$1),--('2026'!$D$5:$D$500=$B29))+SUMPRODUCT(--('2026'!$A$5:$A$500=$G$1),--('2026'!$G$5:$G$500=$B29))</f>
        <v/>
      </c>
      <c r="H29" s="50">
        <f>SUMPRODUCT(--('2026'!$A$5:$A$500=$G$1),--('2026'!$I$5:$I$500=$B29))+SUMPRODUCT(--('2026'!$A$5:$A$500=$G$1),--('2026'!$J$5:$J$500=$B29))</f>
        <v/>
      </c>
      <c r="I29" s="50">
        <f>SUMPRODUCT(--('2026'!$A$5:$A$500=$I$1),--('2026'!$C$5:$C$500=$B29))+SUMPRODUCT(--('2026'!$A$5:$A$500=$I$1),--('2026'!$F$5:$F$500=$B29))+SUMPRODUCT(--('2026'!$A$5:$A$500=$I$1),--('2026'!$D$5:$D$500=$B29))+SUMPRODUCT(--('2026'!$A$5:$A$500=$I$1),--('2026'!$G$5:$G$500=$B29))</f>
        <v/>
      </c>
      <c r="J29" s="50">
        <f>SUMPRODUCT(--('2026'!$A$5:$A$500=$I$1),--('2026'!$I$5:$I$500=$B29))+SUMPRODUCT(--('2026'!$A$5:$A$500=$I$1),--('2026'!$J$5:$J$500=$B29))</f>
        <v/>
      </c>
      <c r="K29" s="50">
        <f>SUMPRODUCT(--('2026'!$A$5:$A$500=$K$1),--('2026'!$C$5:$C$500=$B29))+SUMPRODUCT(--('2026'!$A$5:$A$500=$K$1),--('2026'!$F$5:$F$500=$B29))+SUMPRODUCT(--('2026'!$A$5:$A$500=$K$1),--('2026'!$D$5:$D$500=$B29))+SUMPRODUCT(--('2026'!$A$5:$A$500=$K$1),--('2026'!$G$5:$G$500=$B29))</f>
        <v/>
      </c>
      <c r="L29" s="50">
        <f>SUMPRODUCT(--('2026'!$A$5:$A$500=$K$1),--('2026'!$I$5:$I$500=$B29))+SUMPRODUCT(--('2026'!$A$5:$A$500=$K$1),--('2026'!$J$5:$J$500=$B29))</f>
        <v/>
      </c>
      <c r="M29" s="50">
        <f>SUMPRODUCT(--('2026'!$A$5:$A$500=$M$1),--('2026'!$C$5:$C$500=$B29))+SUMPRODUCT(--('2026'!$A$5:$A$500=$M$1),--('2026'!$F$5:$F$500=$B29))+SUMPRODUCT(--('2026'!$A$5:$A$500=$M$1),--('2026'!$D$5:$D$500=$B29))+SUMPRODUCT(--('2026'!$A$5:$A$500=$M$1),--('2026'!$G$5:$G$500=$B29))</f>
        <v/>
      </c>
      <c r="N29" s="50">
        <f>SUMPRODUCT(--('2026'!$A$5:$A$500=$M$1),--('2026'!$I$5:$I$500=$B29))+SUMPRODUCT(--('2026'!$A$5:$A$500=$M$1),--('2026'!$J$5:$J$500=$B29))</f>
        <v/>
      </c>
      <c r="O29" s="50">
        <f>SUMPRODUCT(--('2026'!$A$5:$A$500=$O$1),--('2026'!$C$5:$C$500=$B29))+SUMPRODUCT(--('2026'!$A$5:$A$500=$O$1),--('2026'!$F$5:$F$500=$B29))+SUMPRODUCT(--('2026'!$A$5:$A$500=$O$1),--('2026'!$D$5:$D$500=$B29))+SUMPRODUCT(--('2026'!$A$5:$A$500=$O$1),--('2026'!$G$5:$G$500=$B29))</f>
        <v/>
      </c>
      <c r="P29" s="50">
        <f>SUMPRODUCT(--('2026'!$A$5:$A$500=$O$1),--('2026'!$I$5:$I$500=$B29))+SUMPRODUCT(--('2026'!$A$5:$A$500=$O$1),--('2026'!$J$5:$J$500=$B29))</f>
        <v/>
      </c>
      <c r="Q29" s="50">
        <f>SUMPRODUCT(--('2026'!$A$5:$A$500=$Q$1),--('2026'!$C$5:$C$500=$B29))+SUMPRODUCT(--('2026'!$A$5:$A$500=$Q$1),--('2026'!$F$5:$F$500=$B29))+SUMPRODUCT(--('2026'!$A$5:$A$500=$Q$1),--('2026'!$D$5:$D$500=$B29))+SUMPRODUCT(--('2026'!$A$5:$A$500=$Q$1),--('2026'!$G$5:$G$500=$B29))</f>
        <v/>
      </c>
      <c r="R29" s="50">
        <f>SUMPRODUCT(--('2026'!$A$5:$A$500=$Q$1),--('2026'!$I$5:$I$500=$B29))+SUMPRODUCT(--('2026'!$A$5:$A$500=$Q$1),--('2026'!$J$5:$J$500=$B29))</f>
        <v/>
      </c>
      <c r="S29" s="50">
        <f>SUMPRODUCT(--('2026'!$A$5:$A$500=$S$1),--('2026'!$C$5:$C$500=$B29))+SUMPRODUCT(--('2026'!$A$5:$A$500=$S$1),--('2026'!$F$5:$F$500=$B29))+SUMPRODUCT(--('2026'!$A$5:$A$500=$S$1),--('2026'!$D$5:$D$500=$B29))+SUMPRODUCT(--('2026'!$A$5:$A$500=$S$1),--('2026'!$G$5:$G$500=$B29))</f>
        <v/>
      </c>
      <c r="T29" s="50">
        <f>SUMPRODUCT(--('2026'!$A$5:$A$500=$S$1),--('2026'!$I$5:$I$500=$B29))+SUMPRODUCT(--('2026'!$A$5:$A$500=$S$1),--('2026'!$J$5:$J$500=$B29))</f>
        <v/>
      </c>
      <c r="U29" s="50">
        <f>SUMPRODUCT(--('2026'!$A$5:$A$500=$U$1),--('2026'!$C$5:$C$500=$B29))+SUMPRODUCT(--('2026'!$A$5:$A$500=$U$1),--('2026'!$F$5:$F$500=$B29))+SUMPRODUCT(--('2026'!$A$5:$A$500=$U$1),--('2026'!$D$5:$D$500=$B29))+SUMPRODUCT(--('2026'!$A$5:$A$500=$U$1),--('2026'!$G$5:$G$500=$B29))</f>
        <v/>
      </c>
      <c r="V29" s="50">
        <f>SUMPRODUCT(--('2026'!$A$5:$A$500=$U$1),--('2026'!$I$5:$I$500=$B29))+SUMPRODUCT(--('2026'!$A$5:$A$500=$U$1),--('2026'!$J$5:$J$500=$B29))</f>
        <v/>
      </c>
      <c r="W29" s="50">
        <f>SUMPRODUCT(--('2026'!$A$5:$A$500=$W$1),--('2026'!$C$5:$C$500=$B29))+SUMPRODUCT(--('2026'!$A$5:$A$500=$W$1),--('2026'!$F$5:$F$500=$B29))+SUMPRODUCT(--('2026'!$A$5:$A$500=$W$1),--('2026'!$D$5:$D$500=$B29))+SUMPRODUCT(--('2026'!$A$5:$A$500=$W$1),--('2026'!$G$5:$G$500=$B29))</f>
        <v/>
      </c>
      <c r="X29" s="50">
        <f>SUMPRODUCT(--('2026'!$A$5:$A$500=$W$1),--('2026'!$I$5:$I$500=$B29))+SUMPRODUCT(--('2026'!$A$5:$A$500=$W$1),--('2026'!$J$5:$J$500=$B29))</f>
        <v/>
      </c>
      <c r="Y29" s="51">
        <f>SUMPRODUCT(--('2026'!$A$5:$A$500=$Y$1),--('2026'!$C$5:$C$500=$B29))+SUMPRODUCT(--('2026'!$A$5:$A$500=$Y$1),--('2026'!$F$5:$F$500=$B29))+SUMPRODUCT(--('2026'!$A$5:$A$500=$Y$1),--('2026'!$D$5:$D$500=$B29))+SUMPRODUCT(--('2026'!$A$5:$A$500=$Y$1),--('2026'!$G$5:$G$500=$B29))</f>
        <v/>
      </c>
      <c r="Z29" s="51">
        <f>SUMPRODUCT(--('2026'!$A$5:$A$500=$Y$1),--('2026'!$I$5:$I$500=$B29))+SUMPRODUCT(--('2026'!$A$5:$A$500=$Y$1),--('2026'!$J$5:$J$500=$B29))</f>
        <v/>
      </c>
      <c r="AA29" s="51">
        <f>SUMPRODUCT(--('2026'!$A$5:$A$500=$AA$1),--('2026'!$C$5:$C$500=$B29))+SUMPRODUCT(--('2026'!$A$5:$A$500=$AA$1),--('2026'!$F$5:$F$500=$B29))+SUMPRODUCT(--('2026'!$A$5:$A$500=$AA$1),--('2026'!$D$5:$D$500=$B29))+SUMPRODUCT(--('2026'!$A$5:$A$500=$AA$1),--('2026'!$G$5:$G$500=$B29))</f>
        <v/>
      </c>
      <c r="AB29" s="51">
        <f>SUMPRODUCT(--('2026'!$A$5:$A$500=$AA$1),--('2026'!$I$5:$I$500=$B29))+SUMPRODUCT(--('2026'!$A$5:$A$500=$AA$1),--('2026'!$J$5:$J$500=$B29))</f>
        <v/>
      </c>
      <c r="AC29" s="51">
        <f>SUMPRODUCT(--('2026'!$A$5:$A$500=$AC$1),--('2026'!$C$5:$C$500=$B29))+SUMPRODUCT(--('2026'!$A$5:$A$500=$AC$1),--('2026'!$F$5:$F$500=$B29))+SUMPRODUCT(--('2026'!$A$5:$A$500=$AC$1),--('2026'!$D$5:$D$500=$B29))+SUMPRODUCT(--('2026'!$A$5:$A$500=$AC$1),--('2026'!$G$5:$G$500=$B29))</f>
        <v/>
      </c>
      <c r="AD29" s="51">
        <f>SUMPRODUCT(--('2026'!$A$5:$A$500=$AC$1),--('2026'!$I$5:$I$500=$B29))+SUMPRODUCT(--('2026'!$A$5:$A$500=$AC$1),--('2026'!$J$5:$J$500=$B29))</f>
        <v/>
      </c>
      <c r="AE29" s="61">
        <f>SUMPRODUCT(--('2026'!$A$5:$A$500=$AE$1),--('2026'!$C$5:$C$500=$B29))+SUMPRODUCT(--('2026'!$A$5:$A$500=$AE$1),--('2026'!$F$5:$F$500=$B29))+SUMPRODUCT(--('2026'!$A$5:$A$500=$AE$1),--('2026'!$D$5:$D$500=$B29))+SUMPRODUCT(--('2026'!$A$5:$A$500=$AE$1),--('2026'!$G$5:$G$500=$B29))</f>
        <v/>
      </c>
      <c r="AF29" s="61">
        <f>SUMPRODUCT(--('2026'!$A$5:$A$500=$AE$1),--('2026'!$I$5:$I$500=$B29))+SUMPRODUCT(--('2026'!$A$5:$A$500=$AE$1),--('2026'!$J$5:$J$500=$B29))</f>
        <v/>
      </c>
      <c r="AG29" s="51">
        <f>SUMPRODUCT(--('2026'!$A$5:$A$500=$AG$1),--('2026'!$C$5:$C$500=$B29))+SUMPRODUCT(--('2026'!$A$5:$A$500=$AG$1),--('2026'!$F$5:$F$500=$B29))+SUMPRODUCT(--('2026'!$A$5:$A$500=$AG$1),--('2026'!$D$5:$D$500=$B29))+SUMPRODUCT(--('2026'!$A$5:$A$500=$AG$1),--('2026'!$G$5:$G$500=$B29))</f>
        <v/>
      </c>
      <c r="AH29" s="51">
        <f>SUMPRODUCT(--('2026'!$A$5:$A$500=$AG$1),--('2026'!$I$5:$I$500=$B29))+SUMPRODUCT(--('2026'!$A$5:$A$500=$AG$1),--('2026'!$J$5:$J$500=$B29))</f>
        <v/>
      </c>
      <c r="AI29" s="51">
        <f>SUMPRODUCT(--('2026'!$A$5:$A$500=$AI$1),--('2026'!$C$5:$C$500=$B29))+SUMPRODUCT(--('2026'!$A$5:$A$500=$AI$1),--('2026'!$F$5:$F$500=$B29))+SUMPRODUCT(--('2026'!$A$5:$A$500=$AI$1),--('2026'!$D$5:$D$500=$B29))+SUMPRODUCT(--('2026'!$A$5:$A$500=$AI$1),--('2026'!$G$5:$G$500=$B29))</f>
        <v/>
      </c>
      <c r="AJ29" s="51">
        <f>SUMPRODUCT(--('2026'!$A$5:$A$500=$AI$1),--('2026'!$I$5:$I$500=$B29))+SUMPRODUCT(--('2026'!$A$5:$A$500=$AI$1),--('2026'!$J$5:$J$500=$B29))</f>
        <v/>
      </c>
      <c r="AK29" s="51">
        <f>SUMPRODUCT(--('2026'!$A$5:$A$500=$AK$1),--('2026'!$C$5:$C$500=$B29))+SUMPRODUCT(--('2026'!$A$5:$A$500=$AK$1),--('2026'!$F$5:$F$500=$B29))+SUMPRODUCT(--('2026'!$A$5:$A$500=$AK$1),--('2026'!$D$5:$D$500=$B29))+SUMPRODUCT(--('2026'!$A$5:$A$500=$AK$1),--('2026'!$G$5:$G$500=$B29))</f>
        <v/>
      </c>
      <c r="AL29" s="51">
        <f>SUMPRODUCT(--('2026'!$A$5:$A$500=$AK$1),--('2026'!$I$5:$I$500=$B29))+SUMPRODUCT(--('2026'!$A$5:$A$500=$AK$1),--('2026'!$J$5:$J$500=$B29))</f>
        <v/>
      </c>
      <c r="AM29" s="51">
        <f>SUMPRODUCT(--('2026'!$A$5:$A$500=$AM$1),--('2026'!$C$5:$C$500=$B29))+SUMPRODUCT(--('2026'!$A$5:$A$500=$AM$1),--('2026'!$F$5:$F$500=$B29))+SUMPRODUCT(--('2026'!$A$5:$A$500=$AM$1),--('2026'!$D$5:$D$500=$B29))+SUMPRODUCT(--('2026'!$A$5:$A$500=$AM$1),--('2026'!$G$5:$G$500=$B29))</f>
        <v/>
      </c>
      <c r="AN29" s="51">
        <f>SUMPRODUCT(--('2026'!$A$5:$A$500=$AM$1),--('2026'!$I$5:$I$500=$B29))+SUMPRODUCT(--('2026'!$A$5:$A$500=$AM$1),--('2026'!$J$5:$J$500=$B29))</f>
        <v/>
      </c>
      <c r="AO29" s="51">
        <f>SUMPRODUCT(--('2026'!$A$5:$A$500=$AO$1),--('2026'!$C$5:$C$500=$B29))+SUMPRODUCT(--('2026'!$A$5:$A$500=$AO$1),--('2026'!$F$5:$F$500=$B29))+SUMPRODUCT(--('2026'!$A$5:$A$500=$AO$1),--('2026'!$D$5:$D$500=$B29))+SUMPRODUCT(--('2026'!$A$5:$A$500=$AO$1),--('2026'!$G$5:$G$500=$B29))</f>
        <v/>
      </c>
      <c r="AP29" s="51">
        <f>SUMPRODUCT(--('2026'!$A$5:$A$500=$AO$1),--('2026'!$I$5:$I$500=$B29))+SUMPRODUCT(--('2026'!$A$5:$A$500=$AO$1),--('2026'!$J$5:$J$500=$B29))</f>
        <v/>
      </c>
      <c r="AQ29" s="51">
        <f>SUMPRODUCT(--('2026'!$A$5:$A$500=$AQ$1),--('2026'!$C$5:$C$500=$B29))+SUMPRODUCT(--('2026'!$A$5:$A$500=$AQ$1),--('2026'!$F$5:$F$500=$B29))+SUMPRODUCT(--('2026'!$A$5:$A$500=$AQ$1),--('2026'!$D$5:$D$500=$B29))+SUMPRODUCT(--('2026'!$A$5:$A$500=$AQ$1),--('2026'!$G$5:$G$500=$B29))</f>
        <v/>
      </c>
      <c r="AR29" s="51">
        <f>SUMPRODUCT(--('2026'!$A$5:$A$500=$AQ$1),--('2026'!$I$5:$I$500=$B29))+SUMPRODUCT(--('2026'!$A$5:$A$500=$AQ$1),--('2026'!$J$5:$J$500=$B29))</f>
        <v/>
      </c>
      <c r="AS29" s="51">
        <f>SUMPRODUCT(--('2026'!$A$5:$A$500=$AS$1),--('2026'!$C$5:$C$500=$B29))+SUMPRODUCT(--('2026'!$A$5:$A$500=$AS$1),--('2026'!$F$5:$F$500=$B29))+SUMPRODUCT(--('2026'!$A$5:$A$500=$AS$1),--('2026'!$D$5:$D$500=$B29))+SUMPRODUCT(--('2026'!$A$5:$A$500=$AS$1),--('2026'!$G$5:$G$500=$B29))</f>
        <v/>
      </c>
      <c r="AT29" s="51">
        <f>SUMPRODUCT(--('2026'!$A$5:$A$500=$AS$1),--('2026'!$I$5:$I$500=$B29))+SUMPRODUCT(--('2026'!$A$5:$A$500=$AS$1),--('2026'!$J$5:$J$500=$B29))</f>
        <v/>
      </c>
      <c r="AU29" s="51">
        <f>SUMPRODUCT(--('2026'!$A$5:$A$500=$AU$1),--('2026'!$C$5:$C$500=$B29))+SUMPRODUCT(--('2026'!$A$5:$A$500=$AU$1),--('2026'!$F$5:$F$500=$B29))+SUMPRODUCT(--('2026'!$A$5:$A$500=$AU$1),--('2026'!$D$5:$D$500=$B29))+SUMPRODUCT(--('2026'!$A$5:$A$500=$AU$1),--('2026'!$G$5:$G$500=$B29))</f>
        <v/>
      </c>
      <c r="AV29" s="51">
        <f>SUMPRODUCT(--('2026'!$A$5:$A$500=$AU$1),--('2026'!$I$5:$I$500=$B29))+SUMPRODUCT(--('2026'!$A$5:$A$500=$AU$1),--('2026'!$J$5:$J$500=$B29))</f>
        <v/>
      </c>
      <c r="AW29" s="51">
        <f>SUMPRODUCT(--('2026'!$A$5:$A$500=$AW$1),--('2026'!$C$5:$C$500=$B29))+SUMPRODUCT(--('2026'!$A$5:$A$500=$AW$1),--('2026'!$F$5:$F$500=$B29))+SUMPRODUCT(--('2026'!$A$5:$A$500=$AW$1),--('2026'!$D$5:$D$500=$B29))+SUMPRODUCT(--('2026'!$A$5:$A$500=$AW$1),--('2026'!$G$5:$G$500=$B29))</f>
        <v/>
      </c>
      <c r="AX29" s="51">
        <f>SUMPRODUCT(--('2026'!$A$5:$A$500=$AW$1),--('2026'!$I$5:$I$500=$B29))+SUMPRODUCT(--('2026'!$A$5:$A$500=$AW$1),--('2026'!$J$5:$J$500=$B29))</f>
        <v/>
      </c>
      <c r="BA29" s="54" t="inlineStr">
        <is>
          <t>Nabeel</t>
        </is>
      </c>
      <c r="BB29" s="47">
        <f>IF(ISODD(COUNTIF(C29:AX29,"&gt;0")),COUNTIF(C29:AX29,"&gt;0")+1,COUNTIF(C29:AX29,"&gt;0"))/2</f>
        <v/>
      </c>
      <c r="BC29" s="52">
        <f>BB29/15</f>
        <v/>
      </c>
    </row>
    <row r="30" ht="15" customHeight="1" s="106">
      <c r="A30" t="n">
        <v>28</v>
      </c>
      <c r="B30" s="54" t="inlineStr">
        <is>
          <t>Altamash</t>
        </is>
      </c>
      <c r="C30" s="50">
        <f>SUMPRODUCT(--('2026'!$A$5:$A$500=$C$1),--('2026'!$C$5:$C$500=$B30))+SUMPRODUCT(--('2026'!$A$5:$A$500=$C$1),--('2026'!$F$5:$F$500=$B30))+SUMPRODUCT(--('2026'!$A$5:$A$500=$C$1),--('2026'!$D$5:$D$500=$B30))+SUMPRODUCT(--('2026'!$A$5:$A$500=$C$1),--('2026'!$G$5:$G$500=$B30))</f>
        <v/>
      </c>
      <c r="D30" s="50">
        <f>SUMPRODUCT(--('2026'!$A$5:$A$500=$C$1),--('2026'!$I$5:$I$500=$B30))+SUMPRODUCT(--('2026'!$A$5:$A$500=$C$1),--('2026'!$J$5:$J$500=$B30))</f>
        <v/>
      </c>
      <c r="E30" s="50">
        <f>SUMPRODUCT(--('2026'!$A$5:$A$500=$E$1),--('2026'!$C$5:$C$500=$B30))+SUMPRODUCT(--('2026'!$A$5:$A$500=$E$1),--('2026'!$F$5:$F$500=$B30))+SUMPRODUCT(--('2026'!$A$5:$A$500=$E$1),--('2026'!$D$5:$D$500=$B30))+SUMPRODUCT(--('2026'!$A$5:$A$500=$E$1),--('2026'!$G$5:$G$500=$B30))</f>
        <v/>
      </c>
      <c r="F30" s="50">
        <f>SUMPRODUCT(--('2026'!$A$5:$A$500=$E$1),--('2026'!$I$5:$I$500=$B30))+SUMPRODUCT(--('2026'!$A$5:$A$500=$E$1),--('2026'!$J$5:$J$500=$B30))</f>
        <v/>
      </c>
      <c r="G30" s="50">
        <f>SUMPRODUCT(--('2026'!$A$5:$A$500=$G$1),--('2026'!$C$5:$C$500=$B30))+SUMPRODUCT(--('2026'!$A$5:$A$500=$G$1),--('2026'!$F$5:$F$500=$B30))+SUMPRODUCT(--('2026'!$A$5:$A$500=$G$1),--('2026'!$D$5:$D$500=$B30))+SUMPRODUCT(--('2026'!$A$5:$A$500=$G$1),--('2026'!$G$5:$G$500=$B30))</f>
        <v/>
      </c>
      <c r="H30" s="50">
        <f>SUMPRODUCT(--('2026'!$A$5:$A$500=$G$1),--('2026'!$I$5:$I$500=$B30))+SUMPRODUCT(--('2026'!$A$5:$A$500=$G$1),--('2026'!$J$5:$J$500=$B30))</f>
        <v/>
      </c>
      <c r="I30" s="50">
        <f>SUMPRODUCT(--('2026'!$A$5:$A$500=$I$1),--('2026'!$C$5:$C$500=$B30))+SUMPRODUCT(--('2026'!$A$5:$A$500=$I$1),--('2026'!$F$5:$F$500=$B30))+SUMPRODUCT(--('2026'!$A$5:$A$500=$I$1),--('2026'!$D$5:$D$500=$B30))+SUMPRODUCT(--('2026'!$A$5:$A$500=$I$1),--('2026'!$G$5:$G$500=$B30))</f>
        <v/>
      </c>
      <c r="J30" s="50">
        <f>SUMPRODUCT(--('2026'!$A$5:$A$500=$I$1),--('2026'!$I$5:$I$500=$B30))+SUMPRODUCT(--('2026'!$A$5:$A$500=$I$1),--('2026'!$J$5:$J$500=$B30))</f>
        <v/>
      </c>
      <c r="K30" s="50">
        <f>SUMPRODUCT(--('2026'!$A$5:$A$500=$K$1),--('2026'!$C$5:$C$500=$B30))+SUMPRODUCT(--('2026'!$A$5:$A$500=$K$1),--('2026'!$F$5:$F$500=$B30))+SUMPRODUCT(--('2026'!$A$5:$A$500=$K$1),--('2026'!$D$5:$D$500=$B30))+SUMPRODUCT(--('2026'!$A$5:$A$500=$K$1),--('2026'!$G$5:$G$500=$B30))</f>
        <v/>
      </c>
      <c r="L30" s="50">
        <f>SUMPRODUCT(--('2026'!$A$5:$A$500=$K$1),--('2026'!$I$5:$I$500=$B30))+SUMPRODUCT(--('2026'!$A$5:$A$500=$K$1),--('2026'!$J$5:$J$500=$B30))</f>
        <v/>
      </c>
      <c r="M30" s="50">
        <f>SUMPRODUCT(--('2026'!$A$5:$A$500=$M$1),--('2026'!$C$5:$C$500=$B30))+SUMPRODUCT(--('2026'!$A$5:$A$500=$M$1),--('2026'!$F$5:$F$500=$B30))+SUMPRODUCT(--('2026'!$A$5:$A$500=$M$1),--('2026'!$D$5:$D$500=$B30))+SUMPRODUCT(--('2026'!$A$5:$A$500=$M$1),--('2026'!$G$5:$G$500=$B30))</f>
        <v/>
      </c>
      <c r="N30" s="50">
        <f>SUMPRODUCT(--('2026'!$A$5:$A$500=$M$1),--('2026'!$I$5:$I$500=$B30))+SUMPRODUCT(--('2026'!$A$5:$A$500=$M$1),--('2026'!$J$5:$J$500=$B30))</f>
        <v/>
      </c>
      <c r="O30" s="50">
        <f>SUMPRODUCT(--('2026'!$A$5:$A$500=$O$1),--('2026'!$C$5:$C$500=$B30))+SUMPRODUCT(--('2026'!$A$5:$A$500=$O$1),--('2026'!$F$5:$F$500=$B30))+SUMPRODUCT(--('2026'!$A$5:$A$500=$O$1),--('2026'!$D$5:$D$500=$B30))+SUMPRODUCT(--('2026'!$A$5:$A$500=$O$1),--('2026'!$G$5:$G$500=$B30))</f>
        <v/>
      </c>
      <c r="P30" s="50">
        <f>SUMPRODUCT(--('2026'!$A$5:$A$500=$O$1),--('2026'!$I$5:$I$500=$B30))+SUMPRODUCT(--('2026'!$A$5:$A$500=$O$1),--('2026'!$J$5:$J$500=$B30))</f>
        <v/>
      </c>
      <c r="Q30" s="50">
        <f>SUMPRODUCT(--('2026'!$A$5:$A$500=$Q$1),--('2026'!$C$5:$C$500=$B30))+SUMPRODUCT(--('2026'!$A$5:$A$500=$Q$1),--('2026'!$F$5:$F$500=$B30))+SUMPRODUCT(--('2026'!$A$5:$A$500=$Q$1),--('2026'!$D$5:$D$500=$B30))+SUMPRODUCT(--('2026'!$A$5:$A$500=$Q$1),--('2026'!$G$5:$G$500=$B30))</f>
        <v/>
      </c>
      <c r="R30" s="50">
        <f>SUMPRODUCT(--('2026'!$A$5:$A$500=$Q$1),--('2026'!$I$5:$I$500=$B30))+SUMPRODUCT(--('2026'!$A$5:$A$500=$Q$1),--('2026'!$J$5:$J$500=$B30))</f>
        <v/>
      </c>
      <c r="S30" s="50">
        <f>SUMPRODUCT(--('2026'!$A$5:$A$500=$S$1),--('2026'!$C$5:$C$500=$B30))+SUMPRODUCT(--('2026'!$A$5:$A$500=$S$1),--('2026'!$F$5:$F$500=$B30))+SUMPRODUCT(--('2026'!$A$5:$A$500=$S$1),--('2026'!$D$5:$D$500=$B30))+SUMPRODUCT(--('2026'!$A$5:$A$500=$S$1),--('2026'!$G$5:$G$500=$B30))</f>
        <v/>
      </c>
      <c r="T30" s="50">
        <f>SUMPRODUCT(--('2026'!$A$5:$A$500=$S$1),--('2026'!$I$5:$I$500=$B30))+SUMPRODUCT(--('2026'!$A$5:$A$500=$S$1),--('2026'!$J$5:$J$500=$B30))</f>
        <v/>
      </c>
      <c r="U30" s="50">
        <f>SUMPRODUCT(--('2026'!$A$5:$A$500=$U$1),--('2026'!$C$5:$C$500=$B30))+SUMPRODUCT(--('2026'!$A$5:$A$500=$U$1),--('2026'!$F$5:$F$500=$B30))+SUMPRODUCT(--('2026'!$A$5:$A$500=$U$1),--('2026'!$D$5:$D$500=$B30))+SUMPRODUCT(--('2026'!$A$5:$A$500=$U$1),--('2026'!$G$5:$G$500=$B30))</f>
        <v/>
      </c>
      <c r="V30" s="50">
        <f>SUMPRODUCT(--('2026'!$A$5:$A$500=$U$1),--('2026'!$I$5:$I$500=$B30))+SUMPRODUCT(--('2026'!$A$5:$A$500=$U$1),--('2026'!$J$5:$J$500=$B30))</f>
        <v/>
      </c>
      <c r="W30" s="50">
        <f>SUMPRODUCT(--('2026'!$A$5:$A$500=$W$1),--('2026'!$C$5:$C$500=$B30))+SUMPRODUCT(--('2026'!$A$5:$A$500=$W$1),--('2026'!$F$5:$F$500=$B30))+SUMPRODUCT(--('2026'!$A$5:$A$500=$W$1),--('2026'!$D$5:$D$500=$B30))+SUMPRODUCT(--('2026'!$A$5:$A$500=$W$1),--('2026'!$G$5:$G$500=$B30))</f>
        <v/>
      </c>
      <c r="X30" s="50">
        <f>SUMPRODUCT(--('2026'!$A$5:$A$500=$W$1),--('2026'!$I$5:$I$500=$B30))+SUMPRODUCT(--('2026'!$A$5:$A$500=$W$1),--('2026'!$J$5:$J$500=$B30))</f>
        <v/>
      </c>
      <c r="Y30" s="50">
        <f>SUMPRODUCT(--('2026'!$A$5:$A$500=$Y$1),--('2026'!$C$5:$C$500=$B30))+SUMPRODUCT(--('2026'!$A$5:$A$500=$Y$1),--('2026'!$F$5:$F$500=$B30))+SUMPRODUCT(--('2026'!$A$5:$A$500=$Y$1),--('2026'!$D$5:$D$500=$B30))+SUMPRODUCT(--('2026'!$A$5:$A$500=$Y$1),--('2026'!$G$5:$G$500=$B30))</f>
        <v/>
      </c>
      <c r="Z30" s="50">
        <f>SUMPRODUCT(--('2026'!$A$5:$A$500=$Y$1),--('2026'!$I$5:$I$500=$B30))+SUMPRODUCT(--('2026'!$A$5:$A$500=$Y$1),--('2026'!$J$5:$J$500=$B30))</f>
        <v/>
      </c>
      <c r="AA30" s="50">
        <f>SUMPRODUCT(--('2026'!$A$5:$A$500=$AA$1),--('2026'!$C$5:$C$500=$B30))+SUMPRODUCT(--('2026'!$A$5:$A$500=$AA$1),--('2026'!$F$5:$F$500=$B30))+SUMPRODUCT(--('2026'!$A$5:$A$500=$AA$1),--('2026'!$D$5:$D$500=$B30))+SUMPRODUCT(--('2026'!$A$5:$A$500=$AA$1),--('2026'!$G$5:$G$500=$B30))</f>
        <v/>
      </c>
      <c r="AB30" s="50">
        <f>SUMPRODUCT(--('2026'!$A$5:$A$500=$AA$1),--('2026'!$I$5:$I$500=$B30))+SUMPRODUCT(--('2026'!$A$5:$A$500=$AA$1),--('2026'!$J$5:$J$500=$B30))</f>
        <v/>
      </c>
      <c r="AC30" s="50">
        <f>SUMPRODUCT(--('2026'!$A$5:$A$500=$AC$1),--('2026'!$C$5:$C$500=$B30))+SUMPRODUCT(--('2026'!$A$5:$A$500=$AC$1),--('2026'!$F$5:$F$500=$B30))+SUMPRODUCT(--('2026'!$A$5:$A$500=$AC$1),--('2026'!$D$5:$D$500=$B30))+SUMPRODUCT(--('2026'!$A$5:$A$500=$AC$1),--('2026'!$G$5:$G$500=$B30))</f>
        <v/>
      </c>
      <c r="AD30" s="50">
        <f>SUMPRODUCT(--('2026'!$A$5:$A$500=$AC$1),--('2026'!$I$5:$I$500=$B30))+SUMPRODUCT(--('2026'!$A$5:$A$500=$AC$1),--('2026'!$J$5:$J$500=$B30))</f>
        <v/>
      </c>
      <c r="AE30" s="60">
        <f>SUMPRODUCT(--('2026'!$A$5:$A$500=$AE$1),--('2026'!$C$5:$C$500=$B30))+SUMPRODUCT(--('2026'!$A$5:$A$500=$AE$1),--('2026'!$F$5:$F$500=$B30))+SUMPRODUCT(--('2026'!$A$5:$A$500=$AE$1),--('2026'!$D$5:$D$500=$B30))+SUMPRODUCT(--('2026'!$A$5:$A$500=$AE$1),--('2026'!$G$5:$G$500=$B30))</f>
        <v/>
      </c>
      <c r="AF30" s="60">
        <f>SUMPRODUCT(--('2026'!$A$5:$A$500=$AE$1),--('2026'!$I$5:$I$500=$B30))+SUMPRODUCT(--('2026'!$A$5:$A$500=$AE$1),--('2026'!$J$5:$J$500=$B30))</f>
        <v/>
      </c>
      <c r="AG30" s="50">
        <f>SUMPRODUCT(--('2026'!$A$5:$A$500=$AG$1),--('2026'!$C$5:$C$500=$B30))+SUMPRODUCT(--('2026'!$A$5:$A$500=$AG$1),--('2026'!$F$5:$F$500=$B30))+SUMPRODUCT(--('2026'!$A$5:$A$500=$AG$1),--('2026'!$D$5:$D$500=$B30))+SUMPRODUCT(--('2026'!$A$5:$A$500=$AG$1),--('2026'!$G$5:$G$500=$B30))</f>
        <v/>
      </c>
      <c r="AH30" s="50">
        <f>SUMPRODUCT(--('2026'!$A$5:$A$500=$AG$1),--('2026'!$I$5:$I$500=$B30))+SUMPRODUCT(--('2026'!$A$5:$A$500=$AG$1),--('2026'!$J$5:$J$500=$B30))</f>
        <v/>
      </c>
      <c r="AI30" s="50">
        <f>SUMPRODUCT(--('2026'!$A$5:$A$500=$AI$1),--('2026'!$C$5:$C$500=$B30))+SUMPRODUCT(--('2026'!$A$5:$A$500=$AI$1),--('2026'!$F$5:$F$500=$B30))+SUMPRODUCT(--('2026'!$A$5:$A$500=$AI$1),--('2026'!$D$5:$D$500=$B30))+SUMPRODUCT(--('2026'!$A$5:$A$500=$AI$1),--('2026'!$G$5:$G$500=$B30))</f>
        <v/>
      </c>
      <c r="AJ30" s="50">
        <f>SUMPRODUCT(--('2026'!$A$5:$A$500=$AI$1),--('2026'!$I$5:$I$500=$B30))+SUMPRODUCT(--('2026'!$A$5:$A$500=$AI$1),--('2026'!$J$5:$J$500=$B30))</f>
        <v/>
      </c>
      <c r="AK30" s="50">
        <f>SUMPRODUCT(--('2026'!$A$5:$A$500=$AK$1),--('2026'!$C$5:$C$500=$B30))+SUMPRODUCT(--('2026'!$A$5:$A$500=$AK$1),--('2026'!$F$5:$F$500=$B30))+SUMPRODUCT(--('2026'!$A$5:$A$500=$AK$1),--('2026'!$D$5:$D$500=$B30))+SUMPRODUCT(--('2026'!$A$5:$A$500=$AK$1),--('2026'!$G$5:$G$500=$B30))</f>
        <v/>
      </c>
      <c r="AL30" s="50">
        <f>SUMPRODUCT(--('2026'!$A$5:$A$500=$AK$1),--('2026'!$I$5:$I$500=$B30))+SUMPRODUCT(--('2026'!$A$5:$A$500=$AK$1),--('2026'!$J$5:$J$500=$B30))</f>
        <v/>
      </c>
      <c r="AM30" s="50">
        <f>SUMPRODUCT(--('2026'!$A$5:$A$500=$AM$1),--('2026'!$C$5:$C$500=$B30))+SUMPRODUCT(--('2026'!$A$5:$A$500=$AM$1),--('2026'!$F$5:$F$500=$B30))+SUMPRODUCT(--('2026'!$A$5:$A$500=$AM$1),--('2026'!$D$5:$D$500=$B30))+SUMPRODUCT(--('2026'!$A$5:$A$500=$AM$1),--('2026'!$G$5:$G$500=$B30))</f>
        <v/>
      </c>
      <c r="AN30" s="50">
        <f>SUMPRODUCT(--('2026'!$A$5:$A$500=$AM$1),--('2026'!$I$5:$I$500=$B30))+SUMPRODUCT(--('2026'!$A$5:$A$500=$AM$1),--('2026'!$J$5:$J$500=$B30))</f>
        <v/>
      </c>
      <c r="AO30" s="50">
        <f>SUMPRODUCT(--('2026'!$A$5:$A$500=$AO$1),--('2026'!$C$5:$C$500=$B30))+SUMPRODUCT(--('2026'!$A$5:$A$500=$AO$1),--('2026'!$F$5:$F$500=$B30))+SUMPRODUCT(--('2026'!$A$5:$A$500=$AO$1),--('2026'!$D$5:$D$500=$B30))+SUMPRODUCT(--('2026'!$A$5:$A$500=$AO$1),--('2026'!$G$5:$G$500=$B30))</f>
        <v/>
      </c>
      <c r="AP30" s="50">
        <f>SUMPRODUCT(--('2026'!$A$5:$A$500=$AO$1),--('2026'!$I$5:$I$500=$B30))+SUMPRODUCT(--('2026'!$A$5:$A$500=$AO$1),--('2026'!$J$5:$J$500=$B30))</f>
        <v/>
      </c>
      <c r="AQ30" s="50">
        <f>SUMPRODUCT(--('2026'!$A$5:$A$500=$AQ$1),--('2026'!$C$5:$C$500=$B30))+SUMPRODUCT(--('2026'!$A$5:$A$500=$AQ$1),--('2026'!$F$5:$F$500=$B30))+SUMPRODUCT(--('2026'!$A$5:$A$500=$AQ$1),--('2026'!$D$5:$D$500=$B30))+SUMPRODUCT(--('2026'!$A$5:$A$500=$AQ$1),--('2026'!$G$5:$G$500=$B30))</f>
        <v/>
      </c>
      <c r="AR30" s="50">
        <f>SUMPRODUCT(--('2026'!$A$5:$A$500=$AQ$1),--('2026'!$I$5:$I$500=$B30))+SUMPRODUCT(--('2026'!$A$5:$A$500=$AQ$1),--('2026'!$J$5:$J$500=$B30))</f>
        <v/>
      </c>
      <c r="AS30" s="50">
        <f>SUMPRODUCT(--('2026'!$A$5:$A$500=$AS$1),--('2026'!$C$5:$C$500=$B30))+SUMPRODUCT(--('2026'!$A$5:$A$500=$AS$1),--('2026'!$F$5:$F$500=$B30))+SUMPRODUCT(--('2026'!$A$5:$A$500=$AS$1),--('2026'!$D$5:$D$500=$B30))+SUMPRODUCT(--('2026'!$A$5:$A$500=$AS$1),--('2026'!$G$5:$G$500=$B30))</f>
        <v/>
      </c>
      <c r="AT30" s="50">
        <f>SUMPRODUCT(--('2026'!$A$5:$A$500=$AS$1),--('2026'!$I$5:$I$500=$B30))+SUMPRODUCT(--('2026'!$A$5:$A$500=$AS$1),--('2026'!$J$5:$J$500=$B30))</f>
        <v/>
      </c>
      <c r="AU30" s="50">
        <f>SUMPRODUCT(--('2026'!$A$5:$A$500=$AU$1),--('2026'!$C$5:$C$500=$B30))+SUMPRODUCT(--('2026'!$A$5:$A$500=$AU$1),--('2026'!$F$5:$F$500=$B30))+SUMPRODUCT(--('2026'!$A$5:$A$500=$AU$1),--('2026'!$D$5:$D$500=$B30))+SUMPRODUCT(--('2026'!$A$5:$A$500=$AU$1),--('2026'!$G$5:$G$500=$B30))</f>
        <v/>
      </c>
      <c r="AV30" s="50">
        <f>SUMPRODUCT(--('2026'!$A$5:$A$500=$AU$1),--('2026'!$I$5:$I$500=$B30))+SUMPRODUCT(--('2026'!$A$5:$A$500=$AU$1),--('2026'!$J$5:$J$500=$B30))</f>
        <v/>
      </c>
      <c r="AW30" s="50">
        <f>SUMPRODUCT(--('2026'!$A$5:$A$500=$AW$1),--('2026'!$C$5:$C$500=$B30))+SUMPRODUCT(--('2026'!$A$5:$A$500=$AW$1),--('2026'!$F$5:$F$500=$B30))+SUMPRODUCT(--('2026'!$A$5:$A$500=$AW$1),--('2026'!$D$5:$D$500=$B30))+SUMPRODUCT(--('2026'!$A$5:$A$500=$AW$1),--('2026'!$G$5:$G$500=$B30))</f>
        <v/>
      </c>
      <c r="AX30" s="50">
        <f>SUMPRODUCT(--('2026'!$A$5:$A$500=$AW$1),--('2026'!$I$5:$I$500=$B30))+SUMPRODUCT(--('2026'!$A$5:$A$500=$AW$1),--('2026'!$J$5:$J$500=$B30))</f>
        <v/>
      </c>
      <c r="BA30" s="54" t="inlineStr">
        <is>
          <t>Altamash</t>
        </is>
      </c>
      <c r="BB30" s="47">
        <f>IF(ISODD(COUNTIF(C30:AX30,"&gt;0")),COUNTIF(C30:AX30,"&gt;0")+1,COUNTIF(C30:AX30,"&gt;0"))/2</f>
        <v/>
      </c>
      <c r="BC30" s="52">
        <f>BB30/15</f>
        <v/>
      </c>
    </row>
    <row r="31" ht="15" customHeight="1" s="106">
      <c r="A31" t="n">
        <v>29</v>
      </c>
      <c r="B31" s="54" t="inlineStr">
        <is>
          <t>Asim</t>
        </is>
      </c>
      <c r="C31" s="50">
        <f>SUMPRODUCT(--('2026'!$A$5:$A$500=$C$1),--('2026'!$C$5:$C$500=$B31))+SUMPRODUCT(--('2026'!$A$5:$A$500=$C$1),--('2026'!$F$5:$F$500=$B31))+SUMPRODUCT(--('2026'!$A$5:$A$500=$C$1),--('2026'!$D$5:$D$500=$B31))+SUMPRODUCT(--('2026'!$A$5:$A$500=$C$1),--('2026'!$G$5:$G$500=$B31))</f>
        <v/>
      </c>
      <c r="D31" s="50">
        <f>SUMPRODUCT(--('2026'!$A$5:$A$500=$C$1),--('2026'!$I$5:$I$500=$B31))+SUMPRODUCT(--('2026'!$A$5:$A$500=$C$1),--('2026'!$J$5:$J$500=$B31))</f>
        <v/>
      </c>
      <c r="E31" s="50">
        <f>SUMPRODUCT(--('2026'!$A$5:$A$500=$E$1),--('2026'!$C$5:$C$500=$B31))+SUMPRODUCT(--('2026'!$A$5:$A$500=$E$1),--('2026'!$F$5:$F$500=$B31))+SUMPRODUCT(--('2026'!$A$5:$A$500=$E$1),--('2026'!$D$5:$D$500=$B31))+SUMPRODUCT(--('2026'!$A$5:$A$500=$E$1),--('2026'!$G$5:$G$500=$B31))</f>
        <v/>
      </c>
      <c r="F31" s="50">
        <f>SUMPRODUCT(--('2026'!$A$5:$A$500=$E$1),--('2026'!$I$5:$I$500=$B31))+SUMPRODUCT(--('2026'!$A$5:$A$500=$E$1),--('2026'!$J$5:$J$500=$B31))</f>
        <v/>
      </c>
      <c r="G31" s="50">
        <f>SUMPRODUCT(--('2026'!$A$5:$A$500=$G$1),--('2026'!$C$5:$C$500=$B31))+SUMPRODUCT(--('2026'!$A$5:$A$500=$G$1),--('2026'!$F$5:$F$500=$B31))+SUMPRODUCT(--('2026'!$A$5:$A$500=$G$1),--('2026'!$D$5:$D$500=$B31))+SUMPRODUCT(--('2026'!$A$5:$A$500=$G$1),--('2026'!$G$5:$G$500=$B31))</f>
        <v/>
      </c>
      <c r="H31" s="50">
        <f>SUMPRODUCT(--('2026'!$A$5:$A$500=$G$1),--('2026'!$I$5:$I$500=$B31))+SUMPRODUCT(--('2026'!$A$5:$A$500=$G$1),--('2026'!$J$5:$J$500=$B31))</f>
        <v/>
      </c>
      <c r="I31" s="50">
        <f>SUMPRODUCT(--('2026'!$A$5:$A$500=$I$1),--('2026'!$C$5:$C$500=$B31))+SUMPRODUCT(--('2026'!$A$5:$A$500=$I$1),--('2026'!$F$5:$F$500=$B31))+SUMPRODUCT(--('2026'!$A$5:$A$500=$I$1),--('2026'!$D$5:$D$500=$B31))+SUMPRODUCT(--('2026'!$A$5:$A$500=$I$1),--('2026'!$G$5:$G$500=$B31))</f>
        <v/>
      </c>
      <c r="J31" s="50">
        <f>SUMPRODUCT(--('2026'!$A$5:$A$500=$I$1),--('2026'!$I$5:$I$500=$B31))+SUMPRODUCT(--('2026'!$A$5:$A$500=$I$1),--('2026'!$J$5:$J$500=$B31))</f>
        <v/>
      </c>
      <c r="K31" s="50">
        <f>SUMPRODUCT(--('2026'!$A$5:$A$500=$K$1),--('2026'!$C$5:$C$500=$B31))+SUMPRODUCT(--('2026'!$A$5:$A$500=$K$1),--('2026'!$F$5:$F$500=$B31))+SUMPRODUCT(--('2026'!$A$5:$A$500=$K$1),--('2026'!$D$5:$D$500=$B31))+SUMPRODUCT(--('2026'!$A$5:$A$500=$K$1),--('2026'!$G$5:$G$500=$B31))</f>
        <v/>
      </c>
      <c r="L31" s="50">
        <f>SUMPRODUCT(--('2026'!$A$5:$A$500=$K$1),--('2026'!$I$5:$I$500=$B31))+SUMPRODUCT(--('2026'!$A$5:$A$500=$K$1),--('2026'!$J$5:$J$500=$B31))</f>
        <v/>
      </c>
      <c r="M31" s="50">
        <f>SUMPRODUCT(--('2026'!$A$5:$A$500=$M$1),--('2026'!$C$5:$C$500=$B31))+SUMPRODUCT(--('2026'!$A$5:$A$500=$M$1),--('2026'!$F$5:$F$500=$B31))+SUMPRODUCT(--('2026'!$A$5:$A$500=$M$1),--('2026'!$D$5:$D$500=$B31))+SUMPRODUCT(--('2026'!$A$5:$A$500=$M$1),--('2026'!$G$5:$G$500=$B31))</f>
        <v/>
      </c>
      <c r="N31" s="50">
        <f>SUMPRODUCT(--('2026'!$A$5:$A$500=$M$1),--('2026'!$I$5:$I$500=$B31))+SUMPRODUCT(--('2026'!$A$5:$A$500=$M$1),--('2026'!$J$5:$J$500=$B31))</f>
        <v/>
      </c>
      <c r="O31" s="50">
        <f>SUMPRODUCT(--('2026'!$A$5:$A$500=$O$1),--('2026'!$C$5:$C$500=$B31))+SUMPRODUCT(--('2026'!$A$5:$A$500=$O$1),--('2026'!$F$5:$F$500=$B31))+SUMPRODUCT(--('2026'!$A$5:$A$500=$O$1),--('2026'!$D$5:$D$500=$B31))+SUMPRODUCT(--('2026'!$A$5:$A$500=$O$1),--('2026'!$G$5:$G$500=$B31))</f>
        <v/>
      </c>
      <c r="P31" s="50">
        <f>SUMPRODUCT(--('2026'!$A$5:$A$500=$O$1),--('2026'!$I$5:$I$500=$B31))+SUMPRODUCT(--('2026'!$A$5:$A$500=$O$1),--('2026'!$J$5:$J$500=$B31))</f>
        <v/>
      </c>
      <c r="Q31" s="50">
        <f>SUMPRODUCT(--('2026'!$A$5:$A$500=$Q$1),--('2026'!$C$5:$C$500=$B31))+SUMPRODUCT(--('2026'!$A$5:$A$500=$Q$1),--('2026'!$F$5:$F$500=$B31))+SUMPRODUCT(--('2026'!$A$5:$A$500=$Q$1),--('2026'!$D$5:$D$500=$B31))+SUMPRODUCT(--('2026'!$A$5:$A$500=$Q$1),--('2026'!$G$5:$G$500=$B31))</f>
        <v/>
      </c>
      <c r="R31" s="50">
        <f>SUMPRODUCT(--('2026'!$A$5:$A$500=$Q$1),--('2026'!$I$5:$I$500=$B31))+SUMPRODUCT(--('2026'!$A$5:$A$500=$Q$1),--('2026'!$J$5:$J$500=$B31))</f>
        <v/>
      </c>
      <c r="S31" s="50">
        <f>SUMPRODUCT(--('2026'!$A$5:$A$500=$S$1),--('2026'!$C$5:$C$500=$B31))+SUMPRODUCT(--('2026'!$A$5:$A$500=$S$1),--('2026'!$F$5:$F$500=$B31))+SUMPRODUCT(--('2026'!$A$5:$A$500=$S$1),--('2026'!$D$5:$D$500=$B31))+SUMPRODUCT(--('2026'!$A$5:$A$500=$S$1),--('2026'!$G$5:$G$500=$B31))</f>
        <v/>
      </c>
      <c r="T31" s="50">
        <f>SUMPRODUCT(--('2026'!$A$5:$A$500=$S$1),--('2026'!$I$5:$I$500=$B31))+SUMPRODUCT(--('2026'!$A$5:$A$500=$S$1),--('2026'!$J$5:$J$500=$B31))</f>
        <v/>
      </c>
      <c r="U31" s="50">
        <f>SUMPRODUCT(--('2026'!$A$5:$A$500=$U$1),--('2026'!$C$5:$C$500=$B31))+SUMPRODUCT(--('2026'!$A$5:$A$500=$U$1),--('2026'!$F$5:$F$500=$B31))+SUMPRODUCT(--('2026'!$A$5:$A$500=$U$1),--('2026'!$D$5:$D$500=$B31))+SUMPRODUCT(--('2026'!$A$5:$A$500=$U$1),--('2026'!$G$5:$G$500=$B31))</f>
        <v/>
      </c>
      <c r="V31" s="50">
        <f>SUMPRODUCT(--('2026'!$A$5:$A$500=$U$1),--('2026'!$I$5:$I$500=$B31))+SUMPRODUCT(--('2026'!$A$5:$A$500=$U$1),--('2026'!$J$5:$J$500=$B31))</f>
        <v/>
      </c>
      <c r="W31" s="50">
        <f>SUMPRODUCT(--('2026'!$A$5:$A$500=$W$1),--('2026'!$C$5:$C$500=$B31))+SUMPRODUCT(--('2026'!$A$5:$A$500=$W$1),--('2026'!$F$5:$F$500=$B31))+SUMPRODUCT(--('2026'!$A$5:$A$500=$W$1),--('2026'!$D$5:$D$500=$B31))+SUMPRODUCT(--('2026'!$A$5:$A$500=$W$1),--('2026'!$G$5:$G$500=$B31))</f>
        <v/>
      </c>
      <c r="X31" s="50">
        <f>SUMPRODUCT(--('2026'!$A$5:$A$500=$W$1),--('2026'!$I$5:$I$500=$B31))+SUMPRODUCT(--('2026'!$A$5:$A$500=$W$1),--('2026'!$J$5:$J$500=$B31))</f>
        <v/>
      </c>
      <c r="Y31" s="51">
        <f>SUMPRODUCT(--('2026'!$A$5:$A$500=$Y$1),--('2026'!$C$5:$C$500=$B31))+SUMPRODUCT(--('2026'!$A$5:$A$500=$Y$1),--('2026'!$F$5:$F$500=$B31))+SUMPRODUCT(--('2026'!$A$5:$A$500=$Y$1),--('2026'!$D$5:$D$500=$B31))+SUMPRODUCT(--('2026'!$A$5:$A$500=$Y$1),--('2026'!$G$5:$G$500=$B31))</f>
        <v/>
      </c>
      <c r="Z31" s="51">
        <f>SUMPRODUCT(--('2026'!$A$5:$A$500=$Y$1),--('2026'!$I$5:$I$500=$B31))+SUMPRODUCT(--('2026'!$A$5:$A$500=$Y$1),--('2026'!$J$5:$J$500=$B31))</f>
        <v/>
      </c>
      <c r="AA31" s="51">
        <f>SUMPRODUCT(--('2026'!$A$5:$A$500=$AA$1),--('2026'!$C$5:$C$500=$B31))+SUMPRODUCT(--('2026'!$A$5:$A$500=$AA$1),--('2026'!$F$5:$F$500=$B31))+SUMPRODUCT(--('2026'!$A$5:$A$500=$AA$1),--('2026'!$D$5:$D$500=$B31))+SUMPRODUCT(--('2026'!$A$5:$A$500=$AA$1),--('2026'!$G$5:$G$500=$B31))</f>
        <v/>
      </c>
      <c r="AB31" s="51">
        <f>SUMPRODUCT(--('2026'!$A$5:$A$500=$AA$1),--('2026'!$I$5:$I$500=$B31))+SUMPRODUCT(--('2026'!$A$5:$A$500=$AA$1),--('2026'!$J$5:$J$500=$B31))</f>
        <v/>
      </c>
      <c r="AC31" s="51">
        <f>SUMPRODUCT(--('2026'!$A$5:$A$500=$AC$1),--('2026'!$C$5:$C$500=$B31))+SUMPRODUCT(--('2026'!$A$5:$A$500=$AC$1),--('2026'!$F$5:$F$500=$B31))+SUMPRODUCT(--('2026'!$A$5:$A$500=$AC$1),--('2026'!$D$5:$D$500=$B31))+SUMPRODUCT(--('2026'!$A$5:$A$500=$AC$1),--('2026'!$G$5:$G$500=$B31))</f>
        <v/>
      </c>
      <c r="AD31" s="51">
        <f>SUMPRODUCT(--('2026'!$A$5:$A$500=$AC$1),--('2026'!$I$5:$I$500=$B31))+SUMPRODUCT(--('2026'!$A$5:$A$500=$AC$1),--('2026'!$J$5:$J$500=$B31))</f>
        <v/>
      </c>
      <c r="AE31" s="61">
        <f>SUMPRODUCT(--('2026'!$A$5:$A$500=$AE$1),--('2026'!$C$5:$C$500=$B31))+SUMPRODUCT(--('2026'!$A$5:$A$500=$AE$1),--('2026'!$F$5:$F$500=$B31))+SUMPRODUCT(--('2026'!$A$5:$A$500=$AE$1),--('2026'!$D$5:$D$500=$B31))+SUMPRODUCT(--('2026'!$A$5:$A$500=$AE$1),--('2026'!$G$5:$G$500=$B31))</f>
        <v/>
      </c>
      <c r="AF31" s="61">
        <f>SUMPRODUCT(--('2026'!$A$5:$A$500=$AE$1),--('2026'!$I$5:$I$500=$B31))+SUMPRODUCT(--('2026'!$A$5:$A$500=$AE$1),--('2026'!$J$5:$J$500=$B31))</f>
        <v/>
      </c>
      <c r="AG31" s="51">
        <f>SUMPRODUCT(--('2026'!$A$5:$A$500=$AG$1),--('2026'!$C$5:$C$500=$B31))+SUMPRODUCT(--('2026'!$A$5:$A$500=$AG$1),--('2026'!$F$5:$F$500=$B31))+SUMPRODUCT(--('2026'!$A$5:$A$500=$AG$1),--('2026'!$D$5:$D$500=$B31))+SUMPRODUCT(--('2026'!$A$5:$A$500=$AG$1),--('2026'!$G$5:$G$500=$B31))</f>
        <v/>
      </c>
      <c r="AH31" s="51">
        <f>SUMPRODUCT(--('2026'!$A$5:$A$500=$AG$1),--('2026'!$I$5:$I$500=$B31))+SUMPRODUCT(--('2026'!$A$5:$A$500=$AG$1),--('2026'!$J$5:$J$500=$B31))</f>
        <v/>
      </c>
      <c r="AI31" s="51">
        <f>SUMPRODUCT(--('2026'!$A$5:$A$500=$AI$1),--('2026'!$C$5:$C$500=$B31))+SUMPRODUCT(--('2026'!$A$5:$A$500=$AI$1),--('2026'!$F$5:$F$500=$B31))+SUMPRODUCT(--('2026'!$A$5:$A$500=$AI$1),--('2026'!$D$5:$D$500=$B31))+SUMPRODUCT(--('2026'!$A$5:$A$500=$AI$1),--('2026'!$G$5:$G$500=$B31))</f>
        <v/>
      </c>
      <c r="AJ31" s="51">
        <f>SUMPRODUCT(--('2026'!$A$5:$A$500=$AI$1),--('2026'!$I$5:$I$500=$B31))+SUMPRODUCT(--('2026'!$A$5:$A$500=$AI$1),--('2026'!$J$5:$J$500=$B31))</f>
        <v/>
      </c>
      <c r="AK31" s="51">
        <f>SUMPRODUCT(--('2026'!$A$5:$A$500=$AK$1),--('2026'!$C$5:$C$500=$B31))+SUMPRODUCT(--('2026'!$A$5:$A$500=$AK$1),--('2026'!$F$5:$F$500=$B31))+SUMPRODUCT(--('2026'!$A$5:$A$500=$AK$1),--('2026'!$D$5:$D$500=$B31))+SUMPRODUCT(--('2026'!$A$5:$A$500=$AK$1),--('2026'!$G$5:$G$500=$B31))</f>
        <v/>
      </c>
      <c r="AL31" s="51">
        <f>SUMPRODUCT(--('2026'!$A$5:$A$500=$AK$1),--('2026'!$I$5:$I$500=$B31))+SUMPRODUCT(--('2026'!$A$5:$A$500=$AK$1),--('2026'!$J$5:$J$500=$B31))</f>
        <v/>
      </c>
      <c r="AM31" s="51">
        <f>SUMPRODUCT(--('2026'!$A$5:$A$500=$AM$1),--('2026'!$C$5:$C$500=$B31))+SUMPRODUCT(--('2026'!$A$5:$A$500=$AM$1),--('2026'!$F$5:$F$500=$B31))+SUMPRODUCT(--('2026'!$A$5:$A$500=$AM$1),--('2026'!$D$5:$D$500=$B31))+SUMPRODUCT(--('2026'!$A$5:$A$500=$AM$1),--('2026'!$G$5:$G$500=$B31))</f>
        <v/>
      </c>
      <c r="AN31" s="51">
        <f>SUMPRODUCT(--('2026'!$A$5:$A$500=$AM$1),--('2026'!$I$5:$I$500=$B31))+SUMPRODUCT(--('2026'!$A$5:$A$500=$AM$1),--('2026'!$J$5:$J$500=$B31))</f>
        <v/>
      </c>
      <c r="AO31" s="51">
        <f>SUMPRODUCT(--('2026'!$A$5:$A$500=$AO$1),--('2026'!$C$5:$C$500=$B31))+SUMPRODUCT(--('2026'!$A$5:$A$500=$AO$1),--('2026'!$F$5:$F$500=$B31))+SUMPRODUCT(--('2026'!$A$5:$A$500=$AO$1),--('2026'!$D$5:$D$500=$B31))+SUMPRODUCT(--('2026'!$A$5:$A$500=$AO$1),--('2026'!$G$5:$G$500=$B31))</f>
        <v/>
      </c>
      <c r="AP31" s="51">
        <f>SUMPRODUCT(--('2026'!$A$5:$A$500=$AO$1),--('2026'!$I$5:$I$500=$B31))+SUMPRODUCT(--('2026'!$A$5:$A$500=$AO$1),--('2026'!$J$5:$J$500=$B31))</f>
        <v/>
      </c>
      <c r="AQ31" s="51">
        <f>SUMPRODUCT(--('2026'!$A$5:$A$500=$AQ$1),--('2026'!$C$5:$C$500=$B31))+SUMPRODUCT(--('2026'!$A$5:$A$500=$AQ$1),--('2026'!$F$5:$F$500=$B31))+SUMPRODUCT(--('2026'!$A$5:$A$500=$AQ$1),--('2026'!$D$5:$D$500=$B31))+SUMPRODUCT(--('2026'!$A$5:$A$500=$AQ$1),--('2026'!$G$5:$G$500=$B31))</f>
        <v/>
      </c>
      <c r="AR31" s="51">
        <f>SUMPRODUCT(--('2026'!$A$5:$A$500=$AQ$1),--('2026'!$I$5:$I$500=$B31))+SUMPRODUCT(--('2026'!$A$5:$A$500=$AQ$1),--('2026'!$J$5:$J$500=$B31))</f>
        <v/>
      </c>
      <c r="AS31" s="51">
        <f>SUMPRODUCT(--('2026'!$A$5:$A$500=$AS$1),--('2026'!$C$5:$C$500=$B31))+SUMPRODUCT(--('2026'!$A$5:$A$500=$AS$1),--('2026'!$F$5:$F$500=$B31))+SUMPRODUCT(--('2026'!$A$5:$A$500=$AS$1),--('2026'!$D$5:$D$500=$B31))+SUMPRODUCT(--('2026'!$A$5:$A$500=$AS$1),--('2026'!$G$5:$G$500=$B31))</f>
        <v/>
      </c>
      <c r="AT31" s="51">
        <f>SUMPRODUCT(--('2026'!$A$5:$A$500=$AS$1),--('2026'!$I$5:$I$500=$B31))+SUMPRODUCT(--('2026'!$A$5:$A$500=$AS$1),--('2026'!$J$5:$J$500=$B31))</f>
        <v/>
      </c>
      <c r="AU31" s="51">
        <f>SUMPRODUCT(--('2026'!$A$5:$A$500=$AU$1),--('2026'!$C$5:$C$500=$B31))+SUMPRODUCT(--('2026'!$A$5:$A$500=$AU$1),--('2026'!$F$5:$F$500=$B31))+SUMPRODUCT(--('2026'!$A$5:$A$500=$AU$1),--('2026'!$D$5:$D$500=$B31))+SUMPRODUCT(--('2026'!$A$5:$A$500=$AU$1),--('2026'!$G$5:$G$500=$B31))</f>
        <v/>
      </c>
      <c r="AV31" s="51">
        <f>SUMPRODUCT(--('2026'!$A$5:$A$500=$AU$1),--('2026'!$I$5:$I$500=$B31))+SUMPRODUCT(--('2026'!$A$5:$A$500=$AU$1),--('2026'!$J$5:$J$500=$B31))</f>
        <v/>
      </c>
      <c r="AW31" s="51">
        <f>SUMPRODUCT(--('2026'!$A$5:$A$500=$AW$1),--('2026'!$C$5:$C$500=$B31))+SUMPRODUCT(--('2026'!$A$5:$A$500=$AW$1),--('2026'!$F$5:$F$500=$B31))+SUMPRODUCT(--('2026'!$A$5:$A$500=$AW$1),--('2026'!$D$5:$D$500=$B31))+SUMPRODUCT(--('2026'!$A$5:$A$500=$AW$1),--('2026'!$G$5:$G$500=$B31))</f>
        <v/>
      </c>
      <c r="AX31" s="51">
        <f>SUMPRODUCT(--('2026'!$A$5:$A$500=$AW$1),--('2026'!$I$5:$I$500=$B31))+SUMPRODUCT(--('2026'!$A$5:$A$500=$AW$1),--('2026'!$J$5:$J$500=$B31))</f>
        <v/>
      </c>
      <c r="BA31" s="54" t="inlineStr">
        <is>
          <t>Asim</t>
        </is>
      </c>
      <c r="BB31" s="47">
        <f>IF(ISODD(COUNTIF(C31:AX31,"&gt;0")),COUNTIF(C31:AX31,"&gt;0")+1,COUNTIF(C31:AX31,"&gt;0"))/2</f>
        <v/>
      </c>
      <c r="BC31" s="52">
        <f>BB31/15</f>
        <v/>
      </c>
    </row>
    <row r="32" ht="15" customHeight="1" s="106">
      <c r="A32" t="n">
        <v>30</v>
      </c>
      <c r="B32" s="54" t="inlineStr">
        <is>
          <t>Kalyan</t>
        </is>
      </c>
      <c r="C32" s="50">
        <f>SUMPRODUCT(--('2026'!$A$5:$A$500=$C$1),--('2026'!$C$5:$C$500=$B32))+SUMPRODUCT(--('2026'!$A$5:$A$500=$C$1),--('2026'!$F$5:$F$500=$B32))+SUMPRODUCT(--('2026'!$A$5:$A$500=$C$1),--('2026'!$D$5:$D$500=$B32))+SUMPRODUCT(--('2026'!$A$5:$A$500=$C$1),--('2026'!$G$5:$G$500=$B32))</f>
        <v/>
      </c>
      <c r="D32" s="50">
        <f>SUMPRODUCT(--('2026'!$A$5:$A$500=$C$1),--('2026'!$I$5:$I$500=$B32))+SUMPRODUCT(--('2026'!$A$5:$A$500=$C$1),--('2026'!$J$5:$J$500=$B32))</f>
        <v/>
      </c>
      <c r="E32" s="50">
        <f>SUMPRODUCT(--('2026'!$A$5:$A$500=$E$1),--('2026'!$C$5:$C$500=$B32))+SUMPRODUCT(--('2026'!$A$5:$A$500=$E$1),--('2026'!$F$5:$F$500=$B32))+SUMPRODUCT(--('2026'!$A$5:$A$500=$E$1),--('2026'!$D$5:$D$500=$B32))+SUMPRODUCT(--('2026'!$A$5:$A$500=$E$1),--('2026'!$G$5:$G$500=$B32))</f>
        <v/>
      </c>
      <c r="F32" s="50">
        <f>SUMPRODUCT(--('2026'!$A$5:$A$500=$E$1),--('2026'!$I$5:$I$500=$B32))+SUMPRODUCT(--('2026'!$A$5:$A$500=$E$1),--('2026'!$J$5:$J$500=$B32))</f>
        <v/>
      </c>
      <c r="G32" s="50">
        <f>SUMPRODUCT(--('2026'!$A$5:$A$500=$G$1),--('2026'!$C$5:$C$500=$B32))+SUMPRODUCT(--('2026'!$A$5:$A$500=$G$1),--('2026'!$F$5:$F$500=$B32))+SUMPRODUCT(--('2026'!$A$5:$A$500=$G$1),--('2026'!$D$5:$D$500=$B32))+SUMPRODUCT(--('2026'!$A$5:$A$500=$G$1),--('2026'!$G$5:$G$500=$B32))</f>
        <v/>
      </c>
      <c r="H32" s="50">
        <f>SUMPRODUCT(--('2026'!$A$5:$A$500=$G$1),--('2026'!$I$5:$I$500=$B32))+SUMPRODUCT(--('2026'!$A$5:$A$500=$G$1),--('2026'!$J$5:$J$500=$B32))</f>
        <v/>
      </c>
      <c r="I32" s="50">
        <f>SUMPRODUCT(--('2026'!$A$5:$A$500=$I$1),--('2026'!$C$5:$C$500=$B32))+SUMPRODUCT(--('2026'!$A$5:$A$500=$I$1),--('2026'!$F$5:$F$500=$B32))+SUMPRODUCT(--('2026'!$A$5:$A$500=$I$1),--('2026'!$D$5:$D$500=$B32))+SUMPRODUCT(--('2026'!$A$5:$A$500=$I$1),--('2026'!$G$5:$G$500=$B32))</f>
        <v/>
      </c>
      <c r="J32" s="50">
        <f>SUMPRODUCT(--('2026'!$A$5:$A$500=$I$1),--('2026'!$I$5:$I$500=$B32))+SUMPRODUCT(--('2026'!$A$5:$A$500=$I$1),--('2026'!$J$5:$J$500=$B32))</f>
        <v/>
      </c>
      <c r="K32" s="50">
        <f>SUMPRODUCT(--('2026'!$A$5:$A$500=$K$1),--('2026'!$C$5:$C$500=$B32))+SUMPRODUCT(--('2026'!$A$5:$A$500=$K$1),--('2026'!$F$5:$F$500=$B32))+SUMPRODUCT(--('2026'!$A$5:$A$500=$K$1),--('2026'!$D$5:$D$500=$B32))+SUMPRODUCT(--('2026'!$A$5:$A$500=$K$1),--('2026'!$G$5:$G$500=$B32))</f>
        <v/>
      </c>
      <c r="L32" s="50">
        <f>SUMPRODUCT(--('2026'!$A$5:$A$500=$K$1),--('2026'!$I$5:$I$500=$B32))+SUMPRODUCT(--('2026'!$A$5:$A$500=$K$1),--('2026'!$J$5:$J$500=$B32))</f>
        <v/>
      </c>
      <c r="M32" s="50">
        <f>SUMPRODUCT(--('2026'!$A$5:$A$500=$M$1),--('2026'!$C$5:$C$500=$B32))+SUMPRODUCT(--('2026'!$A$5:$A$500=$M$1),--('2026'!$F$5:$F$500=$B32))+SUMPRODUCT(--('2026'!$A$5:$A$500=$M$1),--('2026'!$D$5:$D$500=$B32))+SUMPRODUCT(--('2026'!$A$5:$A$500=$M$1),--('2026'!$G$5:$G$500=$B32))</f>
        <v/>
      </c>
      <c r="N32" s="50">
        <f>SUMPRODUCT(--('2026'!$A$5:$A$500=$M$1),--('2026'!$I$5:$I$500=$B32))+SUMPRODUCT(--('2026'!$A$5:$A$500=$M$1),--('2026'!$J$5:$J$500=$B32))</f>
        <v/>
      </c>
      <c r="O32" s="50">
        <f>SUMPRODUCT(--('2026'!$A$5:$A$500=$O$1),--('2026'!$C$5:$C$500=$B32))+SUMPRODUCT(--('2026'!$A$5:$A$500=$O$1),--('2026'!$F$5:$F$500=$B32))+SUMPRODUCT(--('2026'!$A$5:$A$500=$O$1),--('2026'!$D$5:$D$500=$B32))+SUMPRODUCT(--('2026'!$A$5:$A$500=$O$1),--('2026'!$G$5:$G$500=$B32))</f>
        <v/>
      </c>
      <c r="P32" s="50">
        <f>SUMPRODUCT(--('2026'!$A$5:$A$500=$O$1),--('2026'!$I$5:$I$500=$B32))+SUMPRODUCT(--('2026'!$A$5:$A$500=$O$1),--('2026'!$J$5:$J$500=$B32))</f>
        <v/>
      </c>
      <c r="Q32" s="50">
        <f>SUMPRODUCT(--('2026'!$A$5:$A$500=$Q$1),--('2026'!$C$5:$C$500=$B32))+SUMPRODUCT(--('2026'!$A$5:$A$500=$Q$1),--('2026'!$F$5:$F$500=$B32))+SUMPRODUCT(--('2026'!$A$5:$A$500=$Q$1),--('2026'!$D$5:$D$500=$B32))+SUMPRODUCT(--('2026'!$A$5:$A$500=$Q$1),--('2026'!$G$5:$G$500=$B32))</f>
        <v/>
      </c>
      <c r="R32" s="50">
        <f>SUMPRODUCT(--('2026'!$A$5:$A$500=$Q$1),--('2026'!$I$5:$I$500=$B32))+SUMPRODUCT(--('2026'!$A$5:$A$500=$Q$1),--('2026'!$J$5:$J$500=$B32))</f>
        <v/>
      </c>
      <c r="S32" s="50">
        <f>SUMPRODUCT(--('2026'!$A$5:$A$500=$S$1),--('2026'!$C$5:$C$500=$B32))+SUMPRODUCT(--('2026'!$A$5:$A$500=$S$1),--('2026'!$F$5:$F$500=$B32))+SUMPRODUCT(--('2026'!$A$5:$A$500=$S$1),--('2026'!$D$5:$D$500=$B32))+SUMPRODUCT(--('2026'!$A$5:$A$500=$S$1),--('2026'!$G$5:$G$500=$B32))</f>
        <v/>
      </c>
      <c r="T32" s="50">
        <f>SUMPRODUCT(--('2026'!$A$5:$A$500=$S$1),--('2026'!$I$5:$I$500=$B32))+SUMPRODUCT(--('2026'!$A$5:$A$500=$S$1),--('2026'!$J$5:$J$500=$B32))</f>
        <v/>
      </c>
      <c r="U32" s="50">
        <f>SUMPRODUCT(--('2026'!$A$5:$A$500=$U$1),--('2026'!$C$5:$C$500=$B32))+SUMPRODUCT(--('2026'!$A$5:$A$500=$U$1),--('2026'!$F$5:$F$500=$B32))+SUMPRODUCT(--('2026'!$A$5:$A$500=$U$1),--('2026'!$D$5:$D$500=$B32))+SUMPRODUCT(--('2026'!$A$5:$A$500=$U$1),--('2026'!$G$5:$G$500=$B32))</f>
        <v/>
      </c>
      <c r="V32" s="50">
        <f>SUMPRODUCT(--('2026'!$A$5:$A$500=$U$1),--('2026'!$I$5:$I$500=$B32))+SUMPRODUCT(--('2026'!$A$5:$A$500=$U$1),--('2026'!$J$5:$J$500=$B32))</f>
        <v/>
      </c>
      <c r="W32" s="50">
        <f>SUMPRODUCT(--('2026'!$A$5:$A$500=$W$1),--('2026'!$C$5:$C$500=$B32))+SUMPRODUCT(--('2026'!$A$5:$A$500=$W$1),--('2026'!$F$5:$F$500=$B32))+SUMPRODUCT(--('2026'!$A$5:$A$500=$W$1),--('2026'!$D$5:$D$500=$B32))+SUMPRODUCT(--('2026'!$A$5:$A$500=$W$1),--('2026'!$G$5:$G$500=$B32))</f>
        <v/>
      </c>
      <c r="X32" s="50">
        <f>SUMPRODUCT(--('2026'!$A$5:$A$500=$W$1),--('2026'!$I$5:$I$500=$B32))+SUMPRODUCT(--('2026'!$A$5:$A$500=$W$1),--('2026'!$J$5:$J$500=$B32))</f>
        <v/>
      </c>
      <c r="Y32" s="50">
        <f>SUMPRODUCT(--('2026'!$A$5:$A$500=$Y$1),--('2026'!$C$5:$C$500=$B32))+SUMPRODUCT(--('2026'!$A$5:$A$500=$Y$1),--('2026'!$F$5:$F$500=$B32))+SUMPRODUCT(--('2026'!$A$5:$A$500=$Y$1),--('2026'!$D$5:$D$500=$B32))+SUMPRODUCT(--('2026'!$A$5:$A$500=$Y$1),--('2026'!$G$5:$G$500=$B32))</f>
        <v/>
      </c>
      <c r="Z32" s="50">
        <f>SUMPRODUCT(--('2026'!$A$5:$A$500=$Y$1),--('2026'!$I$5:$I$500=$B32))+SUMPRODUCT(--('2026'!$A$5:$A$500=$Y$1),--('2026'!$J$5:$J$500=$B32))</f>
        <v/>
      </c>
      <c r="AA32" s="50">
        <f>SUMPRODUCT(--('2026'!$A$5:$A$500=$AA$1),--('2026'!$C$5:$C$500=$B32))+SUMPRODUCT(--('2026'!$A$5:$A$500=$AA$1),--('2026'!$F$5:$F$500=$B32))+SUMPRODUCT(--('2026'!$A$5:$A$500=$AA$1),--('2026'!$D$5:$D$500=$B32))+SUMPRODUCT(--('2026'!$A$5:$A$500=$AA$1),--('2026'!$G$5:$G$500=$B32))</f>
        <v/>
      </c>
      <c r="AB32" s="50">
        <f>SUMPRODUCT(--('2026'!$A$5:$A$500=$AA$1),--('2026'!$I$5:$I$500=$B32))+SUMPRODUCT(--('2026'!$A$5:$A$500=$AA$1),--('2026'!$J$5:$J$500=$B32))</f>
        <v/>
      </c>
      <c r="AC32" s="50">
        <f>SUMPRODUCT(--('2026'!$A$5:$A$500=$AC$1),--('2026'!$C$5:$C$500=$B32))+SUMPRODUCT(--('2026'!$A$5:$A$500=$AC$1),--('2026'!$F$5:$F$500=$B32))+SUMPRODUCT(--('2026'!$A$5:$A$500=$AC$1),--('2026'!$D$5:$D$500=$B32))+SUMPRODUCT(--('2026'!$A$5:$A$500=$AC$1),--('2026'!$G$5:$G$500=$B32))</f>
        <v/>
      </c>
      <c r="AD32" s="50">
        <f>SUMPRODUCT(--('2026'!$A$5:$A$500=$AC$1),--('2026'!$I$5:$I$500=$B32))+SUMPRODUCT(--('2026'!$A$5:$A$500=$AC$1),--('2026'!$J$5:$J$500=$B32))</f>
        <v/>
      </c>
      <c r="AE32" s="60">
        <f>SUMPRODUCT(--('2026'!$A$5:$A$500=$AE$1),--('2026'!$C$5:$C$500=$B32))+SUMPRODUCT(--('2026'!$A$5:$A$500=$AE$1),--('2026'!$F$5:$F$500=$B32))+SUMPRODUCT(--('2026'!$A$5:$A$500=$AE$1),--('2026'!$D$5:$D$500=$B32))+SUMPRODUCT(--('2026'!$A$5:$A$500=$AE$1),--('2026'!$G$5:$G$500=$B32))</f>
        <v/>
      </c>
      <c r="AF32" s="60">
        <f>SUMPRODUCT(--('2026'!$A$5:$A$500=$AE$1),--('2026'!$I$5:$I$500=$B32))+SUMPRODUCT(--('2026'!$A$5:$A$500=$AE$1),--('2026'!$J$5:$J$500=$B32))</f>
        <v/>
      </c>
      <c r="AG32" s="50">
        <f>SUMPRODUCT(--('2026'!$A$5:$A$500=$AG$1),--('2026'!$C$5:$C$500=$B32))+SUMPRODUCT(--('2026'!$A$5:$A$500=$AG$1),--('2026'!$F$5:$F$500=$B32))+SUMPRODUCT(--('2026'!$A$5:$A$500=$AG$1),--('2026'!$D$5:$D$500=$B32))+SUMPRODUCT(--('2026'!$A$5:$A$500=$AG$1),--('2026'!$G$5:$G$500=$B32))</f>
        <v/>
      </c>
      <c r="AH32" s="50">
        <f>SUMPRODUCT(--('2026'!$A$5:$A$500=$AG$1),--('2026'!$I$5:$I$500=$B32))+SUMPRODUCT(--('2026'!$A$5:$A$500=$AG$1),--('2026'!$J$5:$J$500=$B32))</f>
        <v/>
      </c>
      <c r="AI32" s="50">
        <f>SUMPRODUCT(--('2026'!$A$5:$A$500=$AI$1),--('2026'!$C$5:$C$500=$B32))+SUMPRODUCT(--('2026'!$A$5:$A$500=$AI$1),--('2026'!$F$5:$F$500=$B32))+SUMPRODUCT(--('2026'!$A$5:$A$500=$AI$1),--('2026'!$D$5:$D$500=$B32))+SUMPRODUCT(--('2026'!$A$5:$A$500=$AI$1),--('2026'!$G$5:$G$500=$B32))</f>
        <v/>
      </c>
      <c r="AJ32" s="50">
        <f>SUMPRODUCT(--('2026'!$A$5:$A$500=$AI$1),--('2026'!$I$5:$I$500=$B32))+SUMPRODUCT(--('2026'!$A$5:$A$500=$AI$1),--('2026'!$J$5:$J$500=$B32))</f>
        <v/>
      </c>
      <c r="AK32" s="50">
        <f>SUMPRODUCT(--('2026'!$A$5:$A$500=$AK$1),--('2026'!$C$5:$C$500=$B32))+SUMPRODUCT(--('2026'!$A$5:$A$500=$AK$1),--('2026'!$F$5:$F$500=$B32))+SUMPRODUCT(--('2026'!$A$5:$A$500=$AK$1),--('2026'!$D$5:$D$500=$B32))+SUMPRODUCT(--('2026'!$A$5:$A$500=$AK$1),--('2026'!$G$5:$G$500=$B32))</f>
        <v/>
      </c>
      <c r="AL32" s="50">
        <f>SUMPRODUCT(--('2026'!$A$5:$A$500=$AK$1),--('2026'!$I$5:$I$500=$B32))+SUMPRODUCT(--('2026'!$A$5:$A$500=$AK$1),--('2026'!$J$5:$J$500=$B32))</f>
        <v/>
      </c>
      <c r="AM32" s="50">
        <f>SUMPRODUCT(--('2026'!$A$5:$A$500=$AM$1),--('2026'!$C$5:$C$500=$B32))+SUMPRODUCT(--('2026'!$A$5:$A$500=$AM$1),--('2026'!$F$5:$F$500=$B32))+SUMPRODUCT(--('2026'!$A$5:$A$500=$AM$1),--('2026'!$D$5:$D$500=$B32))+SUMPRODUCT(--('2026'!$A$5:$A$500=$AM$1),--('2026'!$G$5:$G$500=$B32))</f>
        <v/>
      </c>
      <c r="AN32" s="50">
        <f>SUMPRODUCT(--('2026'!$A$5:$A$500=$AM$1),--('2026'!$I$5:$I$500=$B32))+SUMPRODUCT(--('2026'!$A$5:$A$500=$AM$1),--('2026'!$J$5:$J$500=$B32))</f>
        <v/>
      </c>
      <c r="AO32" s="50">
        <f>SUMPRODUCT(--('2026'!$A$5:$A$500=$AO$1),--('2026'!$C$5:$C$500=$B32))+SUMPRODUCT(--('2026'!$A$5:$A$500=$AO$1),--('2026'!$F$5:$F$500=$B32))+SUMPRODUCT(--('2026'!$A$5:$A$500=$AO$1),--('2026'!$D$5:$D$500=$B32))+SUMPRODUCT(--('2026'!$A$5:$A$500=$AO$1),--('2026'!$G$5:$G$500=$B32))</f>
        <v/>
      </c>
      <c r="AP32" s="50">
        <f>SUMPRODUCT(--('2026'!$A$5:$A$500=$AO$1),--('2026'!$I$5:$I$500=$B32))+SUMPRODUCT(--('2026'!$A$5:$A$500=$AO$1),--('2026'!$J$5:$J$500=$B32))</f>
        <v/>
      </c>
      <c r="AQ32" s="50">
        <f>SUMPRODUCT(--('2026'!$A$5:$A$500=$AQ$1),--('2026'!$C$5:$C$500=$B32))+SUMPRODUCT(--('2026'!$A$5:$A$500=$AQ$1),--('2026'!$F$5:$F$500=$B32))+SUMPRODUCT(--('2026'!$A$5:$A$500=$AQ$1),--('2026'!$D$5:$D$500=$B32))+SUMPRODUCT(--('2026'!$A$5:$A$500=$AQ$1),--('2026'!$G$5:$G$500=$B32))</f>
        <v/>
      </c>
      <c r="AR32" s="50">
        <f>SUMPRODUCT(--('2026'!$A$5:$A$500=$AQ$1),--('2026'!$I$5:$I$500=$B32))+SUMPRODUCT(--('2026'!$A$5:$A$500=$AQ$1),--('2026'!$J$5:$J$500=$B32))</f>
        <v/>
      </c>
      <c r="AS32" s="50">
        <f>SUMPRODUCT(--('2026'!$A$5:$A$500=$AS$1),--('2026'!$C$5:$C$500=$B32))+SUMPRODUCT(--('2026'!$A$5:$A$500=$AS$1),--('2026'!$F$5:$F$500=$B32))+SUMPRODUCT(--('2026'!$A$5:$A$500=$AS$1),--('2026'!$D$5:$D$500=$B32))+SUMPRODUCT(--('2026'!$A$5:$A$500=$AS$1),--('2026'!$G$5:$G$500=$B32))</f>
        <v/>
      </c>
      <c r="AT32" s="50">
        <f>SUMPRODUCT(--('2026'!$A$5:$A$500=$AS$1),--('2026'!$I$5:$I$500=$B32))+SUMPRODUCT(--('2026'!$A$5:$A$500=$AS$1),--('2026'!$J$5:$J$500=$B32))</f>
        <v/>
      </c>
      <c r="AU32" s="50">
        <f>SUMPRODUCT(--('2026'!$A$5:$A$500=$AU$1),--('2026'!$C$5:$C$500=$B32))+SUMPRODUCT(--('2026'!$A$5:$A$500=$AU$1),--('2026'!$F$5:$F$500=$B32))+SUMPRODUCT(--('2026'!$A$5:$A$500=$AU$1),--('2026'!$D$5:$D$500=$B32))+SUMPRODUCT(--('2026'!$A$5:$A$500=$AU$1),--('2026'!$G$5:$G$500=$B32))</f>
        <v/>
      </c>
      <c r="AV32" s="50">
        <f>SUMPRODUCT(--('2026'!$A$5:$A$500=$AU$1),--('2026'!$I$5:$I$500=$B32))+SUMPRODUCT(--('2026'!$A$5:$A$500=$AU$1),--('2026'!$J$5:$J$500=$B32))</f>
        <v/>
      </c>
      <c r="AW32" s="50">
        <f>SUMPRODUCT(--('2026'!$A$5:$A$500=$AW$1),--('2026'!$C$5:$C$500=$B32))+SUMPRODUCT(--('2026'!$A$5:$A$500=$AW$1),--('2026'!$F$5:$F$500=$B32))+SUMPRODUCT(--('2026'!$A$5:$A$500=$AW$1),--('2026'!$D$5:$D$500=$B32))+SUMPRODUCT(--('2026'!$A$5:$A$500=$AW$1),--('2026'!$G$5:$G$500=$B32))</f>
        <v/>
      </c>
      <c r="AX32" s="50">
        <f>SUMPRODUCT(--('2026'!$A$5:$A$500=$AW$1),--('2026'!$I$5:$I$500=$B32))+SUMPRODUCT(--('2026'!$A$5:$A$500=$AW$1),--('2026'!$J$5:$J$500=$B32))</f>
        <v/>
      </c>
      <c r="BA32" s="54" t="inlineStr">
        <is>
          <t>Kalyan</t>
        </is>
      </c>
      <c r="BB32" s="47">
        <f>IF(ISODD(COUNTIF(C32:AX32,"&gt;0")),COUNTIF(C32:AX32,"&gt;0")+1,COUNTIF(C32:AX32,"&gt;0"))/2</f>
        <v/>
      </c>
      <c r="BC32" s="52">
        <f>BB32/15</f>
        <v/>
      </c>
    </row>
    <row r="33" ht="15" customHeight="1" s="106">
      <c r="A33" t="n">
        <v>31</v>
      </c>
      <c r="B33" s="54" t="inlineStr">
        <is>
          <t>Mansoor</t>
        </is>
      </c>
      <c r="C33" s="50">
        <f>SUMPRODUCT(--('2026'!$A$5:$A$500=$C$1),--('2026'!$C$5:$C$500=$B33))+SUMPRODUCT(--('2026'!$A$5:$A$500=$C$1),--('2026'!$F$5:$F$500=$B33))+SUMPRODUCT(--('2026'!$A$5:$A$500=$C$1),--('2026'!$D$5:$D$500=$B33))+SUMPRODUCT(--('2026'!$A$5:$A$500=$C$1),--('2026'!$G$5:$G$500=$B33))</f>
        <v/>
      </c>
      <c r="D33" s="50">
        <f>SUMPRODUCT(--('2026'!$A$5:$A$500=$C$1),--('2026'!$I$5:$I$500=$B33))+SUMPRODUCT(--('2026'!$A$5:$A$500=$C$1),--('2026'!$J$5:$J$500=$B33))</f>
        <v/>
      </c>
      <c r="E33" s="50">
        <f>SUMPRODUCT(--('2026'!$A$5:$A$500=$E$1),--('2026'!$C$5:$C$500=$B33))+SUMPRODUCT(--('2026'!$A$5:$A$500=$E$1),--('2026'!$F$5:$F$500=$B33))+SUMPRODUCT(--('2026'!$A$5:$A$500=$E$1),--('2026'!$D$5:$D$500=$B33))+SUMPRODUCT(--('2026'!$A$5:$A$500=$E$1),--('2026'!$G$5:$G$500=$B33))</f>
        <v/>
      </c>
      <c r="F33" s="50">
        <f>SUMPRODUCT(--('2026'!$A$5:$A$500=$E$1),--('2026'!$I$5:$I$500=$B33))+SUMPRODUCT(--('2026'!$A$5:$A$500=$E$1),--('2026'!$J$5:$J$500=$B33))</f>
        <v/>
      </c>
      <c r="G33" s="50">
        <f>SUMPRODUCT(--('2026'!$A$5:$A$500=$G$1),--('2026'!$C$5:$C$500=$B33))+SUMPRODUCT(--('2026'!$A$5:$A$500=$G$1),--('2026'!$F$5:$F$500=$B33))+SUMPRODUCT(--('2026'!$A$5:$A$500=$G$1),--('2026'!$D$5:$D$500=$B33))+SUMPRODUCT(--('2026'!$A$5:$A$500=$G$1),--('2026'!$G$5:$G$500=$B33))</f>
        <v/>
      </c>
      <c r="H33" s="50">
        <f>SUMPRODUCT(--('2026'!$A$5:$A$500=$G$1),--('2026'!$I$5:$I$500=$B33))+SUMPRODUCT(--('2026'!$A$5:$A$500=$G$1),--('2026'!$J$5:$J$500=$B33))</f>
        <v/>
      </c>
      <c r="I33" s="50">
        <f>SUMPRODUCT(--('2026'!$A$5:$A$500=$I$1),--('2026'!$C$5:$C$500=$B33))+SUMPRODUCT(--('2026'!$A$5:$A$500=$I$1),--('2026'!$F$5:$F$500=$B33))+SUMPRODUCT(--('2026'!$A$5:$A$500=$I$1),--('2026'!$D$5:$D$500=$B33))+SUMPRODUCT(--('2026'!$A$5:$A$500=$I$1),--('2026'!$G$5:$G$500=$B33))</f>
        <v/>
      </c>
      <c r="J33" s="50">
        <f>SUMPRODUCT(--('2026'!$A$5:$A$500=$I$1),--('2026'!$I$5:$I$500=$B33))+SUMPRODUCT(--('2026'!$A$5:$A$500=$I$1),--('2026'!$J$5:$J$500=$B33))</f>
        <v/>
      </c>
      <c r="K33" s="50">
        <f>SUMPRODUCT(--('2026'!$A$5:$A$500=$K$1),--('2026'!$C$5:$C$500=$B33))+SUMPRODUCT(--('2026'!$A$5:$A$500=$K$1),--('2026'!$F$5:$F$500=$B33))+SUMPRODUCT(--('2026'!$A$5:$A$500=$K$1),--('2026'!$D$5:$D$500=$B33))+SUMPRODUCT(--('2026'!$A$5:$A$500=$K$1),--('2026'!$G$5:$G$500=$B33))</f>
        <v/>
      </c>
      <c r="L33" s="50">
        <f>SUMPRODUCT(--('2026'!$A$5:$A$500=$K$1),--('2026'!$I$5:$I$500=$B33))+SUMPRODUCT(--('2026'!$A$5:$A$500=$K$1),--('2026'!$J$5:$J$500=$B33))</f>
        <v/>
      </c>
      <c r="M33" s="50">
        <f>SUMPRODUCT(--('2026'!$A$5:$A$500=$M$1),--('2026'!$C$5:$C$500=$B33))+SUMPRODUCT(--('2026'!$A$5:$A$500=$M$1),--('2026'!$F$5:$F$500=$B33))+SUMPRODUCT(--('2026'!$A$5:$A$500=$M$1),--('2026'!$D$5:$D$500=$B33))+SUMPRODUCT(--('2026'!$A$5:$A$500=$M$1),--('2026'!$G$5:$G$500=$B33))</f>
        <v/>
      </c>
      <c r="N33" s="50">
        <f>SUMPRODUCT(--('2026'!$A$5:$A$500=$M$1),--('2026'!$I$5:$I$500=$B33))+SUMPRODUCT(--('2026'!$A$5:$A$500=$M$1),--('2026'!$J$5:$J$500=$B33))</f>
        <v/>
      </c>
      <c r="O33" s="50">
        <f>SUMPRODUCT(--('2026'!$A$5:$A$500=$O$1),--('2026'!$C$5:$C$500=$B33))+SUMPRODUCT(--('2026'!$A$5:$A$500=$O$1),--('2026'!$F$5:$F$500=$B33))+SUMPRODUCT(--('2026'!$A$5:$A$500=$O$1),--('2026'!$D$5:$D$500=$B33))+SUMPRODUCT(--('2026'!$A$5:$A$500=$O$1),--('2026'!$G$5:$G$500=$B33))</f>
        <v/>
      </c>
      <c r="P33" s="50">
        <f>SUMPRODUCT(--('2026'!$A$5:$A$500=$O$1),--('2026'!$I$5:$I$500=$B33))+SUMPRODUCT(--('2026'!$A$5:$A$500=$O$1),--('2026'!$J$5:$J$500=$B33))</f>
        <v/>
      </c>
      <c r="Q33" s="50">
        <f>SUMPRODUCT(--('2026'!$A$5:$A$500=$Q$1),--('2026'!$C$5:$C$500=$B33))+SUMPRODUCT(--('2026'!$A$5:$A$500=$Q$1),--('2026'!$F$5:$F$500=$B33))+SUMPRODUCT(--('2026'!$A$5:$A$500=$Q$1),--('2026'!$D$5:$D$500=$B33))+SUMPRODUCT(--('2026'!$A$5:$A$500=$Q$1),--('2026'!$G$5:$G$500=$B33))</f>
        <v/>
      </c>
      <c r="R33" s="50">
        <f>SUMPRODUCT(--('2026'!$A$5:$A$500=$Q$1),--('2026'!$I$5:$I$500=$B33))+SUMPRODUCT(--('2026'!$A$5:$A$500=$Q$1),--('2026'!$J$5:$J$500=$B33))</f>
        <v/>
      </c>
      <c r="S33" s="50">
        <f>SUMPRODUCT(--('2026'!$A$5:$A$500=$S$1),--('2026'!$C$5:$C$500=$B33))+SUMPRODUCT(--('2026'!$A$5:$A$500=$S$1),--('2026'!$F$5:$F$500=$B33))+SUMPRODUCT(--('2026'!$A$5:$A$500=$S$1),--('2026'!$D$5:$D$500=$B33))+SUMPRODUCT(--('2026'!$A$5:$A$500=$S$1),--('2026'!$G$5:$G$500=$B33))</f>
        <v/>
      </c>
      <c r="T33" s="50">
        <f>SUMPRODUCT(--('2026'!$A$5:$A$500=$S$1),--('2026'!$I$5:$I$500=$B33))+SUMPRODUCT(--('2026'!$A$5:$A$500=$S$1),--('2026'!$J$5:$J$500=$B33))</f>
        <v/>
      </c>
      <c r="U33" s="50">
        <f>SUMPRODUCT(--('2026'!$A$5:$A$500=$U$1),--('2026'!$C$5:$C$500=$B33))+SUMPRODUCT(--('2026'!$A$5:$A$500=$U$1),--('2026'!$F$5:$F$500=$B33))+SUMPRODUCT(--('2026'!$A$5:$A$500=$U$1),--('2026'!$D$5:$D$500=$B33))+SUMPRODUCT(--('2026'!$A$5:$A$500=$U$1),--('2026'!$G$5:$G$500=$B33))</f>
        <v/>
      </c>
      <c r="V33" s="50">
        <f>SUMPRODUCT(--('2026'!$A$5:$A$500=$U$1),--('2026'!$I$5:$I$500=$B33))+SUMPRODUCT(--('2026'!$A$5:$A$500=$U$1),--('2026'!$J$5:$J$500=$B33))</f>
        <v/>
      </c>
      <c r="W33" s="50">
        <f>SUMPRODUCT(--('2026'!$A$5:$A$500=$W$1),--('2026'!$C$5:$C$500=$B33))+SUMPRODUCT(--('2026'!$A$5:$A$500=$W$1),--('2026'!$F$5:$F$500=$B33))+SUMPRODUCT(--('2026'!$A$5:$A$500=$W$1),--('2026'!$D$5:$D$500=$B33))+SUMPRODUCT(--('2026'!$A$5:$A$500=$W$1),--('2026'!$G$5:$G$500=$B33))</f>
        <v/>
      </c>
      <c r="X33" s="50">
        <f>SUMPRODUCT(--('2026'!$A$5:$A$500=$W$1),--('2026'!$I$5:$I$500=$B33))+SUMPRODUCT(--('2026'!$A$5:$A$500=$W$1),--('2026'!$J$5:$J$500=$B33))</f>
        <v/>
      </c>
      <c r="Y33" s="50">
        <f>SUMPRODUCT(--('2026'!$A$5:$A$500=$Y$1),--('2026'!$C$5:$C$500=$B33))+SUMPRODUCT(--('2026'!$A$5:$A$500=$Y$1),--('2026'!$F$5:$F$500=$B33))+SUMPRODUCT(--('2026'!$A$5:$A$500=$Y$1),--('2026'!$D$5:$D$500=$B33))+SUMPRODUCT(--('2026'!$A$5:$A$500=$Y$1),--('2026'!$G$5:$G$500=$B33))</f>
        <v/>
      </c>
      <c r="Z33" s="50">
        <f>SUMPRODUCT(--('2026'!$A$5:$A$500=$Y$1),--('2026'!$I$5:$I$500=$B33))+SUMPRODUCT(--('2026'!$A$5:$A$500=$Y$1),--('2026'!$J$5:$J$500=$B33))</f>
        <v/>
      </c>
      <c r="AA33" s="50">
        <f>SUMPRODUCT(--('2026'!$A$5:$A$500=$AA$1),--('2026'!$C$5:$C$500=$B33))+SUMPRODUCT(--('2026'!$A$5:$A$500=$AA$1),--('2026'!$F$5:$F$500=$B33))+SUMPRODUCT(--('2026'!$A$5:$A$500=$AA$1),--('2026'!$D$5:$D$500=$B33))+SUMPRODUCT(--('2026'!$A$5:$A$500=$AA$1),--('2026'!$G$5:$G$500=$B33))</f>
        <v/>
      </c>
      <c r="AB33" s="50">
        <f>SUMPRODUCT(--('2026'!$A$5:$A$500=$AA$1),--('2026'!$I$5:$I$500=$B33))+SUMPRODUCT(--('2026'!$A$5:$A$500=$AA$1),--('2026'!$J$5:$J$500=$B33))</f>
        <v/>
      </c>
      <c r="AC33" s="50">
        <f>SUMPRODUCT(--('2026'!$A$5:$A$500=$AC$1),--('2026'!$C$5:$C$500=$B33))+SUMPRODUCT(--('2026'!$A$5:$A$500=$AC$1),--('2026'!$F$5:$F$500=$B33))+SUMPRODUCT(--('2026'!$A$5:$A$500=$AC$1),--('2026'!$D$5:$D$500=$B33))+SUMPRODUCT(--('2026'!$A$5:$A$500=$AC$1),--('2026'!$G$5:$G$500=$B33))</f>
        <v/>
      </c>
      <c r="AD33" s="50">
        <f>SUMPRODUCT(--('2026'!$A$5:$A$500=$AC$1),--('2026'!$I$5:$I$500=$B33))+SUMPRODUCT(--('2026'!$A$5:$A$500=$AC$1),--('2026'!$J$5:$J$500=$B33))</f>
        <v/>
      </c>
      <c r="AE33" s="60">
        <f>SUMPRODUCT(--('2026'!$A$5:$A$500=$AE$1),--('2026'!$C$5:$C$500=$B33))+SUMPRODUCT(--('2026'!$A$5:$A$500=$AE$1),--('2026'!$F$5:$F$500=$B33))+SUMPRODUCT(--('2026'!$A$5:$A$500=$AE$1),--('2026'!$D$5:$D$500=$B33))+SUMPRODUCT(--('2026'!$A$5:$A$500=$AE$1),--('2026'!$G$5:$G$500=$B33))</f>
        <v/>
      </c>
      <c r="AF33" s="60">
        <f>SUMPRODUCT(--('2026'!$A$5:$A$500=$AE$1),--('2026'!$I$5:$I$500=$B33))+SUMPRODUCT(--('2026'!$A$5:$A$500=$AE$1),--('2026'!$J$5:$J$500=$B33))</f>
        <v/>
      </c>
      <c r="AG33" s="50">
        <f>SUMPRODUCT(--('2026'!$A$5:$A$500=$AG$1),--('2026'!$C$5:$C$500=$B33))+SUMPRODUCT(--('2026'!$A$5:$A$500=$AG$1),--('2026'!$F$5:$F$500=$B33))+SUMPRODUCT(--('2026'!$A$5:$A$500=$AG$1),--('2026'!$D$5:$D$500=$B33))+SUMPRODUCT(--('2026'!$A$5:$A$500=$AG$1),--('2026'!$G$5:$G$500=$B33))</f>
        <v/>
      </c>
      <c r="AH33" s="50">
        <f>SUMPRODUCT(--('2026'!$A$5:$A$500=$AG$1),--('2026'!$I$5:$I$500=$B33))+SUMPRODUCT(--('2026'!$A$5:$A$500=$AG$1),--('2026'!$J$5:$J$500=$B33))</f>
        <v/>
      </c>
      <c r="AI33" s="50">
        <f>SUMPRODUCT(--('2026'!$A$5:$A$500=$AI$1),--('2026'!$C$5:$C$500=$B33))+SUMPRODUCT(--('2026'!$A$5:$A$500=$AI$1),--('2026'!$F$5:$F$500=$B33))+SUMPRODUCT(--('2026'!$A$5:$A$500=$AI$1),--('2026'!$D$5:$D$500=$B33))+SUMPRODUCT(--('2026'!$A$5:$A$500=$AI$1),--('2026'!$G$5:$G$500=$B33))</f>
        <v/>
      </c>
      <c r="AJ33" s="50">
        <f>SUMPRODUCT(--('2026'!$A$5:$A$500=$AI$1),--('2026'!$I$5:$I$500=$B33))+SUMPRODUCT(--('2026'!$A$5:$A$500=$AI$1),--('2026'!$J$5:$J$500=$B33))</f>
        <v/>
      </c>
      <c r="AK33" s="50">
        <f>SUMPRODUCT(--('2026'!$A$5:$A$500=$AK$1),--('2026'!$C$5:$C$500=$B33))+SUMPRODUCT(--('2026'!$A$5:$A$500=$AK$1),--('2026'!$F$5:$F$500=$B33))+SUMPRODUCT(--('2026'!$A$5:$A$500=$AK$1),--('2026'!$D$5:$D$500=$B33))+SUMPRODUCT(--('2026'!$A$5:$A$500=$AK$1),--('2026'!$G$5:$G$500=$B33))</f>
        <v/>
      </c>
      <c r="AL33" s="50">
        <f>SUMPRODUCT(--('2026'!$A$5:$A$500=$AK$1),--('2026'!$I$5:$I$500=$B33))+SUMPRODUCT(--('2026'!$A$5:$A$500=$AK$1),--('2026'!$J$5:$J$500=$B33))</f>
        <v/>
      </c>
      <c r="AM33" s="50">
        <f>SUMPRODUCT(--('2026'!$A$5:$A$500=$AM$1),--('2026'!$C$5:$C$500=$B33))+SUMPRODUCT(--('2026'!$A$5:$A$500=$AM$1),--('2026'!$F$5:$F$500=$B33))+SUMPRODUCT(--('2026'!$A$5:$A$500=$AM$1),--('2026'!$D$5:$D$500=$B33))+SUMPRODUCT(--('2026'!$A$5:$A$500=$AM$1),--('2026'!$G$5:$G$500=$B33))</f>
        <v/>
      </c>
      <c r="AN33" s="50">
        <f>SUMPRODUCT(--('2026'!$A$5:$A$500=$AM$1),--('2026'!$I$5:$I$500=$B33))+SUMPRODUCT(--('2026'!$A$5:$A$500=$AM$1),--('2026'!$J$5:$J$500=$B33))</f>
        <v/>
      </c>
      <c r="AO33" s="50">
        <f>SUMPRODUCT(--('2026'!$A$5:$A$500=$AO$1),--('2026'!$C$5:$C$500=$B33))+SUMPRODUCT(--('2026'!$A$5:$A$500=$AO$1),--('2026'!$F$5:$F$500=$B33))+SUMPRODUCT(--('2026'!$A$5:$A$500=$AO$1),--('2026'!$D$5:$D$500=$B33))+SUMPRODUCT(--('2026'!$A$5:$A$500=$AO$1),--('2026'!$G$5:$G$500=$B33))</f>
        <v/>
      </c>
      <c r="AP33" s="50">
        <f>SUMPRODUCT(--('2026'!$A$5:$A$500=$AO$1),--('2026'!$I$5:$I$500=$B33))+SUMPRODUCT(--('2026'!$A$5:$A$500=$AO$1),--('2026'!$J$5:$J$500=$B33))</f>
        <v/>
      </c>
      <c r="AQ33" s="50">
        <f>SUMPRODUCT(--('2026'!$A$5:$A$500=$AQ$1),--('2026'!$C$5:$C$500=$B33))+SUMPRODUCT(--('2026'!$A$5:$A$500=$AQ$1),--('2026'!$F$5:$F$500=$B33))+SUMPRODUCT(--('2026'!$A$5:$A$500=$AQ$1),--('2026'!$D$5:$D$500=$B33))+SUMPRODUCT(--('2026'!$A$5:$A$500=$AQ$1),--('2026'!$G$5:$G$500=$B33))</f>
        <v/>
      </c>
      <c r="AR33" s="50">
        <f>SUMPRODUCT(--('2026'!$A$5:$A$500=$AQ$1),--('2026'!$I$5:$I$500=$B33))+SUMPRODUCT(--('2026'!$A$5:$A$500=$AQ$1),--('2026'!$J$5:$J$500=$B33))</f>
        <v/>
      </c>
      <c r="AS33" s="50">
        <f>SUMPRODUCT(--('2026'!$A$5:$A$500=$AS$1),--('2026'!$C$5:$C$500=$B33))+SUMPRODUCT(--('2026'!$A$5:$A$500=$AS$1),--('2026'!$F$5:$F$500=$B33))+SUMPRODUCT(--('2026'!$A$5:$A$500=$AS$1),--('2026'!$D$5:$D$500=$B33))+SUMPRODUCT(--('2026'!$A$5:$A$500=$AS$1),--('2026'!$G$5:$G$500=$B33))</f>
        <v/>
      </c>
      <c r="AT33" s="50">
        <f>SUMPRODUCT(--('2026'!$A$5:$A$500=$AS$1),--('2026'!$I$5:$I$500=$B33))+SUMPRODUCT(--('2026'!$A$5:$A$500=$AS$1),--('2026'!$J$5:$J$500=$B33))</f>
        <v/>
      </c>
      <c r="AU33" s="50">
        <f>SUMPRODUCT(--('2026'!$A$5:$A$500=$AU$1),--('2026'!$C$5:$C$500=$B33))+SUMPRODUCT(--('2026'!$A$5:$A$500=$AU$1),--('2026'!$F$5:$F$500=$B33))+SUMPRODUCT(--('2026'!$A$5:$A$500=$AU$1),--('2026'!$D$5:$D$500=$B33))+SUMPRODUCT(--('2026'!$A$5:$A$500=$AU$1),--('2026'!$G$5:$G$500=$B33))</f>
        <v/>
      </c>
      <c r="AV33" s="50">
        <f>SUMPRODUCT(--('2026'!$A$5:$A$500=$AU$1),--('2026'!$I$5:$I$500=$B33))+SUMPRODUCT(--('2026'!$A$5:$A$500=$AU$1),--('2026'!$J$5:$J$500=$B33))</f>
        <v/>
      </c>
      <c r="AW33" s="50">
        <f>SUMPRODUCT(--('2026'!$A$5:$A$500=$AW$1),--('2026'!$C$5:$C$500=$B33))+SUMPRODUCT(--('2026'!$A$5:$A$500=$AW$1),--('2026'!$F$5:$F$500=$B33))+SUMPRODUCT(--('2026'!$A$5:$A$500=$AW$1),--('2026'!$D$5:$D$500=$B33))+SUMPRODUCT(--('2026'!$A$5:$A$500=$AW$1),--('2026'!$G$5:$G$500=$B33))</f>
        <v/>
      </c>
      <c r="AX33" s="50">
        <f>SUMPRODUCT(--('2026'!$A$5:$A$500=$AW$1),--('2026'!$I$5:$I$500=$B33))+SUMPRODUCT(--('2026'!$A$5:$A$500=$AW$1),--('2026'!$J$5:$J$500=$B33))</f>
        <v/>
      </c>
      <c r="BA33" s="54" t="inlineStr">
        <is>
          <t>Mansoor</t>
        </is>
      </c>
      <c r="BB33" s="47">
        <f>IF(ISODD(COUNTIF(C33:AX33,"&gt;0")),COUNTIF(C33:AX33,"&gt;0")+1,COUNTIF(C33:AX33,"&gt;0"))/2</f>
        <v/>
      </c>
      <c r="BC33" s="52">
        <f>BB33/15</f>
        <v/>
      </c>
    </row>
    <row r="34" ht="15" customHeight="1" s="106">
      <c r="A34" t="n">
        <v>32</v>
      </c>
      <c r="B34" s="54" t="inlineStr">
        <is>
          <t>Farooq A</t>
        </is>
      </c>
      <c r="C34" s="50">
        <f>SUMPRODUCT(--('2026'!$A$5:$A$500=$C$1),--('2026'!$C$5:$C$500=$B34))+SUMPRODUCT(--('2026'!$A$5:$A$500=$C$1),--('2026'!$F$5:$F$500=$B34))+SUMPRODUCT(--('2026'!$A$5:$A$500=$C$1),--('2026'!$D$5:$D$500=$B34))+SUMPRODUCT(--('2026'!$A$5:$A$500=$C$1),--('2026'!$G$5:$G$500=$B34))</f>
        <v/>
      </c>
      <c r="D34" s="50">
        <f>SUMPRODUCT(--('2026'!$A$5:$A$500=$C$1),--('2026'!$I$5:$I$500=$B34))+SUMPRODUCT(--('2026'!$A$5:$A$500=$C$1),--('2026'!$J$5:$J$500=$B34))</f>
        <v/>
      </c>
      <c r="E34" s="50">
        <f>SUMPRODUCT(--('2026'!$A$5:$A$500=$E$1),--('2026'!$C$5:$C$500=$B34))+SUMPRODUCT(--('2026'!$A$5:$A$500=$E$1),--('2026'!$F$5:$F$500=$B34))+SUMPRODUCT(--('2026'!$A$5:$A$500=$E$1),--('2026'!$D$5:$D$500=$B34))+SUMPRODUCT(--('2026'!$A$5:$A$500=$E$1),--('2026'!$G$5:$G$500=$B34))</f>
        <v/>
      </c>
      <c r="F34" s="50">
        <f>SUMPRODUCT(--('2026'!$A$5:$A$500=$E$1),--('2026'!$I$5:$I$500=$B34))+SUMPRODUCT(--('2026'!$A$5:$A$500=$E$1),--('2026'!$J$5:$J$500=$B34))</f>
        <v/>
      </c>
      <c r="G34" s="50">
        <f>SUMPRODUCT(--('2026'!$A$5:$A$500=$G$1),--('2026'!$C$5:$C$500=$B34))+SUMPRODUCT(--('2026'!$A$5:$A$500=$G$1),--('2026'!$F$5:$F$500=$B34))+SUMPRODUCT(--('2026'!$A$5:$A$500=$G$1),--('2026'!$D$5:$D$500=$B34))+SUMPRODUCT(--('2026'!$A$5:$A$500=$G$1),--('2026'!$G$5:$G$500=$B34))</f>
        <v/>
      </c>
      <c r="H34" s="50">
        <f>SUMPRODUCT(--('2026'!$A$5:$A$500=$G$1),--('2026'!$I$5:$I$500=$B34))+SUMPRODUCT(--('2026'!$A$5:$A$500=$G$1),--('2026'!$J$5:$J$500=$B34))</f>
        <v/>
      </c>
      <c r="I34" s="50">
        <f>SUMPRODUCT(--('2026'!$A$5:$A$500=$I$1),--('2026'!$C$5:$C$500=$B34))+SUMPRODUCT(--('2026'!$A$5:$A$500=$I$1),--('2026'!$F$5:$F$500=$B34))+SUMPRODUCT(--('2026'!$A$5:$A$500=$I$1),--('2026'!$D$5:$D$500=$B34))+SUMPRODUCT(--('2026'!$A$5:$A$500=$I$1),--('2026'!$G$5:$G$500=$B34))</f>
        <v/>
      </c>
      <c r="J34" s="50">
        <f>SUMPRODUCT(--('2026'!$A$5:$A$500=$I$1),--('2026'!$I$5:$I$500=$B34))+SUMPRODUCT(--('2026'!$A$5:$A$500=$I$1),--('2026'!$J$5:$J$500=$B34))</f>
        <v/>
      </c>
      <c r="K34" s="50">
        <f>SUMPRODUCT(--('2026'!$A$5:$A$500=$K$1),--('2026'!$C$5:$C$500=$B34))+SUMPRODUCT(--('2026'!$A$5:$A$500=$K$1),--('2026'!$F$5:$F$500=$B34))+SUMPRODUCT(--('2026'!$A$5:$A$500=$K$1),--('2026'!$D$5:$D$500=$B34))+SUMPRODUCT(--('2026'!$A$5:$A$500=$K$1),--('2026'!$G$5:$G$500=$B34))</f>
        <v/>
      </c>
      <c r="L34" s="50">
        <f>SUMPRODUCT(--('2026'!$A$5:$A$500=$K$1),--('2026'!$I$5:$I$500=$B34))+SUMPRODUCT(--('2026'!$A$5:$A$500=$K$1),--('2026'!$J$5:$J$500=$B34))</f>
        <v/>
      </c>
      <c r="M34" s="50">
        <f>SUMPRODUCT(--('2026'!$A$5:$A$500=$M$1),--('2026'!$C$5:$C$500=$B34))+SUMPRODUCT(--('2026'!$A$5:$A$500=$M$1),--('2026'!$F$5:$F$500=$B34))+SUMPRODUCT(--('2026'!$A$5:$A$500=$M$1),--('2026'!$D$5:$D$500=$B34))+SUMPRODUCT(--('2026'!$A$5:$A$500=$M$1),--('2026'!$G$5:$G$500=$B34))</f>
        <v/>
      </c>
      <c r="N34" s="50">
        <f>SUMPRODUCT(--('2026'!$A$5:$A$500=$M$1),--('2026'!$I$5:$I$500=$B34))+SUMPRODUCT(--('2026'!$A$5:$A$500=$M$1),--('2026'!$J$5:$J$500=$B34))</f>
        <v/>
      </c>
      <c r="O34" s="50">
        <f>SUMPRODUCT(--('2026'!$A$5:$A$500=$O$1),--('2026'!$C$5:$C$500=$B34))+SUMPRODUCT(--('2026'!$A$5:$A$500=$O$1),--('2026'!$F$5:$F$500=$B34))+SUMPRODUCT(--('2026'!$A$5:$A$500=$O$1),--('2026'!$D$5:$D$500=$B34))+SUMPRODUCT(--('2026'!$A$5:$A$500=$O$1),--('2026'!$G$5:$G$500=$B34))</f>
        <v/>
      </c>
      <c r="P34" s="50">
        <f>SUMPRODUCT(--('2026'!$A$5:$A$500=$O$1),--('2026'!$I$5:$I$500=$B34))+SUMPRODUCT(--('2026'!$A$5:$A$500=$O$1),--('2026'!$J$5:$J$500=$B34))</f>
        <v/>
      </c>
      <c r="Q34" s="50">
        <f>SUMPRODUCT(--('2026'!$A$5:$A$500=$Q$1),--('2026'!$C$5:$C$500=$B34))+SUMPRODUCT(--('2026'!$A$5:$A$500=$Q$1),--('2026'!$F$5:$F$500=$B34))+SUMPRODUCT(--('2026'!$A$5:$A$500=$Q$1),--('2026'!$D$5:$D$500=$B34))+SUMPRODUCT(--('2026'!$A$5:$A$500=$Q$1),--('2026'!$G$5:$G$500=$B34))</f>
        <v/>
      </c>
      <c r="R34" s="50">
        <f>SUMPRODUCT(--('2026'!$A$5:$A$500=$Q$1),--('2026'!$I$5:$I$500=$B34))+SUMPRODUCT(--('2026'!$A$5:$A$500=$Q$1),--('2026'!$J$5:$J$500=$B34))</f>
        <v/>
      </c>
      <c r="S34" s="50">
        <f>SUMPRODUCT(--('2026'!$A$5:$A$500=$S$1),--('2026'!$C$5:$C$500=$B34))+SUMPRODUCT(--('2026'!$A$5:$A$500=$S$1),--('2026'!$F$5:$F$500=$B34))+SUMPRODUCT(--('2026'!$A$5:$A$500=$S$1),--('2026'!$D$5:$D$500=$B34))+SUMPRODUCT(--('2026'!$A$5:$A$500=$S$1),--('2026'!$G$5:$G$500=$B34))</f>
        <v/>
      </c>
      <c r="T34" s="50">
        <f>SUMPRODUCT(--('2026'!$A$5:$A$500=$S$1),--('2026'!$I$5:$I$500=$B34))+SUMPRODUCT(--('2026'!$A$5:$A$500=$S$1),--('2026'!$J$5:$J$500=$B34))</f>
        <v/>
      </c>
      <c r="U34" s="50">
        <f>SUMPRODUCT(--('2026'!$A$5:$A$500=$U$1),--('2026'!$C$5:$C$500=$B34))+SUMPRODUCT(--('2026'!$A$5:$A$500=$U$1),--('2026'!$F$5:$F$500=$B34))+SUMPRODUCT(--('2026'!$A$5:$A$500=$U$1),--('2026'!$D$5:$D$500=$B34))+SUMPRODUCT(--('2026'!$A$5:$A$500=$U$1),--('2026'!$G$5:$G$500=$B34))</f>
        <v/>
      </c>
      <c r="V34" s="50">
        <f>SUMPRODUCT(--('2026'!$A$5:$A$500=$U$1),--('2026'!$I$5:$I$500=$B34))+SUMPRODUCT(--('2026'!$A$5:$A$500=$U$1),--('2026'!$J$5:$J$500=$B34))</f>
        <v/>
      </c>
      <c r="W34" s="50">
        <f>SUMPRODUCT(--('2026'!$A$5:$A$500=$W$1),--('2026'!$C$5:$C$500=$B34))+SUMPRODUCT(--('2026'!$A$5:$A$500=$W$1),--('2026'!$F$5:$F$500=$B34))+SUMPRODUCT(--('2026'!$A$5:$A$500=$W$1),--('2026'!$D$5:$D$500=$B34))+SUMPRODUCT(--('2026'!$A$5:$A$500=$W$1),--('2026'!$G$5:$G$500=$B34))</f>
        <v/>
      </c>
      <c r="X34" s="50">
        <f>SUMPRODUCT(--('2026'!$A$5:$A$500=$W$1),--('2026'!$I$5:$I$500=$B34))+SUMPRODUCT(--('2026'!$A$5:$A$500=$W$1),--('2026'!$J$5:$J$500=$B34))</f>
        <v/>
      </c>
      <c r="Y34" s="50">
        <f>SUMPRODUCT(--('2026'!$A$5:$A$500=$Y$1),--('2026'!$C$5:$C$500=$B34))+SUMPRODUCT(--('2026'!$A$5:$A$500=$Y$1),--('2026'!$F$5:$F$500=$B34))+SUMPRODUCT(--('2026'!$A$5:$A$500=$Y$1),--('2026'!$D$5:$D$500=$B34))+SUMPRODUCT(--('2026'!$A$5:$A$500=$Y$1),--('2026'!$G$5:$G$500=$B34))</f>
        <v/>
      </c>
      <c r="Z34" s="50">
        <f>SUMPRODUCT(--('2026'!$A$5:$A$500=$Y$1),--('2026'!$I$5:$I$500=$B34))+SUMPRODUCT(--('2026'!$A$5:$A$500=$Y$1),--('2026'!$J$5:$J$500=$B34))</f>
        <v/>
      </c>
      <c r="AA34" s="50">
        <f>SUMPRODUCT(--('2026'!$A$5:$A$500=$AA$1),--('2026'!$C$5:$C$500=$B34))+SUMPRODUCT(--('2026'!$A$5:$A$500=$AA$1),--('2026'!$F$5:$F$500=$B34))+SUMPRODUCT(--('2026'!$A$5:$A$500=$AA$1),--('2026'!$D$5:$D$500=$B34))+SUMPRODUCT(--('2026'!$A$5:$A$500=$AA$1),--('2026'!$G$5:$G$500=$B34))</f>
        <v/>
      </c>
      <c r="AB34" s="50">
        <f>SUMPRODUCT(--('2026'!$A$5:$A$500=$AA$1),--('2026'!$I$5:$I$500=$B34))+SUMPRODUCT(--('2026'!$A$5:$A$500=$AA$1),--('2026'!$J$5:$J$500=$B34))</f>
        <v/>
      </c>
      <c r="AC34" s="50">
        <f>SUMPRODUCT(--('2026'!$A$5:$A$500=$AC$1),--('2026'!$C$5:$C$500=$B34))+SUMPRODUCT(--('2026'!$A$5:$A$500=$AC$1),--('2026'!$F$5:$F$500=$B34))+SUMPRODUCT(--('2026'!$A$5:$A$500=$AC$1),--('2026'!$D$5:$D$500=$B34))+SUMPRODUCT(--('2026'!$A$5:$A$500=$AC$1),--('2026'!$G$5:$G$500=$B34))</f>
        <v/>
      </c>
      <c r="AD34" s="50">
        <f>SUMPRODUCT(--('2026'!$A$5:$A$500=$AC$1),--('2026'!$I$5:$I$500=$B34))+SUMPRODUCT(--('2026'!$A$5:$A$500=$AC$1),--('2026'!$J$5:$J$500=$B34))</f>
        <v/>
      </c>
      <c r="AE34" s="50">
        <f>SUMPRODUCT(--('2026'!$A$5:$A$500=$AE$1),--('2026'!$C$5:$C$500=$B34))+SUMPRODUCT(--('2026'!$A$5:$A$500=$AE$1),--('2026'!$F$5:$F$500=$B34))+SUMPRODUCT(--('2026'!$A$5:$A$500=$AE$1),--('2026'!$D$5:$D$500=$B34))+SUMPRODUCT(--('2026'!$A$5:$A$500=$AE$1),--('2026'!$G$5:$G$500=$B34))</f>
        <v/>
      </c>
      <c r="AF34" s="50">
        <f>SUMPRODUCT(--('2026'!$A$5:$A$500=$AE$1),--('2026'!$I$5:$I$500=$B34))+SUMPRODUCT(--('2026'!$A$5:$A$500=$AE$1),--('2026'!$J$5:$J$500=$B34))</f>
        <v/>
      </c>
      <c r="AG34" s="50">
        <f>SUMPRODUCT(--('2026'!$A$5:$A$500=$AG$1),--('2026'!$C$5:$C$500=$B34))+SUMPRODUCT(--('2026'!$A$5:$A$500=$AG$1),--('2026'!$F$5:$F$500=$B34))+SUMPRODUCT(--('2026'!$A$5:$A$500=$AG$1),--('2026'!$D$5:$D$500=$B34))+SUMPRODUCT(--('2026'!$A$5:$A$500=$AG$1),--('2026'!$G$5:$G$500=$B34))</f>
        <v/>
      </c>
      <c r="AH34" s="50">
        <f>SUMPRODUCT(--('2026'!$A$5:$A$500=$AG$1),--('2026'!$I$5:$I$500=$B34))+SUMPRODUCT(--('2026'!$A$5:$A$500=$AG$1),--('2026'!$J$5:$J$500=$B34))</f>
        <v/>
      </c>
      <c r="AI34" s="50">
        <f>SUMPRODUCT(--('2026'!$A$5:$A$500=$AI$1),--('2026'!$C$5:$C$500=$B34))+SUMPRODUCT(--('2026'!$A$5:$A$500=$AI$1),--('2026'!$F$5:$F$500=$B34))+SUMPRODUCT(--('2026'!$A$5:$A$500=$AI$1),--('2026'!$D$5:$D$500=$B34))+SUMPRODUCT(--('2026'!$A$5:$A$500=$AI$1),--('2026'!$G$5:$G$500=$B34))</f>
        <v/>
      </c>
      <c r="AJ34" s="50">
        <f>SUMPRODUCT(--('2026'!$A$5:$A$500=$AI$1),--('2026'!$I$5:$I$500=$B34))+SUMPRODUCT(--('2026'!$A$5:$A$500=$AI$1),--('2026'!$J$5:$J$500=$B34))</f>
        <v/>
      </c>
      <c r="AK34" s="50">
        <f>SUMPRODUCT(--('2026'!$A$5:$A$500=$AK$1),--('2026'!$C$5:$C$500=$B34))+SUMPRODUCT(--('2026'!$A$5:$A$500=$AK$1),--('2026'!$F$5:$F$500=$B34))+SUMPRODUCT(--('2026'!$A$5:$A$500=$AK$1),--('2026'!$D$5:$D$500=$B34))+SUMPRODUCT(--('2026'!$A$5:$A$500=$AK$1),--('2026'!$G$5:$G$500=$B34))</f>
        <v/>
      </c>
      <c r="AL34" s="50">
        <f>SUMPRODUCT(--('2026'!$A$5:$A$500=$AK$1),--('2026'!$I$5:$I$500=$B34))+SUMPRODUCT(--('2026'!$A$5:$A$500=$AK$1),--('2026'!$J$5:$J$500=$B34))</f>
        <v/>
      </c>
      <c r="AM34" s="50">
        <f>SUMPRODUCT(--('2026'!$A$5:$A$500=$AM$1),--('2026'!$C$5:$C$500=$B34))+SUMPRODUCT(--('2026'!$A$5:$A$500=$AM$1),--('2026'!$F$5:$F$500=$B34))+SUMPRODUCT(--('2026'!$A$5:$A$500=$AM$1),--('2026'!$D$5:$D$500=$B34))+SUMPRODUCT(--('2026'!$A$5:$A$500=$AM$1),--('2026'!$G$5:$G$500=$B34))</f>
        <v/>
      </c>
      <c r="AN34" s="50">
        <f>SUMPRODUCT(--('2026'!$A$5:$A$500=$AM$1),--('2026'!$I$5:$I$500=$B34))+SUMPRODUCT(--('2026'!$A$5:$A$500=$AM$1),--('2026'!$J$5:$J$500=$B34))</f>
        <v/>
      </c>
      <c r="AO34" s="50">
        <f>SUMPRODUCT(--('2026'!$A$5:$A$500=$AO$1),--('2026'!$C$5:$C$500=$B34))+SUMPRODUCT(--('2026'!$A$5:$A$500=$AO$1),--('2026'!$F$5:$F$500=$B34))+SUMPRODUCT(--('2026'!$A$5:$A$500=$AO$1),--('2026'!$D$5:$D$500=$B34))+SUMPRODUCT(--('2026'!$A$5:$A$500=$AO$1),--('2026'!$G$5:$G$500=$B34))</f>
        <v/>
      </c>
      <c r="AP34" s="50">
        <f>SUMPRODUCT(--('2026'!$A$5:$A$500=$AO$1),--('2026'!$I$5:$I$500=$B34))+SUMPRODUCT(--('2026'!$A$5:$A$500=$AO$1),--('2026'!$J$5:$J$500=$B34))</f>
        <v/>
      </c>
      <c r="AQ34" s="50">
        <f>SUMPRODUCT(--('2026'!$A$5:$A$500=$AQ$1),--('2026'!$C$5:$C$500=$B34))+SUMPRODUCT(--('2026'!$A$5:$A$500=$AQ$1),--('2026'!$F$5:$F$500=$B34))+SUMPRODUCT(--('2026'!$A$5:$A$500=$AQ$1),--('2026'!$D$5:$D$500=$B34))+SUMPRODUCT(--('2026'!$A$5:$A$500=$AQ$1),--('2026'!$G$5:$G$500=$B34))</f>
        <v/>
      </c>
      <c r="AR34" s="50">
        <f>SUMPRODUCT(--('2026'!$A$5:$A$500=$AQ$1),--('2026'!$I$5:$I$500=$B34))+SUMPRODUCT(--('2026'!$A$5:$A$500=$AQ$1),--('2026'!$J$5:$J$500=$B34))</f>
        <v/>
      </c>
      <c r="AS34" s="50">
        <f>SUMPRODUCT(--('2026'!$A$5:$A$500=$AS$1),--('2026'!$C$5:$C$500=$B34))+SUMPRODUCT(--('2026'!$A$5:$A$500=$AS$1),--('2026'!$F$5:$F$500=$B34))+SUMPRODUCT(--('2026'!$A$5:$A$500=$AS$1),--('2026'!$D$5:$D$500=$B34))+SUMPRODUCT(--('2026'!$A$5:$A$500=$AS$1),--('2026'!$G$5:$G$500=$B34))</f>
        <v/>
      </c>
      <c r="AT34" s="50">
        <f>SUMPRODUCT(--('2026'!$A$5:$A$500=$AS$1),--('2026'!$I$5:$I$500=$B34))+SUMPRODUCT(--('2026'!$A$5:$A$500=$AS$1),--('2026'!$J$5:$J$500=$B34))</f>
        <v/>
      </c>
      <c r="AU34" s="50">
        <f>SUMPRODUCT(--('2026'!$A$5:$A$500=$AU$1),--('2026'!$C$5:$C$500=$B34))+SUMPRODUCT(--('2026'!$A$5:$A$500=$AU$1),--('2026'!$F$5:$F$500=$B34))+SUMPRODUCT(--('2026'!$A$5:$A$500=$AU$1),--('2026'!$D$5:$D$500=$B34))+SUMPRODUCT(--('2026'!$A$5:$A$500=$AU$1),--('2026'!$G$5:$G$500=$B34))</f>
        <v/>
      </c>
      <c r="AV34" s="50">
        <f>SUMPRODUCT(--('2026'!$A$5:$A$500=$AU$1),--('2026'!$I$5:$I$500=$B34))+SUMPRODUCT(--('2026'!$A$5:$A$500=$AU$1),--('2026'!$J$5:$J$500=$B34))</f>
        <v/>
      </c>
      <c r="AW34" s="50">
        <f>SUMPRODUCT(--('2026'!$A$5:$A$500=$AW$1),--('2026'!$C$5:$C$500=$B34))+SUMPRODUCT(--('2026'!$A$5:$A$500=$AW$1),--('2026'!$F$5:$F$500=$B34))+SUMPRODUCT(--('2026'!$A$5:$A$500=$AW$1),--('2026'!$D$5:$D$500=$B34))+SUMPRODUCT(--('2026'!$A$5:$A$500=$AW$1),--('2026'!$G$5:$G$500=$B34))</f>
        <v/>
      </c>
      <c r="AX34" s="50">
        <f>SUMPRODUCT(--('2026'!$A$5:$A$500=$AW$1),--('2026'!$I$5:$I$500=$B34))+SUMPRODUCT(--('2026'!$A$5:$A$500=$AW$1),--('2026'!$J$5:$J$500=$B34))</f>
        <v/>
      </c>
      <c r="BA34" s="54" t="inlineStr">
        <is>
          <t>Santosh</t>
        </is>
      </c>
      <c r="BB34" s="47">
        <f>IF(ISODD(COUNTIF(C34:AX34,"&gt;0")),COUNTIF(C34:AX34,"&gt;0")+1,COUNTIF(C34:AX34,"&gt;0"))/2</f>
        <v/>
      </c>
      <c r="BC34" s="52">
        <f>BB34/15</f>
        <v/>
      </c>
    </row>
    <row r="35" ht="15" customHeight="1" s="106">
      <c r="A35" t="n">
        <v>33</v>
      </c>
      <c r="B35" s="54" t="inlineStr">
        <is>
          <t>Karthik</t>
        </is>
      </c>
      <c r="C35" s="50">
        <f>SUMPRODUCT(--('2026'!$A$5:$A$500=$C$1),--('2026'!$C$5:$C$500=$B35))+SUMPRODUCT(--('2026'!$A$5:$A$500=$C$1),--('2026'!$F$5:$F$500=$B35))+SUMPRODUCT(--('2026'!$A$5:$A$500=$C$1),--('2026'!$D$5:$D$500=$B35))+SUMPRODUCT(--('2026'!$A$5:$A$500=$C$1),--('2026'!$G$5:$G$500=$B35))</f>
        <v/>
      </c>
      <c r="D35" s="50">
        <f>SUMPRODUCT(--('2026'!$A$5:$A$500=$C$1),--('2026'!$I$5:$I$500=$B35))+SUMPRODUCT(--('2026'!$A$5:$A$500=$C$1),--('2026'!$J$5:$J$500=$B35))</f>
        <v/>
      </c>
      <c r="E35" s="50">
        <f>SUMPRODUCT(--('2026'!$A$5:$A$500=$E$1),--('2026'!$C$5:$C$500=$B35))+SUMPRODUCT(--('2026'!$A$5:$A$500=$E$1),--('2026'!$F$5:$F$500=$B35))+SUMPRODUCT(--('2026'!$A$5:$A$500=$E$1),--('2026'!$D$5:$D$500=$B35))+SUMPRODUCT(--('2026'!$A$5:$A$500=$E$1),--('2026'!$G$5:$G$500=$B35))</f>
        <v/>
      </c>
      <c r="F35" s="50">
        <f>SUMPRODUCT(--('2026'!$A$5:$A$500=$E$1),--('2026'!$I$5:$I$500=$B35))+SUMPRODUCT(--('2026'!$A$5:$A$500=$E$1),--('2026'!$J$5:$J$500=$B35))</f>
        <v/>
      </c>
      <c r="G35" s="50">
        <f>SUMPRODUCT(--('2026'!$A$5:$A$500=$G$1),--('2026'!$C$5:$C$500=$B35))+SUMPRODUCT(--('2026'!$A$5:$A$500=$G$1),--('2026'!$F$5:$F$500=$B35))+SUMPRODUCT(--('2026'!$A$5:$A$500=$G$1),--('2026'!$D$5:$D$500=$B35))+SUMPRODUCT(--('2026'!$A$5:$A$500=$G$1),--('2026'!$G$5:$G$500=$B35))</f>
        <v/>
      </c>
      <c r="H35" s="50">
        <f>SUMPRODUCT(--('2026'!$A$5:$A$500=$G$1),--('2026'!$I$5:$I$500=$B35))+SUMPRODUCT(--('2026'!$A$5:$A$500=$G$1),--('2026'!$J$5:$J$500=$B35))</f>
        <v/>
      </c>
      <c r="I35" s="50">
        <f>SUMPRODUCT(--('2026'!$A$5:$A$500=$I$1),--('2026'!$C$5:$C$500=$B35))+SUMPRODUCT(--('2026'!$A$5:$A$500=$I$1),--('2026'!$F$5:$F$500=$B35))+SUMPRODUCT(--('2026'!$A$5:$A$500=$I$1),--('2026'!$D$5:$D$500=$B35))+SUMPRODUCT(--('2026'!$A$5:$A$500=$I$1),--('2026'!$G$5:$G$500=$B35))</f>
        <v/>
      </c>
      <c r="J35" s="50">
        <f>SUMPRODUCT(--('2026'!$A$5:$A$500=$I$1),--('2026'!$I$5:$I$500=$B35))+SUMPRODUCT(--('2026'!$A$5:$A$500=$I$1),--('2026'!$J$5:$J$500=$B35))</f>
        <v/>
      </c>
      <c r="K35" s="50">
        <f>SUMPRODUCT(--('2026'!$A$5:$A$500=$K$1),--('2026'!$C$5:$C$500=$B35))+SUMPRODUCT(--('2026'!$A$5:$A$500=$K$1),--('2026'!$F$5:$F$500=$B35))+SUMPRODUCT(--('2026'!$A$5:$A$500=$K$1),--('2026'!$D$5:$D$500=$B35))+SUMPRODUCT(--('2026'!$A$5:$A$500=$K$1),--('2026'!$G$5:$G$500=$B35))</f>
        <v/>
      </c>
      <c r="L35" s="50">
        <f>SUMPRODUCT(--('2026'!$A$5:$A$500=$K$1),--('2026'!$I$5:$I$500=$B35))+SUMPRODUCT(--('2026'!$A$5:$A$500=$K$1),--('2026'!$J$5:$J$500=$B35))</f>
        <v/>
      </c>
      <c r="M35" s="50">
        <f>SUMPRODUCT(--('2026'!$A$5:$A$500=$M$1),--('2026'!$C$5:$C$500=$B35))+SUMPRODUCT(--('2026'!$A$5:$A$500=$M$1),--('2026'!$F$5:$F$500=$B35))+SUMPRODUCT(--('2026'!$A$5:$A$500=$M$1),--('2026'!$D$5:$D$500=$B35))+SUMPRODUCT(--('2026'!$A$5:$A$500=$M$1),--('2026'!$G$5:$G$500=$B35))</f>
        <v/>
      </c>
      <c r="N35" s="50">
        <f>SUMPRODUCT(--('2026'!$A$5:$A$500=$M$1),--('2026'!$I$5:$I$500=$B35))+SUMPRODUCT(--('2026'!$A$5:$A$500=$M$1),--('2026'!$J$5:$J$500=$B35))</f>
        <v/>
      </c>
      <c r="O35" s="50">
        <f>SUMPRODUCT(--('2026'!$A$5:$A$500=$O$1),--('2026'!$C$5:$C$500=$B35))+SUMPRODUCT(--('2026'!$A$5:$A$500=$O$1),--('2026'!$F$5:$F$500=$B35))+SUMPRODUCT(--('2026'!$A$5:$A$500=$O$1),--('2026'!$D$5:$D$500=$B35))+SUMPRODUCT(--('2026'!$A$5:$A$500=$O$1),--('2026'!$G$5:$G$500=$B35))</f>
        <v/>
      </c>
      <c r="P35" s="50">
        <f>SUMPRODUCT(--('2026'!$A$5:$A$500=$O$1),--('2026'!$I$5:$I$500=$B35))+SUMPRODUCT(--('2026'!$A$5:$A$500=$O$1),--('2026'!$J$5:$J$500=$B35))</f>
        <v/>
      </c>
      <c r="Q35" s="50">
        <f>SUMPRODUCT(--('2026'!$A$5:$A$500=$Q$1),--('2026'!$C$5:$C$500=$B35))+SUMPRODUCT(--('2026'!$A$5:$A$500=$Q$1),--('2026'!$F$5:$F$500=$B35))+SUMPRODUCT(--('2026'!$A$5:$A$500=$Q$1),--('2026'!$D$5:$D$500=$B35))+SUMPRODUCT(--('2026'!$A$5:$A$500=$Q$1),--('2026'!$G$5:$G$500=$B35))</f>
        <v/>
      </c>
      <c r="R35" s="50">
        <f>SUMPRODUCT(--('2026'!$A$5:$A$500=$Q$1),--('2026'!$I$5:$I$500=$B35))+SUMPRODUCT(--('2026'!$A$5:$A$500=$Q$1),--('2026'!$J$5:$J$500=$B35))</f>
        <v/>
      </c>
      <c r="S35" s="50">
        <f>SUMPRODUCT(--('2026'!$A$5:$A$500=$S$1),--('2026'!$C$5:$C$500=$B35))+SUMPRODUCT(--('2026'!$A$5:$A$500=$S$1),--('2026'!$F$5:$F$500=$B35))+SUMPRODUCT(--('2026'!$A$5:$A$500=$S$1),--('2026'!$D$5:$D$500=$B35))+SUMPRODUCT(--('2026'!$A$5:$A$500=$S$1),--('2026'!$G$5:$G$500=$B35))</f>
        <v/>
      </c>
      <c r="T35" s="50">
        <f>SUMPRODUCT(--('2026'!$A$5:$A$500=$S$1),--('2026'!$I$5:$I$500=$B35))+SUMPRODUCT(--('2026'!$A$5:$A$500=$S$1),--('2026'!$J$5:$J$500=$B35))</f>
        <v/>
      </c>
      <c r="U35" s="50">
        <f>SUMPRODUCT(--('2026'!$A$5:$A$500=$U$1),--('2026'!$C$5:$C$500=$B35))+SUMPRODUCT(--('2026'!$A$5:$A$500=$U$1),--('2026'!$F$5:$F$500=$B35))+SUMPRODUCT(--('2026'!$A$5:$A$500=$U$1),--('2026'!$D$5:$D$500=$B35))+SUMPRODUCT(--('2026'!$A$5:$A$500=$U$1),--('2026'!$G$5:$G$500=$B35))</f>
        <v/>
      </c>
      <c r="V35" s="50">
        <f>SUMPRODUCT(--('2026'!$A$5:$A$500=$U$1),--('2026'!$I$5:$I$500=$B35))+SUMPRODUCT(--('2026'!$A$5:$A$500=$U$1),--('2026'!$J$5:$J$500=$B35))</f>
        <v/>
      </c>
      <c r="W35" s="50">
        <f>SUMPRODUCT(--('2026'!$A$5:$A$500=$W$1),--('2026'!$C$5:$C$500=$B35))+SUMPRODUCT(--('2026'!$A$5:$A$500=$W$1),--('2026'!$F$5:$F$500=$B35))+SUMPRODUCT(--('2026'!$A$5:$A$500=$W$1),--('2026'!$D$5:$D$500=$B35))+SUMPRODUCT(--('2026'!$A$5:$A$500=$W$1),--('2026'!$G$5:$G$500=$B35))</f>
        <v/>
      </c>
      <c r="X35" s="50">
        <f>SUMPRODUCT(--('2026'!$A$5:$A$500=$W$1),--('2026'!$I$5:$I$500=$B35))+SUMPRODUCT(--('2026'!$A$5:$A$500=$W$1),--('2026'!$J$5:$J$500=$B35))</f>
        <v/>
      </c>
      <c r="Y35" s="50">
        <f>SUMPRODUCT(--('2026'!$A$5:$A$500=$Y$1),--('2026'!$C$5:$C$500=$B35))+SUMPRODUCT(--('2026'!$A$5:$A$500=$Y$1),--('2026'!$F$5:$F$500=$B35))+SUMPRODUCT(--('2026'!$A$5:$A$500=$Y$1),--('2026'!$D$5:$D$500=$B35))+SUMPRODUCT(--('2026'!$A$5:$A$500=$Y$1),--('2026'!$G$5:$G$500=$B35))</f>
        <v/>
      </c>
      <c r="Z35" s="50">
        <f>SUMPRODUCT(--('2026'!$A$5:$A$500=$Y$1),--('2026'!$I$5:$I$500=$B35))+SUMPRODUCT(--('2026'!$A$5:$A$500=$Y$1),--('2026'!$J$5:$J$500=$B35))</f>
        <v/>
      </c>
      <c r="AA35" s="50">
        <f>SUMPRODUCT(--('2026'!$A$5:$A$500=$AA$1),--('2026'!$C$5:$C$500=$B35))+SUMPRODUCT(--('2026'!$A$5:$A$500=$AA$1),--('2026'!$F$5:$F$500=$B35))+SUMPRODUCT(--('2026'!$A$5:$A$500=$AA$1),--('2026'!$D$5:$D$500=$B35))+SUMPRODUCT(--('2026'!$A$5:$A$500=$AA$1),--('2026'!$G$5:$G$500=$B35))</f>
        <v/>
      </c>
      <c r="AB35" s="50">
        <f>SUMPRODUCT(--('2026'!$A$5:$A$500=$AA$1),--('2026'!$I$5:$I$500=$B35))+SUMPRODUCT(--('2026'!$A$5:$A$500=$AA$1),--('2026'!$J$5:$J$500=$B35))</f>
        <v/>
      </c>
      <c r="AC35" s="50">
        <f>SUMPRODUCT(--('2026'!$A$5:$A$500=$AC$1),--('2026'!$C$5:$C$500=$B35))+SUMPRODUCT(--('2026'!$A$5:$A$500=$AC$1),--('2026'!$F$5:$F$500=$B35))+SUMPRODUCT(--('2026'!$A$5:$A$500=$AC$1),--('2026'!$D$5:$D$500=$B35))+SUMPRODUCT(--('2026'!$A$5:$A$500=$AC$1),--('2026'!$G$5:$G$500=$B35))</f>
        <v/>
      </c>
      <c r="AD35" s="50">
        <f>SUMPRODUCT(--('2026'!$A$5:$A$500=$AC$1),--('2026'!$I$5:$I$500=$B35))+SUMPRODUCT(--('2026'!$A$5:$A$500=$AC$1),--('2026'!$J$5:$J$500=$B35))</f>
        <v/>
      </c>
      <c r="AE35" s="50">
        <f>SUMPRODUCT(--('2026'!$A$5:$A$500=$AE$1),--('2026'!$C$5:$C$500=$B35))+SUMPRODUCT(--('2026'!$A$5:$A$500=$AE$1),--('2026'!$F$5:$F$500=$B35))+SUMPRODUCT(--('2026'!$A$5:$A$500=$AE$1),--('2026'!$D$5:$D$500=$B35))+SUMPRODUCT(--('2026'!$A$5:$A$500=$AE$1),--('2026'!$G$5:$G$500=$B35))</f>
        <v/>
      </c>
      <c r="AF35" s="50">
        <f>SUMPRODUCT(--('2026'!$A$5:$A$500=$AE$1),--('2026'!$I$5:$I$500=$B35))+SUMPRODUCT(--('2026'!$A$5:$A$500=$AE$1),--('2026'!$J$5:$J$500=$B35))</f>
        <v/>
      </c>
      <c r="AG35" s="50">
        <f>SUMPRODUCT(--('2026'!$A$5:$A$500=$AG$1),--('2026'!$C$5:$C$500=$B35))+SUMPRODUCT(--('2026'!$A$5:$A$500=$AG$1),--('2026'!$F$5:$F$500=$B35))+SUMPRODUCT(--('2026'!$A$5:$A$500=$AG$1),--('2026'!$D$5:$D$500=$B35))+SUMPRODUCT(--('2026'!$A$5:$A$500=$AG$1),--('2026'!$G$5:$G$500=$B35))</f>
        <v/>
      </c>
      <c r="AH35" s="50">
        <f>SUMPRODUCT(--('2026'!$A$5:$A$500=$AG$1),--('2026'!$I$5:$I$500=$B35))+SUMPRODUCT(--('2026'!$A$5:$A$500=$AG$1),--('2026'!$J$5:$J$500=$B35))</f>
        <v/>
      </c>
      <c r="AI35" s="50">
        <f>SUMPRODUCT(--('2026'!$A$5:$A$500=$AI$1),--('2026'!$C$5:$C$500=$B35))+SUMPRODUCT(--('2026'!$A$5:$A$500=$AI$1),--('2026'!$F$5:$F$500=$B35))+SUMPRODUCT(--('2026'!$A$5:$A$500=$AI$1),--('2026'!$D$5:$D$500=$B35))+SUMPRODUCT(--('2026'!$A$5:$A$500=$AI$1),--('2026'!$G$5:$G$500=$B35))</f>
        <v/>
      </c>
      <c r="AJ35" s="50">
        <f>SUMPRODUCT(--('2026'!$A$5:$A$500=$AI$1),--('2026'!$I$5:$I$500=$B35))+SUMPRODUCT(--('2026'!$A$5:$A$500=$AI$1),--('2026'!$J$5:$J$500=$B35))</f>
        <v/>
      </c>
      <c r="AK35" s="50">
        <f>SUMPRODUCT(--('2026'!$A$5:$A$500=$AK$1),--('2026'!$C$5:$C$500=$B35))+SUMPRODUCT(--('2026'!$A$5:$A$500=$AK$1),--('2026'!$F$5:$F$500=$B35))+SUMPRODUCT(--('2026'!$A$5:$A$500=$AK$1),--('2026'!$D$5:$D$500=$B35))+SUMPRODUCT(--('2026'!$A$5:$A$500=$AK$1),--('2026'!$G$5:$G$500=$B35))</f>
        <v/>
      </c>
      <c r="AL35" s="50">
        <f>SUMPRODUCT(--('2026'!$A$5:$A$500=$AK$1),--('2026'!$I$5:$I$500=$B35))+SUMPRODUCT(--('2026'!$A$5:$A$500=$AK$1),--('2026'!$J$5:$J$500=$B35))</f>
        <v/>
      </c>
      <c r="AM35" s="50">
        <f>SUMPRODUCT(--('2026'!$A$5:$A$500=$AM$1),--('2026'!$C$5:$C$500=$B35))+SUMPRODUCT(--('2026'!$A$5:$A$500=$AM$1),--('2026'!$F$5:$F$500=$B35))+SUMPRODUCT(--('2026'!$A$5:$A$500=$AM$1),--('2026'!$D$5:$D$500=$B35))+SUMPRODUCT(--('2026'!$A$5:$A$500=$AM$1),--('2026'!$G$5:$G$500=$B35))</f>
        <v/>
      </c>
      <c r="AN35" s="50">
        <f>SUMPRODUCT(--('2026'!$A$5:$A$500=$AM$1),--('2026'!$I$5:$I$500=$B35))+SUMPRODUCT(--('2026'!$A$5:$A$500=$AM$1),--('2026'!$J$5:$J$500=$B35))</f>
        <v/>
      </c>
      <c r="AO35" s="50">
        <f>SUMPRODUCT(--('2026'!$A$5:$A$500=$AO$1),--('2026'!$C$5:$C$500=$B35))+SUMPRODUCT(--('2026'!$A$5:$A$500=$AO$1),--('2026'!$F$5:$F$500=$B35))+SUMPRODUCT(--('2026'!$A$5:$A$500=$AO$1),--('2026'!$D$5:$D$500=$B35))+SUMPRODUCT(--('2026'!$A$5:$A$500=$AO$1),--('2026'!$G$5:$G$500=$B35))</f>
        <v/>
      </c>
      <c r="AP35" s="50">
        <f>SUMPRODUCT(--('2026'!$A$5:$A$500=$AO$1),--('2026'!$I$5:$I$500=$B35))+SUMPRODUCT(--('2026'!$A$5:$A$500=$AO$1),--('2026'!$J$5:$J$500=$B35))</f>
        <v/>
      </c>
      <c r="AQ35" s="50">
        <f>SUMPRODUCT(--('2026'!$A$5:$A$500=$AQ$1),--('2026'!$C$5:$C$500=$B35))+SUMPRODUCT(--('2026'!$A$5:$A$500=$AQ$1),--('2026'!$F$5:$F$500=$B35))+SUMPRODUCT(--('2026'!$A$5:$A$500=$AQ$1),--('2026'!$D$5:$D$500=$B35))+SUMPRODUCT(--('2026'!$A$5:$A$500=$AQ$1),--('2026'!$G$5:$G$500=$B35))</f>
        <v/>
      </c>
      <c r="AR35" s="50">
        <f>SUMPRODUCT(--('2026'!$A$5:$A$500=$AQ$1),--('2026'!$I$5:$I$500=$B35))+SUMPRODUCT(--('2026'!$A$5:$A$500=$AQ$1),--('2026'!$J$5:$J$500=$B35))</f>
        <v/>
      </c>
      <c r="AS35" s="50">
        <f>SUMPRODUCT(--('2026'!$A$5:$A$500=$AS$1),--('2026'!$C$5:$C$500=$B35))+SUMPRODUCT(--('2026'!$A$5:$A$500=$AS$1),--('2026'!$F$5:$F$500=$B35))+SUMPRODUCT(--('2026'!$A$5:$A$500=$AS$1),--('2026'!$D$5:$D$500=$B35))+SUMPRODUCT(--('2026'!$A$5:$A$500=$AS$1),--('2026'!$G$5:$G$500=$B35))</f>
        <v/>
      </c>
      <c r="AT35" s="50">
        <f>SUMPRODUCT(--('2026'!$A$5:$A$500=$AS$1),--('2026'!$I$5:$I$500=$B35))+SUMPRODUCT(--('2026'!$A$5:$A$500=$AS$1),--('2026'!$J$5:$J$500=$B35))</f>
        <v/>
      </c>
      <c r="AU35" s="50">
        <f>SUMPRODUCT(--('2026'!$A$5:$A$500=$AU$1),--('2026'!$C$5:$C$500=$B35))+SUMPRODUCT(--('2026'!$A$5:$A$500=$AU$1),--('2026'!$F$5:$F$500=$B35))+SUMPRODUCT(--('2026'!$A$5:$A$500=$AU$1),--('2026'!$D$5:$D$500=$B35))+SUMPRODUCT(--('2026'!$A$5:$A$500=$AU$1),--('2026'!$G$5:$G$500=$B35))</f>
        <v/>
      </c>
      <c r="AV35" s="50">
        <f>SUMPRODUCT(--('2026'!$A$5:$A$500=$AU$1),--('2026'!$I$5:$I$500=$B35))+SUMPRODUCT(--('2026'!$A$5:$A$500=$AU$1),--('2026'!$J$5:$J$500=$B35))</f>
        <v/>
      </c>
      <c r="AW35" s="50">
        <f>SUMPRODUCT(--('2026'!$A$5:$A$500=$AW$1),--('2026'!$C$5:$C$500=$B35))+SUMPRODUCT(--('2026'!$A$5:$A$500=$AW$1),--('2026'!$F$5:$F$500=$B35))+SUMPRODUCT(--('2026'!$A$5:$A$500=$AW$1),--('2026'!$D$5:$D$500=$B35))+SUMPRODUCT(--('2026'!$A$5:$A$500=$AW$1),--('2026'!$G$5:$G$500=$B35))</f>
        <v/>
      </c>
      <c r="AX35" s="50">
        <f>SUMPRODUCT(--('2026'!$A$5:$A$500=$AW$1),--('2026'!$I$5:$I$500=$B35))+SUMPRODUCT(--('2026'!$A$5:$A$500=$AW$1),--('2026'!$J$5:$J$500=$B35))</f>
        <v/>
      </c>
      <c r="BA35" s="54" t="inlineStr">
        <is>
          <t>Karthik</t>
        </is>
      </c>
      <c r="BB35" s="47">
        <f>IF(ISODD(COUNTIF(C35:AX35,"&gt;0")),COUNTIF(C35:AX35,"&gt;0")+1,COUNTIF(C35:AX35,"&gt;0"))/2</f>
        <v/>
      </c>
      <c r="BC35" s="52">
        <f>BB35/15</f>
        <v/>
      </c>
    </row>
    <row r="36" ht="15" customHeight="1" s="106">
      <c r="A36" t="n">
        <v>34</v>
      </c>
      <c r="B36" s="54" t="inlineStr">
        <is>
          <t>Jenson</t>
        </is>
      </c>
      <c r="C36" s="50">
        <f>SUMPRODUCT(--('2026'!$A$5:$A$500=$C$1),--('2026'!$C$5:$C$500=$B36))+SUMPRODUCT(--('2026'!$A$5:$A$500=$C$1),--('2026'!$F$5:$F$500=$B36))+SUMPRODUCT(--('2026'!$A$5:$A$500=$C$1),--('2026'!$D$5:$D$500=$B36))+SUMPRODUCT(--('2026'!$A$5:$A$500=$C$1),--('2026'!$G$5:$G$500=$B36))</f>
        <v/>
      </c>
      <c r="D36" s="50">
        <f>SUMPRODUCT(--('2026'!$A$5:$A$500=$C$1),--('2026'!$I$5:$I$500=$B36))+SUMPRODUCT(--('2026'!$A$5:$A$500=$C$1),--('2026'!$J$5:$J$500=$B36))</f>
        <v/>
      </c>
      <c r="E36" s="50">
        <f>SUMPRODUCT(--('2026'!$A$5:$A$500=$E$1),--('2026'!$C$5:$C$500=$B36))+SUMPRODUCT(--('2026'!$A$5:$A$500=$E$1),--('2026'!$F$5:$F$500=$B36))+SUMPRODUCT(--('2026'!$A$5:$A$500=$E$1),--('2026'!$D$5:$D$500=$B36))+SUMPRODUCT(--('2026'!$A$5:$A$500=$E$1),--('2026'!$G$5:$G$500=$B36))</f>
        <v/>
      </c>
      <c r="F36" s="50">
        <f>SUMPRODUCT(--('2026'!$A$5:$A$500=$E$1),--('2026'!$I$5:$I$500=$B36))+SUMPRODUCT(--('2026'!$A$5:$A$500=$E$1),--('2026'!$J$5:$J$500=$B36))</f>
        <v/>
      </c>
      <c r="G36" s="50">
        <f>SUMPRODUCT(--('2026'!$A$5:$A$500=$G$1),--('2026'!$C$5:$C$500=$B36))+SUMPRODUCT(--('2026'!$A$5:$A$500=$G$1),--('2026'!$F$5:$F$500=$B36))+SUMPRODUCT(--('2026'!$A$5:$A$500=$G$1),--('2026'!$D$5:$D$500=$B36))+SUMPRODUCT(--('2026'!$A$5:$A$500=$G$1),--('2026'!$G$5:$G$500=$B36))</f>
        <v/>
      </c>
      <c r="H36" s="50">
        <f>SUMPRODUCT(--('2026'!$A$5:$A$500=$G$1),--('2026'!$I$5:$I$500=$B36))+SUMPRODUCT(--('2026'!$A$5:$A$500=$G$1),--('2026'!$J$5:$J$500=$B36))</f>
        <v/>
      </c>
      <c r="I36" s="50">
        <f>SUMPRODUCT(--('2026'!$A$5:$A$500=$I$1),--('2026'!$C$5:$C$500=$B36))+SUMPRODUCT(--('2026'!$A$5:$A$500=$I$1),--('2026'!$F$5:$F$500=$B36))+SUMPRODUCT(--('2026'!$A$5:$A$500=$I$1),--('2026'!$D$5:$D$500=$B36))+SUMPRODUCT(--('2026'!$A$5:$A$500=$I$1),--('2026'!$G$5:$G$500=$B36))</f>
        <v/>
      </c>
      <c r="J36" s="50">
        <f>SUMPRODUCT(--('2026'!$A$5:$A$500=$I$1),--('2026'!$I$5:$I$500=$B36))+SUMPRODUCT(--('2026'!$A$5:$A$500=$I$1),--('2026'!$J$5:$J$500=$B36))</f>
        <v/>
      </c>
      <c r="K36" s="50">
        <f>SUMPRODUCT(--('2026'!$A$5:$A$500=$K$1),--('2026'!$C$5:$C$500=$B36))+SUMPRODUCT(--('2026'!$A$5:$A$500=$K$1),--('2026'!$F$5:$F$500=$B36))+SUMPRODUCT(--('2026'!$A$5:$A$500=$K$1),--('2026'!$D$5:$D$500=$B36))+SUMPRODUCT(--('2026'!$A$5:$A$500=$K$1),--('2026'!$G$5:$G$500=$B36))</f>
        <v/>
      </c>
      <c r="L36" s="50">
        <f>SUMPRODUCT(--('2026'!$A$5:$A$500=$K$1),--('2026'!$I$5:$I$500=$B36))+SUMPRODUCT(--('2026'!$A$5:$A$500=$K$1),--('2026'!$J$5:$J$500=$B36))</f>
        <v/>
      </c>
      <c r="M36" s="50">
        <f>SUMPRODUCT(--('2026'!$A$5:$A$500=$M$1),--('2026'!$C$5:$C$500=$B36))+SUMPRODUCT(--('2026'!$A$5:$A$500=$M$1),--('2026'!$F$5:$F$500=$B36))+SUMPRODUCT(--('2026'!$A$5:$A$500=$M$1),--('2026'!$D$5:$D$500=$B36))+SUMPRODUCT(--('2026'!$A$5:$A$500=$M$1),--('2026'!$G$5:$G$500=$B36))</f>
        <v/>
      </c>
      <c r="N36" s="50">
        <f>SUMPRODUCT(--('2026'!$A$5:$A$500=$M$1),--('2026'!$I$5:$I$500=$B36))+SUMPRODUCT(--('2026'!$A$5:$A$500=$M$1),--('2026'!$J$5:$J$500=$B36))</f>
        <v/>
      </c>
      <c r="O36" s="50">
        <f>SUMPRODUCT(--('2026'!$A$5:$A$500=$O$1),--('2026'!$C$5:$C$500=$B36))+SUMPRODUCT(--('2026'!$A$5:$A$500=$O$1),--('2026'!$F$5:$F$500=$B36))+SUMPRODUCT(--('2026'!$A$5:$A$500=$O$1),--('2026'!$D$5:$D$500=$B36))+SUMPRODUCT(--('2026'!$A$5:$A$500=$O$1),--('2026'!$G$5:$G$500=$B36))</f>
        <v/>
      </c>
      <c r="P36" s="50">
        <f>SUMPRODUCT(--('2026'!$A$5:$A$500=$O$1),--('2026'!$I$5:$I$500=$B36))+SUMPRODUCT(--('2026'!$A$5:$A$500=$O$1),--('2026'!$J$5:$J$500=$B36))</f>
        <v/>
      </c>
      <c r="Q36" s="50">
        <f>SUMPRODUCT(--('2026'!$A$5:$A$500=$Q$1),--('2026'!$C$5:$C$500=$B36))+SUMPRODUCT(--('2026'!$A$5:$A$500=$Q$1),--('2026'!$F$5:$F$500=$B36))+SUMPRODUCT(--('2026'!$A$5:$A$500=$Q$1),--('2026'!$D$5:$D$500=$B36))+SUMPRODUCT(--('2026'!$A$5:$A$500=$Q$1),--('2026'!$G$5:$G$500=$B36))</f>
        <v/>
      </c>
      <c r="R36" s="50">
        <f>SUMPRODUCT(--('2026'!$A$5:$A$500=$Q$1),--('2026'!$I$5:$I$500=$B36))+SUMPRODUCT(--('2026'!$A$5:$A$500=$Q$1),--('2026'!$J$5:$J$500=$B36))</f>
        <v/>
      </c>
      <c r="S36" s="50">
        <f>SUMPRODUCT(--('2026'!$A$5:$A$500=$S$1),--('2026'!$C$5:$C$500=$B36))+SUMPRODUCT(--('2026'!$A$5:$A$500=$S$1),--('2026'!$F$5:$F$500=$B36))+SUMPRODUCT(--('2026'!$A$5:$A$500=$S$1),--('2026'!$D$5:$D$500=$B36))+SUMPRODUCT(--('2026'!$A$5:$A$500=$S$1),--('2026'!$G$5:$G$500=$B36))</f>
        <v/>
      </c>
      <c r="T36" s="50">
        <f>SUMPRODUCT(--('2026'!$A$5:$A$500=$S$1),--('2026'!$I$5:$I$500=$B36))+SUMPRODUCT(--('2026'!$A$5:$A$500=$S$1),--('2026'!$J$5:$J$500=$B36))</f>
        <v/>
      </c>
      <c r="U36" s="50">
        <f>SUMPRODUCT(--('2026'!$A$5:$A$500=$U$1),--('2026'!$C$5:$C$500=$B36))+SUMPRODUCT(--('2026'!$A$5:$A$500=$U$1),--('2026'!$F$5:$F$500=$B36))+SUMPRODUCT(--('2026'!$A$5:$A$500=$U$1),--('2026'!$D$5:$D$500=$B36))+SUMPRODUCT(--('2026'!$A$5:$A$500=$U$1),--('2026'!$G$5:$G$500=$B36))</f>
        <v/>
      </c>
      <c r="V36" s="50">
        <f>SUMPRODUCT(--('2026'!$A$5:$A$500=$U$1),--('2026'!$I$5:$I$500=$B36))+SUMPRODUCT(--('2026'!$A$5:$A$500=$U$1),--('2026'!$J$5:$J$500=$B36))</f>
        <v/>
      </c>
      <c r="W36" s="50">
        <f>SUMPRODUCT(--('2026'!$A$5:$A$500=$W$1),--('2026'!$C$5:$C$500=$B36))+SUMPRODUCT(--('2026'!$A$5:$A$500=$W$1),--('2026'!$F$5:$F$500=$B36))+SUMPRODUCT(--('2026'!$A$5:$A$500=$W$1),--('2026'!$D$5:$D$500=$B36))+SUMPRODUCT(--('2026'!$A$5:$A$500=$W$1),--('2026'!$G$5:$G$500=$B36))</f>
        <v/>
      </c>
      <c r="X36" s="50">
        <f>SUMPRODUCT(--('2026'!$A$5:$A$500=$W$1),--('2026'!$I$5:$I$500=$B36))+SUMPRODUCT(--('2026'!$A$5:$A$500=$W$1),--('2026'!$J$5:$J$500=$B36))</f>
        <v/>
      </c>
      <c r="Y36" s="51">
        <f>SUMPRODUCT(--('2026'!$A$5:$A$500=$Y$1),--('2026'!$C$5:$C$500=$B36))+SUMPRODUCT(--('2026'!$A$5:$A$500=$Y$1),--('2026'!$F$5:$F$500=$B36))+SUMPRODUCT(--('2026'!$A$5:$A$500=$Y$1),--('2026'!$D$5:$D$500=$B36))+SUMPRODUCT(--('2026'!$A$5:$A$500=$Y$1),--('2026'!$G$5:$G$500=$B36))</f>
        <v/>
      </c>
      <c r="Z36" s="51">
        <f>SUMPRODUCT(--('2026'!$A$5:$A$500=$Y$1),--('2026'!$I$5:$I$500=$B36))+SUMPRODUCT(--('2026'!$A$5:$A$500=$Y$1),--('2026'!$J$5:$J$500=$B36))</f>
        <v/>
      </c>
      <c r="AA36" s="51">
        <f>SUMPRODUCT(--('2026'!$A$5:$A$500=$AA$1),--('2026'!$C$5:$C$500=$B36))+SUMPRODUCT(--('2026'!$A$5:$A$500=$AA$1),--('2026'!$F$5:$F$500=$B36))+SUMPRODUCT(--('2026'!$A$5:$A$500=$AA$1),--('2026'!$D$5:$D$500=$B36))+SUMPRODUCT(--('2026'!$A$5:$A$500=$AA$1),--('2026'!$G$5:$G$500=$B36))</f>
        <v/>
      </c>
      <c r="AB36" s="51">
        <f>SUMPRODUCT(--('2026'!$A$5:$A$500=$AA$1),--('2026'!$I$5:$I$500=$B36))+SUMPRODUCT(--('2026'!$A$5:$A$500=$AA$1),--('2026'!$J$5:$J$500=$B36))</f>
        <v/>
      </c>
      <c r="AC36" s="51">
        <f>SUMPRODUCT(--('2026'!$A$5:$A$500=$AC$1),--('2026'!$C$5:$C$500=$B36))+SUMPRODUCT(--('2026'!$A$5:$A$500=$AC$1),--('2026'!$F$5:$F$500=$B36))+SUMPRODUCT(--('2026'!$A$5:$A$500=$AC$1),--('2026'!$D$5:$D$500=$B36))+SUMPRODUCT(--('2026'!$A$5:$A$500=$AC$1),--('2026'!$G$5:$G$500=$B36))</f>
        <v/>
      </c>
      <c r="AD36" s="51">
        <f>SUMPRODUCT(--('2026'!$A$5:$A$500=$AC$1),--('2026'!$I$5:$I$500=$B36))+SUMPRODUCT(--('2026'!$A$5:$A$500=$AC$1),--('2026'!$J$5:$J$500=$B36))</f>
        <v/>
      </c>
      <c r="AE36" s="51">
        <f>SUMPRODUCT(--('2026'!$A$5:$A$500=$AE$1),--('2026'!$C$5:$C$500=$B36))+SUMPRODUCT(--('2026'!$A$5:$A$500=$AE$1),--('2026'!$F$5:$F$500=$B36))+SUMPRODUCT(--('2026'!$A$5:$A$500=$AE$1),--('2026'!$D$5:$D$500=$B36))+SUMPRODUCT(--('2026'!$A$5:$A$500=$AE$1),--('2026'!$G$5:$G$500=$B36))</f>
        <v/>
      </c>
      <c r="AF36" s="51">
        <f>SUMPRODUCT(--('2026'!$A$5:$A$500=$AE$1),--('2026'!$I$5:$I$500=$B36))+SUMPRODUCT(--('2026'!$A$5:$A$500=$AE$1),--('2026'!$J$5:$J$500=$B36))</f>
        <v/>
      </c>
      <c r="AG36" s="51">
        <f>SUMPRODUCT(--('2026'!$A$5:$A$500=$AG$1),--('2026'!$C$5:$C$500=$B36))+SUMPRODUCT(--('2026'!$A$5:$A$500=$AG$1),--('2026'!$F$5:$F$500=$B36))+SUMPRODUCT(--('2026'!$A$5:$A$500=$AG$1),--('2026'!$D$5:$D$500=$B36))+SUMPRODUCT(--('2026'!$A$5:$A$500=$AG$1),--('2026'!$G$5:$G$500=$B36))</f>
        <v/>
      </c>
      <c r="AH36" s="51">
        <f>SUMPRODUCT(--('2026'!$A$5:$A$500=$AG$1),--('2026'!$I$5:$I$500=$B36))+SUMPRODUCT(--('2026'!$A$5:$A$500=$AG$1),--('2026'!$J$5:$J$500=$B36))</f>
        <v/>
      </c>
      <c r="AI36" s="51">
        <f>SUMPRODUCT(--('2026'!$A$5:$A$500=$AI$1),--('2026'!$C$5:$C$500=$B36))+SUMPRODUCT(--('2026'!$A$5:$A$500=$AI$1),--('2026'!$F$5:$F$500=$B36))+SUMPRODUCT(--('2026'!$A$5:$A$500=$AI$1),--('2026'!$D$5:$D$500=$B36))+SUMPRODUCT(--('2026'!$A$5:$A$500=$AI$1),--('2026'!$G$5:$G$500=$B36))</f>
        <v/>
      </c>
      <c r="AJ36" s="51">
        <f>SUMPRODUCT(--('2026'!$A$5:$A$500=$AI$1),--('2026'!$I$5:$I$500=$B36))+SUMPRODUCT(--('2026'!$A$5:$A$500=$AI$1),--('2026'!$J$5:$J$500=$B36))</f>
        <v/>
      </c>
      <c r="AK36" s="51">
        <f>SUMPRODUCT(--('2026'!$A$5:$A$500=$AK$1),--('2026'!$C$5:$C$500=$B36))+SUMPRODUCT(--('2026'!$A$5:$A$500=$AK$1),--('2026'!$F$5:$F$500=$B36))+SUMPRODUCT(--('2026'!$A$5:$A$500=$AK$1),--('2026'!$D$5:$D$500=$B36))+SUMPRODUCT(--('2026'!$A$5:$A$500=$AK$1),--('2026'!$G$5:$G$500=$B36))</f>
        <v/>
      </c>
      <c r="AL36" s="51">
        <f>SUMPRODUCT(--('2026'!$A$5:$A$500=$AK$1),--('2026'!$I$5:$I$500=$B36))+SUMPRODUCT(--('2026'!$A$5:$A$500=$AK$1),--('2026'!$J$5:$J$500=$B36))</f>
        <v/>
      </c>
      <c r="AM36" s="51">
        <f>SUMPRODUCT(--('2026'!$A$5:$A$500=$AM$1),--('2026'!$C$5:$C$500=$B36))+SUMPRODUCT(--('2026'!$A$5:$A$500=$AM$1),--('2026'!$F$5:$F$500=$B36))+SUMPRODUCT(--('2026'!$A$5:$A$500=$AM$1),--('2026'!$D$5:$D$500=$B36))+SUMPRODUCT(--('2026'!$A$5:$A$500=$AM$1),--('2026'!$G$5:$G$500=$B36))</f>
        <v/>
      </c>
      <c r="AN36" s="51">
        <f>SUMPRODUCT(--('2026'!$A$5:$A$500=$AM$1),--('2026'!$I$5:$I$500=$B36))+SUMPRODUCT(--('2026'!$A$5:$A$500=$AM$1),--('2026'!$J$5:$J$500=$B36))</f>
        <v/>
      </c>
      <c r="AO36" s="51">
        <f>SUMPRODUCT(--('2026'!$A$5:$A$500=$AO$1),--('2026'!$C$5:$C$500=$B36))+SUMPRODUCT(--('2026'!$A$5:$A$500=$AO$1),--('2026'!$F$5:$F$500=$B36))+SUMPRODUCT(--('2026'!$A$5:$A$500=$AO$1),--('2026'!$D$5:$D$500=$B36))+SUMPRODUCT(--('2026'!$A$5:$A$500=$AO$1),--('2026'!$G$5:$G$500=$B36))</f>
        <v/>
      </c>
      <c r="AP36" s="51">
        <f>SUMPRODUCT(--('2026'!$A$5:$A$500=$AO$1),--('2026'!$I$5:$I$500=$B36))+SUMPRODUCT(--('2026'!$A$5:$A$500=$AO$1),--('2026'!$J$5:$J$500=$B36))</f>
        <v/>
      </c>
      <c r="AQ36" s="51">
        <f>SUMPRODUCT(--('2026'!$A$5:$A$500=$AQ$1),--('2026'!$C$5:$C$500=$B36))+SUMPRODUCT(--('2026'!$A$5:$A$500=$AQ$1),--('2026'!$F$5:$F$500=$B36))+SUMPRODUCT(--('2026'!$A$5:$A$500=$AQ$1),--('2026'!$D$5:$D$500=$B36))+SUMPRODUCT(--('2026'!$A$5:$A$500=$AQ$1),--('2026'!$G$5:$G$500=$B36))</f>
        <v/>
      </c>
      <c r="AR36" s="51">
        <f>SUMPRODUCT(--('2026'!$A$5:$A$500=$AQ$1),--('2026'!$I$5:$I$500=$B36))+SUMPRODUCT(--('2026'!$A$5:$A$500=$AQ$1),--('2026'!$J$5:$J$500=$B36))</f>
        <v/>
      </c>
      <c r="AS36" s="51">
        <f>SUMPRODUCT(--('2026'!$A$5:$A$500=$AS$1),--('2026'!$C$5:$C$500=$B36))+SUMPRODUCT(--('2026'!$A$5:$A$500=$AS$1),--('2026'!$F$5:$F$500=$B36))+SUMPRODUCT(--('2026'!$A$5:$A$500=$AS$1),--('2026'!$D$5:$D$500=$B36))+SUMPRODUCT(--('2026'!$A$5:$A$500=$AS$1),--('2026'!$G$5:$G$500=$B36))</f>
        <v/>
      </c>
      <c r="AT36" s="51">
        <f>SUMPRODUCT(--('2026'!$A$5:$A$500=$AS$1),--('2026'!$I$5:$I$500=$B36))+SUMPRODUCT(--('2026'!$A$5:$A$500=$AS$1),--('2026'!$J$5:$J$500=$B36))</f>
        <v/>
      </c>
      <c r="AU36" s="51">
        <f>SUMPRODUCT(--('2026'!$A$5:$A$500=$AU$1),--('2026'!$C$5:$C$500=$B36))+SUMPRODUCT(--('2026'!$A$5:$A$500=$AU$1),--('2026'!$F$5:$F$500=$B36))+SUMPRODUCT(--('2026'!$A$5:$A$500=$AU$1),--('2026'!$D$5:$D$500=$B36))+SUMPRODUCT(--('2026'!$A$5:$A$500=$AU$1),--('2026'!$G$5:$G$500=$B36))</f>
        <v/>
      </c>
      <c r="AV36" s="51">
        <f>SUMPRODUCT(--('2026'!$A$5:$A$500=$AU$1),--('2026'!$I$5:$I$500=$B36))+SUMPRODUCT(--('2026'!$A$5:$A$500=$AU$1),--('2026'!$J$5:$J$500=$B36))</f>
        <v/>
      </c>
      <c r="AW36" s="51">
        <f>SUMPRODUCT(--('2026'!$A$5:$A$500=$AW$1),--('2026'!$C$5:$C$500=$B36))+SUMPRODUCT(--('2026'!$A$5:$A$500=$AW$1),--('2026'!$F$5:$F$500=$B36))+SUMPRODUCT(--('2026'!$A$5:$A$500=$AW$1),--('2026'!$D$5:$D$500=$B36))+SUMPRODUCT(--('2026'!$A$5:$A$500=$AW$1),--('2026'!$G$5:$G$500=$B36))</f>
        <v/>
      </c>
      <c r="AX36" s="51">
        <f>SUMPRODUCT(--('2026'!$A$5:$A$500=$AW$1),--('2026'!$I$5:$I$500=$B36))+SUMPRODUCT(--('2026'!$A$5:$A$500=$AW$1),--('2026'!$J$5:$J$500=$B36))</f>
        <v/>
      </c>
      <c r="BA36" s="54" t="inlineStr">
        <is>
          <t>Jenson</t>
        </is>
      </c>
      <c r="BB36" s="47">
        <f>IF(ISODD(COUNTIF(C36:AX36,"&gt;0")),COUNTIF(C36:AX36,"&gt;0")+1,COUNTIF(C36:AX36,"&gt;0"))/2</f>
        <v/>
      </c>
      <c r="BC36" s="52">
        <f>BB36/15</f>
        <v/>
      </c>
    </row>
    <row r="37" ht="15" customHeight="1" s="106">
      <c r="A37" t="n">
        <v>35</v>
      </c>
      <c r="B37" s="54" t="inlineStr">
        <is>
          <t>Rahul B</t>
        </is>
      </c>
      <c r="C37" s="50">
        <f>SUMPRODUCT(--('2026'!$A$5:$A$500=$C$1),--('2026'!$C$5:$C$500=$B37))+SUMPRODUCT(--('2026'!$A$5:$A$500=$C$1),--('2026'!$F$5:$F$500=$B37))+SUMPRODUCT(--('2026'!$A$5:$A$500=$C$1),--('2026'!$D$5:$D$500=$B37))+SUMPRODUCT(--('2026'!$A$5:$A$500=$C$1),--('2026'!$G$5:$G$500=$B37))</f>
        <v/>
      </c>
      <c r="D37" s="50">
        <f>SUMPRODUCT(--('2026'!$A$5:$A$500=$C$1),--('2026'!$I$5:$I$500=$B37))+SUMPRODUCT(--('2026'!$A$5:$A$500=$C$1),--('2026'!$J$5:$J$500=$B37))</f>
        <v/>
      </c>
      <c r="E37" s="50">
        <f>SUMPRODUCT(--('2026'!$A$5:$A$500=$E$1),--('2026'!$C$5:$C$500=$B37))+SUMPRODUCT(--('2026'!$A$5:$A$500=$E$1),--('2026'!$F$5:$F$500=$B37))+SUMPRODUCT(--('2026'!$A$5:$A$500=$E$1),--('2026'!$D$5:$D$500=$B37))+SUMPRODUCT(--('2026'!$A$5:$A$500=$E$1),--('2026'!$G$5:$G$500=$B37))</f>
        <v/>
      </c>
      <c r="F37" s="50">
        <f>SUMPRODUCT(--('2026'!$A$5:$A$500=$E$1),--('2026'!$I$5:$I$500=$B37))+SUMPRODUCT(--('2026'!$A$5:$A$500=$E$1),--('2026'!$J$5:$J$500=$B37))</f>
        <v/>
      </c>
      <c r="G37" s="50">
        <f>SUMPRODUCT(--('2026'!$A$5:$A$500=$G$1),--('2026'!$C$5:$C$500=$B37))+SUMPRODUCT(--('2026'!$A$5:$A$500=$G$1),--('2026'!$F$5:$F$500=$B37))+SUMPRODUCT(--('2026'!$A$5:$A$500=$G$1),--('2026'!$D$5:$D$500=$B37))+SUMPRODUCT(--('2026'!$A$5:$A$500=$G$1),--('2026'!$G$5:$G$500=$B37))</f>
        <v/>
      </c>
      <c r="H37" s="50">
        <f>SUMPRODUCT(--('2026'!$A$5:$A$500=$G$1),--('2026'!$I$5:$I$500=$B37))+SUMPRODUCT(--('2026'!$A$5:$A$500=$G$1),--('2026'!$J$5:$J$500=$B37))</f>
        <v/>
      </c>
      <c r="I37" s="50">
        <f>SUMPRODUCT(--('2026'!$A$5:$A$500=$I$1),--('2026'!$C$5:$C$500=$B37))+SUMPRODUCT(--('2026'!$A$5:$A$500=$I$1),--('2026'!$F$5:$F$500=$B37))+SUMPRODUCT(--('2026'!$A$5:$A$500=$I$1),--('2026'!$D$5:$D$500=$B37))+SUMPRODUCT(--('2026'!$A$5:$A$500=$I$1),--('2026'!$G$5:$G$500=$B37))</f>
        <v/>
      </c>
      <c r="J37" s="50">
        <f>SUMPRODUCT(--('2026'!$A$5:$A$500=$I$1),--('2026'!$I$5:$I$500=$B37))+SUMPRODUCT(--('2026'!$A$5:$A$500=$I$1),--('2026'!$J$5:$J$500=$B37))</f>
        <v/>
      </c>
      <c r="K37" s="50">
        <f>SUMPRODUCT(--('2026'!$A$5:$A$500=$K$1),--('2026'!$C$5:$C$500=$B37))+SUMPRODUCT(--('2026'!$A$5:$A$500=$K$1),--('2026'!$F$5:$F$500=$B37))+SUMPRODUCT(--('2026'!$A$5:$A$500=$K$1),--('2026'!$D$5:$D$500=$B37))+SUMPRODUCT(--('2026'!$A$5:$A$500=$K$1),--('2026'!$G$5:$G$500=$B37))</f>
        <v/>
      </c>
      <c r="L37" s="50">
        <f>SUMPRODUCT(--('2026'!$A$5:$A$500=$K$1),--('2026'!$I$5:$I$500=$B37))+SUMPRODUCT(--('2026'!$A$5:$A$500=$K$1),--('2026'!$J$5:$J$500=$B37))</f>
        <v/>
      </c>
      <c r="M37" s="50">
        <f>SUMPRODUCT(--('2026'!$A$5:$A$500=$M$1),--('2026'!$C$5:$C$500=$B37))+SUMPRODUCT(--('2026'!$A$5:$A$500=$M$1),--('2026'!$F$5:$F$500=$B37))+SUMPRODUCT(--('2026'!$A$5:$A$500=$M$1),--('2026'!$D$5:$D$500=$B37))+SUMPRODUCT(--('2026'!$A$5:$A$500=$M$1),--('2026'!$G$5:$G$500=$B37))</f>
        <v/>
      </c>
      <c r="N37" s="50">
        <f>SUMPRODUCT(--('2026'!$A$5:$A$500=$M$1),--('2026'!$I$5:$I$500=$B37))+SUMPRODUCT(--('2026'!$A$5:$A$500=$M$1),--('2026'!$J$5:$J$500=$B37))</f>
        <v/>
      </c>
      <c r="O37" s="50">
        <f>SUMPRODUCT(--('2026'!$A$5:$A$500=$O$1),--('2026'!$C$5:$C$500=$B37))+SUMPRODUCT(--('2026'!$A$5:$A$500=$O$1),--('2026'!$F$5:$F$500=$B37))+SUMPRODUCT(--('2026'!$A$5:$A$500=$O$1),--('2026'!$D$5:$D$500=$B37))+SUMPRODUCT(--('2026'!$A$5:$A$500=$O$1),--('2026'!$G$5:$G$500=$B37))</f>
        <v/>
      </c>
      <c r="P37" s="50">
        <f>SUMPRODUCT(--('2026'!$A$5:$A$500=$O$1),--('2026'!$I$5:$I$500=$B37))+SUMPRODUCT(--('2026'!$A$5:$A$500=$O$1),--('2026'!$J$5:$J$500=$B37))</f>
        <v/>
      </c>
      <c r="Q37" s="50">
        <f>SUMPRODUCT(--('2026'!$A$5:$A$500=$Q$1),--('2026'!$C$5:$C$500=$B37))+SUMPRODUCT(--('2026'!$A$5:$A$500=$Q$1),--('2026'!$F$5:$F$500=$B37))+SUMPRODUCT(--('2026'!$A$5:$A$500=$Q$1),--('2026'!$D$5:$D$500=$B37))+SUMPRODUCT(--('2026'!$A$5:$A$500=$Q$1),--('2026'!$G$5:$G$500=$B37))</f>
        <v/>
      </c>
      <c r="R37" s="50">
        <f>SUMPRODUCT(--('2026'!$A$5:$A$500=$Q$1),--('2026'!$I$5:$I$500=$B37))+SUMPRODUCT(--('2026'!$A$5:$A$500=$Q$1),--('2026'!$J$5:$J$500=$B37))</f>
        <v/>
      </c>
      <c r="S37" s="50">
        <f>SUMPRODUCT(--('2026'!$A$5:$A$500=$S$1),--('2026'!$C$5:$C$500=$B37))+SUMPRODUCT(--('2026'!$A$5:$A$500=$S$1),--('2026'!$F$5:$F$500=$B37))+SUMPRODUCT(--('2026'!$A$5:$A$500=$S$1),--('2026'!$D$5:$D$500=$B37))+SUMPRODUCT(--('2026'!$A$5:$A$500=$S$1),--('2026'!$G$5:$G$500=$B37))</f>
        <v/>
      </c>
      <c r="T37" s="50">
        <f>SUMPRODUCT(--('2026'!$A$5:$A$500=$S$1),--('2026'!$I$5:$I$500=$B37))+SUMPRODUCT(--('2026'!$A$5:$A$500=$S$1),--('2026'!$J$5:$J$500=$B37))</f>
        <v/>
      </c>
      <c r="U37" s="50">
        <f>SUMPRODUCT(--('2026'!$A$5:$A$500=$U$1),--('2026'!$C$5:$C$500=$B37))+SUMPRODUCT(--('2026'!$A$5:$A$500=$U$1),--('2026'!$F$5:$F$500=$B37))+SUMPRODUCT(--('2026'!$A$5:$A$500=$U$1),--('2026'!$D$5:$D$500=$B37))+SUMPRODUCT(--('2026'!$A$5:$A$500=$U$1),--('2026'!$G$5:$G$500=$B37))</f>
        <v/>
      </c>
      <c r="V37" s="50">
        <f>SUMPRODUCT(--('2026'!$A$5:$A$500=$U$1),--('2026'!$I$5:$I$500=$B37))+SUMPRODUCT(--('2026'!$A$5:$A$500=$U$1),--('2026'!$J$5:$J$500=$B37))</f>
        <v/>
      </c>
      <c r="W37" s="50">
        <f>SUMPRODUCT(--('2026'!$A$5:$A$500=$W$1),--('2026'!$C$5:$C$500=$B37))+SUMPRODUCT(--('2026'!$A$5:$A$500=$W$1),--('2026'!$F$5:$F$500=$B37))+SUMPRODUCT(--('2026'!$A$5:$A$500=$W$1),--('2026'!$D$5:$D$500=$B37))+SUMPRODUCT(--('2026'!$A$5:$A$500=$W$1),--('2026'!$G$5:$G$500=$B37))</f>
        <v/>
      </c>
      <c r="X37" s="50">
        <f>SUMPRODUCT(--('2026'!$A$5:$A$500=$W$1),--('2026'!$I$5:$I$500=$B37))+SUMPRODUCT(--('2026'!$A$5:$A$500=$W$1),--('2026'!$J$5:$J$500=$B37))</f>
        <v/>
      </c>
      <c r="Y37" s="50">
        <f>SUMPRODUCT(--('2026'!$A$5:$A$500=$Y$1),--('2026'!$C$5:$C$500=$B37))+SUMPRODUCT(--('2026'!$A$5:$A$500=$Y$1),--('2026'!$F$5:$F$500=$B37))+SUMPRODUCT(--('2026'!$A$5:$A$500=$Y$1),--('2026'!$D$5:$D$500=$B37))+SUMPRODUCT(--('2026'!$A$5:$A$500=$Y$1),--('2026'!$G$5:$G$500=$B37))</f>
        <v/>
      </c>
      <c r="Z37" s="50">
        <f>SUMPRODUCT(--('2026'!$A$5:$A$500=$Y$1),--('2026'!$I$5:$I$500=$B37))+SUMPRODUCT(--('2026'!$A$5:$A$500=$Y$1),--('2026'!$J$5:$J$500=$B37))</f>
        <v/>
      </c>
      <c r="AA37" s="50">
        <f>SUMPRODUCT(--('2026'!$A$5:$A$500=$AA$1),--('2026'!$C$5:$C$500=$B37))+SUMPRODUCT(--('2026'!$A$5:$A$500=$AA$1),--('2026'!$F$5:$F$500=$B37))+SUMPRODUCT(--('2026'!$A$5:$A$500=$AA$1),--('2026'!$D$5:$D$500=$B37))+SUMPRODUCT(--('2026'!$A$5:$A$500=$AA$1),--('2026'!$G$5:$G$500=$B37))</f>
        <v/>
      </c>
      <c r="AB37" s="50">
        <f>SUMPRODUCT(--('2026'!$A$5:$A$500=$AA$1),--('2026'!$I$5:$I$500=$B37))+SUMPRODUCT(--('2026'!$A$5:$A$500=$AA$1),--('2026'!$J$5:$J$500=$B37))</f>
        <v/>
      </c>
      <c r="AC37" s="50">
        <f>SUMPRODUCT(--('2026'!$A$5:$A$500=$AC$1),--('2026'!$C$5:$C$500=$B37))+SUMPRODUCT(--('2026'!$A$5:$A$500=$AC$1),--('2026'!$F$5:$F$500=$B37))+SUMPRODUCT(--('2026'!$A$5:$A$500=$AC$1),--('2026'!$D$5:$D$500=$B37))+SUMPRODUCT(--('2026'!$A$5:$A$500=$AC$1),--('2026'!$G$5:$G$500=$B37))</f>
        <v/>
      </c>
      <c r="AD37" s="50">
        <f>SUMPRODUCT(--('2026'!$A$5:$A$500=$AC$1),--('2026'!$I$5:$I$500=$B37))+SUMPRODUCT(--('2026'!$A$5:$A$500=$AC$1),--('2026'!$J$5:$J$500=$B37))</f>
        <v/>
      </c>
      <c r="AE37" s="50">
        <f>SUMPRODUCT(--('2026'!$A$5:$A$500=$AE$1),--('2026'!$C$5:$C$500=$B37))+SUMPRODUCT(--('2026'!$A$5:$A$500=$AE$1),--('2026'!$F$5:$F$500=$B37))+SUMPRODUCT(--('2026'!$A$5:$A$500=$AE$1),--('2026'!$D$5:$D$500=$B37))+SUMPRODUCT(--('2026'!$A$5:$A$500=$AE$1),--('2026'!$G$5:$G$500=$B37))</f>
        <v/>
      </c>
      <c r="AF37" s="50">
        <f>SUMPRODUCT(--('2026'!$A$5:$A$500=$AE$1),--('2026'!$I$5:$I$500=$B37))+SUMPRODUCT(--('2026'!$A$5:$A$500=$AE$1),--('2026'!$J$5:$J$500=$B37))</f>
        <v/>
      </c>
      <c r="AG37" s="50">
        <f>SUMPRODUCT(--('2026'!$A$5:$A$500=$AG$1),--('2026'!$C$5:$C$500=$B37))+SUMPRODUCT(--('2026'!$A$5:$A$500=$AG$1),--('2026'!$F$5:$F$500=$B37))+SUMPRODUCT(--('2026'!$A$5:$A$500=$AG$1),--('2026'!$D$5:$D$500=$B37))+SUMPRODUCT(--('2026'!$A$5:$A$500=$AG$1),--('2026'!$G$5:$G$500=$B37))</f>
        <v/>
      </c>
      <c r="AH37" s="50">
        <f>SUMPRODUCT(--('2026'!$A$5:$A$500=$AG$1),--('2026'!$I$5:$I$500=$B37))+SUMPRODUCT(--('2026'!$A$5:$A$500=$AG$1),--('2026'!$J$5:$J$500=$B37))</f>
        <v/>
      </c>
      <c r="AI37" s="50">
        <f>SUMPRODUCT(--('2026'!$A$5:$A$500=$AI$1),--('2026'!$C$5:$C$500=$B37))+SUMPRODUCT(--('2026'!$A$5:$A$500=$AI$1),--('2026'!$F$5:$F$500=$B37))+SUMPRODUCT(--('2026'!$A$5:$A$500=$AI$1),--('2026'!$D$5:$D$500=$B37))+SUMPRODUCT(--('2026'!$A$5:$A$500=$AI$1),--('2026'!$G$5:$G$500=$B37))</f>
        <v/>
      </c>
      <c r="AJ37" s="50">
        <f>SUMPRODUCT(--('2026'!$A$5:$A$500=$AI$1),--('2026'!$I$5:$I$500=$B37))+SUMPRODUCT(--('2026'!$A$5:$A$500=$AI$1),--('2026'!$J$5:$J$500=$B37))</f>
        <v/>
      </c>
      <c r="AK37" s="50">
        <f>SUMPRODUCT(--('2026'!$A$5:$A$500=$AK$1),--('2026'!$C$5:$C$500=$B37))+SUMPRODUCT(--('2026'!$A$5:$A$500=$AK$1),--('2026'!$F$5:$F$500=$B37))+SUMPRODUCT(--('2026'!$A$5:$A$500=$AK$1),--('2026'!$D$5:$D$500=$B37))+SUMPRODUCT(--('2026'!$A$5:$A$500=$AK$1),--('2026'!$G$5:$G$500=$B37))</f>
        <v/>
      </c>
      <c r="AL37" s="50">
        <f>SUMPRODUCT(--('2026'!$A$5:$A$500=$AK$1),--('2026'!$I$5:$I$500=$B37))+SUMPRODUCT(--('2026'!$A$5:$A$500=$AK$1),--('2026'!$J$5:$J$500=$B37))</f>
        <v/>
      </c>
      <c r="AM37" s="50">
        <f>SUMPRODUCT(--('2026'!$A$5:$A$500=$AM$1),--('2026'!$C$5:$C$500=$B37))+SUMPRODUCT(--('2026'!$A$5:$A$500=$AM$1),--('2026'!$F$5:$F$500=$B37))+SUMPRODUCT(--('2026'!$A$5:$A$500=$AM$1),--('2026'!$D$5:$D$500=$B37))+SUMPRODUCT(--('2026'!$A$5:$A$500=$AM$1),--('2026'!$G$5:$G$500=$B37))</f>
        <v/>
      </c>
      <c r="AN37" s="50">
        <f>SUMPRODUCT(--('2026'!$A$5:$A$500=$AM$1),--('2026'!$I$5:$I$500=$B37))+SUMPRODUCT(--('2026'!$A$5:$A$500=$AM$1),--('2026'!$J$5:$J$500=$B37))</f>
        <v/>
      </c>
      <c r="AO37" s="50">
        <f>SUMPRODUCT(--('2026'!$A$5:$A$500=$AO$1),--('2026'!$C$5:$C$500=$B37))+SUMPRODUCT(--('2026'!$A$5:$A$500=$AO$1),--('2026'!$F$5:$F$500=$B37))+SUMPRODUCT(--('2026'!$A$5:$A$500=$AO$1),--('2026'!$D$5:$D$500=$B37))+SUMPRODUCT(--('2026'!$A$5:$A$500=$AO$1),--('2026'!$G$5:$G$500=$B37))</f>
        <v/>
      </c>
      <c r="AP37" s="50">
        <f>SUMPRODUCT(--('2026'!$A$5:$A$500=$AO$1),--('2026'!$I$5:$I$500=$B37))+SUMPRODUCT(--('2026'!$A$5:$A$500=$AO$1),--('2026'!$J$5:$J$500=$B37))</f>
        <v/>
      </c>
      <c r="AQ37" s="50">
        <f>SUMPRODUCT(--('2026'!$A$5:$A$500=$AQ$1),--('2026'!$C$5:$C$500=$B37))+SUMPRODUCT(--('2026'!$A$5:$A$500=$AQ$1),--('2026'!$F$5:$F$500=$B37))+SUMPRODUCT(--('2026'!$A$5:$A$500=$AQ$1),--('2026'!$D$5:$D$500=$B37))+SUMPRODUCT(--('2026'!$A$5:$A$500=$AQ$1),--('2026'!$G$5:$G$500=$B37))</f>
        <v/>
      </c>
      <c r="AR37" s="50">
        <f>SUMPRODUCT(--('2026'!$A$5:$A$500=$AQ$1),--('2026'!$I$5:$I$500=$B37))+SUMPRODUCT(--('2026'!$A$5:$A$500=$AQ$1),--('2026'!$J$5:$J$500=$B37))</f>
        <v/>
      </c>
      <c r="AS37" s="50">
        <f>SUMPRODUCT(--('2026'!$A$5:$A$500=$AS$1),--('2026'!$C$5:$C$500=$B37))+SUMPRODUCT(--('2026'!$A$5:$A$500=$AS$1),--('2026'!$F$5:$F$500=$B37))+SUMPRODUCT(--('2026'!$A$5:$A$500=$AS$1),--('2026'!$D$5:$D$500=$B37))+SUMPRODUCT(--('2026'!$A$5:$A$500=$AS$1),--('2026'!$G$5:$G$500=$B37))</f>
        <v/>
      </c>
      <c r="AT37" s="50">
        <f>SUMPRODUCT(--('2026'!$A$5:$A$500=$AS$1),--('2026'!$I$5:$I$500=$B37))+SUMPRODUCT(--('2026'!$A$5:$A$500=$AS$1),--('2026'!$J$5:$J$500=$B37))</f>
        <v/>
      </c>
      <c r="AU37" s="50">
        <f>SUMPRODUCT(--('2026'!$A$5:$A$500=$AU$1),--('2026'!$C$5:$C$500=$B37))+SUMPRODUCT(--('2026'!$A$5:$A$500=$AU$1),--('2026'!$F$5:$F$500=$B37))+SUMPRODUCT(--('2026'!$A$5:$A$500=$AU$1),--('2026'!$D$5:$D$500=$B37))+SUMPRODUCT(--('2026'!$A$5:$A$500=$AU$1),--('2026'!$G$5:$G$500=$B37))</f>
        <v/>
      </c>
      <c r="AV37" s="50">
        <f>SUMPRODUCT(--('2026'!$A$5:$A$500=$AU$1),--('2026'!$I$5:$I$500=$B37))+SUMPRODUCT(--('2026'!$A$5:$A$500=$AU$1),--('2026'!$J$5:$J$500=$B37))</f>
        <v/>
      </c>
      <c r="AW37" s="50">
        <f>SUMPRODUCT(--('2026'!$A$5:$A$500=$AW$1),--('2026'!$C$5:$C$500=$B37))+SUMPRODUCT(--('2026'!$A$5:$A$500=$AW$1),--('2026'!$F$5:$F$500=$B37))+SUMPRODUCT(--('2026'!$A$5:$A$500=$AW$1),--('2026'!$D$5:$D$500=$B37))+SUMPRODUCT(--('2026'!$A$5:$A$500=$AW$1),--('2026'!$G$5:$G$500=$B37))</f>
        <v/>
      </c>
      <c r="AX37" s="50">
        <f>SUMPRODUCT(--('2026'!$A$5:$A$500=$AW$1),--('2026'!$I$5:$I$500=$B37))+SUMPRODUCT(--('2026'!$A$5:$A$500=$AW$1),--('2026'!$J$5:$J$500=$B37))</f>
        <v/>
      </c>
      <c r="BA37" s="54" t="inlineStr">
        <is>
          <t>Rahul B</t>
        </is>
      </c>
      <c r="BB37" s="47">
        <f>IF(ISODD(COUNTIF(C37:AX37,"&gt;0")),COUNTIF(C37:AX37,"&gt;0")+1,COUNTIF(C37:AX37,"&gt;0"))/2</f>
        <v/>
      </c>
      <c r="BC37" s="52">
        <f>BB37/15</f>
        <v/>
      </c>
    </row>
  </sheetData>
  <mergeCells count="24">
    <mergeCell ref="AG1:AH1"/>
    <mergeCell ref="AI1:AJ1"/>
    <mergeCell ref="AA1:AB1"/>
    <mergeCell ref="AS1:AT1"/>
    <mergeCell ref="AU1:AV1"/>
    <mergeCell ref="M1:N1"/>
    <mergeCell ref="C1:D1"/>
    <mergeCell ref="E1:F1"/>
    <mergeCell ref="K1:L1"/>
    <mergeCell ref="W1:X1"/>
    <mergeCell ref="O1:P1"/>
    <mergeCell ref="Y1:Z1"/>
    <mergeCell ref="AM1:AN1"/>
    <mergeCell ref="Q1:R1"/>
    <mergeCell ref="AK1:AL1"/>
    <mergeCell ref="AC1:AD1"/>
    <mergeCell ref="AO1:AP1"/>
    <mergeCell ref="AE1:AF1"/>
    <mergeCell ref="AQ1:AR1"/>
    <mergeCell ref="AW1:AX1"/>
    <mergeCell ref="I1:J1"/>
    <mergeCell ref="G1:H1"/>
    <mergeCell ref="S1:T1"/>
    <mergeCell ref="U1:V1"/>
  </mergeCells>
  <pageMargins left="0.7" right="0.7" top="0.75" bottom="0.75" header="0.3" footer="0.3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2:C9"/>
  <sheetViews>
    <sheetView workbookViewId="0">
      <selection activeCell="B10" sqref="B10"/>
    </sheetView>
  </sheetViews>
  <sheetFormatPr baseColWidth="8" defaultRowHeight="12.75"/>
  <cols>
    <col width="56.28515625" customWidth="1" style="29" min="2" max="3"/>
  </cols>
  <sheetData>
    <row r="2" ht="25.5" customHeight="1" s="106">
      <c r="A2" t="n">
        <v>1</v>
      </c>
      <c r="B2" s="29" t="inlineStr">
        <is>
          <t>Reporting scores of official matches ? Should we write on board ? Take photos or WhatsApp ?</t>
        </is>
      </c>
      <c r="C2" s="29" t="inlineStr">
        <is>
          <t>Easiest option is for Winning team to WhatsApp to HHB Badminton Club immediately after match. I will log into Excel.</t>
        </is>
      </c>
    </row>
    <row r="3" ht="25.5" customHeight="1" s="106">
      <c r="A3" t="n">
        <v>2</v>
      </c>
      <c r="B3" s="29" t="inlineStr">
        <is>
          <t>Current pairing system of winning team moving left and losing team moving right and splitting ? Does that still continue ?</t>
        </is>
      </c>
      <c r="C3" s="29" t="inlineStr">
        <is>
          <t>That's the best way keep games coming quickly and that should continue</t>
        </is>
      </c>
    </row>
    <row r="4" ht="25.5" customHeight="1" s="106">
      <c r="A4" t="n">
        <v>3</v>
      </c>
      <c r="B4" s="29" t="inlineStr">
        <is>
          <t>How do we know if the match we are playing is official or not ?</t>
        </is>
      </c>
      <c r="C4" s="29" t="inlineStr">
        <is>
          <t>You always assume it's official and report. We will figure out if it can be registered as official according to rules ?</t>
        </is>
      </c>
    </row>
    <row r="5" ht="63.75" customHeight="1" s="106">
      <c r="A5" t="n">
        <v>4</v>
      </c>
      <c r="B5" s="29" t="inlineStr">
        <is>
          <t>Do we need to wait for each game to finish or do like last 2 points when 3 courts have finished and one is still going on ?</t>
        </is>
      </c>
      <c r="C5" s="29" t="inlineStr">
        <is>
          <t>I think it should be okay to do 'last 2 points' and in that case something like 18-15 will be registered as official match ??
OR
Only matches up to 21 will be considered as official and other discarded ??</t>
        </is>
      </c>
    </row>
    <row r="6" ht="38.25" customHeight="1" s="106">
      <c r="A6" t="n">
        <v>5</v>
      </c>
      <c r="B6" s="29" t="inlineStr">
        <is>
          <t>Too much concern on whether the match I am playing is official or not ?</t>
        </is>
      </c>
      <c r="C6" s="29" t="inlineStr">
        <is>
          <t>We encourage players not to think about that and just play as normal and report the match. Leave it to the organizers to decide whether it's an official match or not.</t>
        </is>
      </c>
    </row>
    <row r="9">
      <c r="B9" s="29" t="inlineStr">
        <is>
          <t>On the day record scores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Shrestha, Deepesh X</dc:creator>
  <dcterms:created xsi:type="dcterms:W3CDTF">2017-11-21T09:43:51Z</dcterms:created>
  <dcterms:modified xsi:type="dcterms:W3CDTF">2026-09-27T16:09:41Z</dcterms:modified>
  <cp:lastModifiedBy>Deepesh Shrestha</cp:lastModifiedBy>
  <cp:lastPrinted>2018-01-06T18:33:07Z</cp:lastPrinted>
</cp:coreProperties>
</file>