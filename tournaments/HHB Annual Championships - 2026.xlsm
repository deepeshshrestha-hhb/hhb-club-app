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HHB Annual Championships\"/>
    </mc:Choice>
  </mc:AlternateContent>
  <bookViews>
    <workbookView xWindow="-120" yWindow="-120" windowWidth="29040" windowHeight="15720"/>
  </bookViews>
  <sheets>
    <sheet name="Dates" sheetId="1" r:id="rId1"/>
    <sheet name="Pool A" sheetId="9" r:id="rId2"/>
    <sheet name="Pool B" sheetId="18" r:id="rId3"/>
    <sheet name="Pool A - Knockouts" sheetId="4" r:id="rId4"/>
    <sheet name="Pool B - Knockouts" sheetId="16" r:id="rId5"/>
    <sheet name="Schedule of Play" sheetId="17" r:id="rId6"/>
    <sheet name="Sheet2" sheetId="12" state="hidden" r:id="rId7"/>
  </sheets>
  <functionGroups builtInGroupCount="18"/>
  <definedNames>
    <definedName name="_xlnm._FilterDatabase" localSheetId="0" hidden="1">Dates!$F$26:$H$40</definedName>
    <definedName name="_xlnm._FilterDatabase" localSheetId="1" hidden="1">'Pool A'!$K$2:$R$7</definedName>
    <definedName name="_xlnm._FilterDatabase" localSheetId="2" hidden="1">'Pool B'!$K$2:$R$7</definedName>
    <definedName name="_xlnm.Criteria" localSheetId="0">Dates!$H$26:$H$40</definedName>
    <definedName name="POINTS_TABLE" localSheetId="1">'Pool A'!$K$2:$R$5</definedName>
    <definedName name="POINTS_TABLE" localSheetId="2">'Pool B'!$K$2:$R$5</definedName>
    <definedName name="POINTS_TABLE" localSheetId="4">#REF!</definedName>
    <definedName name="POINTS_TABLE">#REF!</definedName>
    <definedName name="POINTS_TABLE_B" localSheetId="2">#REF!</definedName>
    <definedName name="POINTS_TABLE_B" localSheetId="4">#REF!</definedName>
    <definedName name="POINTS_TABLE_B">#REF!</definedName>
    <definedName name="POOL_B">Dates!$A$42:$B$56</definedName>
    <definedName name="POOLS_B" localSheetId="2">#REF!</definedName>
    <definedName name="POOLS_B" localSheetId="4">#REF!</definedName>
    <definedName name="POOLS_B">#REF!</definedName>
    <definedName name="_xlnm.Print_Area" localSheetId="1">'Pool A'!$A$1:$G$23</definedName>
    <definedName name="_xlnm.Print_Area" localSheetId="2">'Pool B'!$A$1:$G$17</definedName>
    <definedName name="TEAMS_A" localSheetId="2">#REF!</definedName>
    <definedName name="TEAMS_A" localSheetId="4">#REF!</definedName>
    <definedName name="TEAMS_A">#REF!</definedName>
    <definedName name="TEAMS_B" localSheetId="1">'Pool A'!$J$3:$K$5</definedName>
    <definedName name="TEAMS_B" localSheetId="2">'Pool B'!$J$3:$K$5</definedName>
    <definedName name="TEAMS_B" localSheetId="4">#REF!</definedName>
    <definedName name="TEAMS_B">#REF!</definedName>
  </definedNames>
  <calcPr calcId="152511"/>
</workbook>
</file>

<file path=xl/calcChain.xml><?xml version="1.0" encoding="utf-8"?>
<calcChain xmlns="http://schemas.openxmlformats.org/spreadsheetml/2006/main">
  <c r="X23" i="16" l="1"/>
  <c r="X32" i="16"/>
  <c r="P36" i="16"/>
  <c r="P29" i="16"/>
  <c r="P19" i="16"/>
  <c r="P7" i="16"/>
  <c r="X32" i="4"/>
  <c r="X23" i="4"/>
  <c r="P36" i="4"/>
  <c r="P29" i="4"/>
  <c r="P19" i="4"/>
  <c r="P7" i="4"/>
  <c r="H20" i="18" l="1"/>
  <c r="H12" i="18"/>
  <c r="H13" i="18"/>
  <c r="H14" i="18"/>
  <c r="H15" i="18"/>
  <c r="H16" i="18"/>
  <c r="H17" i="18"/>
  <c r="H4" i="18"/>
  <c r="H5" i="18"/>
  <c r="H6" i="18"/>
  <c r="H7" i="18"/>
  <c r="H8" i="18"/>
  <c r="H9" i="18"/>
  <c r="H10" i="18"/>
  <c r="H11" i="18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3" i="9"/>
  <c r="H25" i="9" s="1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3" i="18"/>
  <c r="H3" i="18"/>
  <c r="L4" i="18"/>
  <c r="P4" i="18"/>
  <c r="Q4" i="18"/>
  <c r="L3" i="18"/>
  <c r="P3" i="18"/>
  <c r="Q3" i="18"/>
  <c r="L7" i="18"/>
  <c r="P7" i="18"/>
  <c r="Q7" i="18"/>
  <c r="S5" i="18"/>
  <c r="T5" i="18" s="1"/>
  <c r="L5" i="18"/>
  <c r="P5" i="18"/>
  <c r="Q5" i="18"/>
  <c r="S6" i="18"/>
  <c r="T6" i="18"/>
  <c r="L8" i="18"/>
  <c r="P8" i="18"/>
  <c r="Q8" i="18"/>
  <c r="S7" i="18"/>
  <c r="T7" i="18"/>
  <c r="L6" i="18"/>
  <c r="P6" i="18"/>
  <c r="Q6" i="18"/>
  <c r="S8" i="18"/>
  <c r="T8" i="18"/>
  <c r="S9" i="18"/>
  <c r="T9" i="18"/>
  <c r="R7" i="18" l="1"/>
  <c r="S2" i="18"/>
  <c r="R8" i="18"/>
  <c r="T2" i="18"/>
  <c r="R6" i="18"/>
  <c r="M8" i="18"/>
  <c r="O8" i="18" s="1"/>
  <c r="M3" i="18"/>
  <c r="O3" i="18" s="1"/>
  <c r="S4" i="18"/>
  <c r="T4" i="18" s="1"/>
  <c r="M4" i="18"/>
  <c r="O4" i="18" s="1"/>
  <c r="R5" i="18"/>
  <c r="R3" i="18"/>
  <c r="M6" i="18"/>
  <c r="M7" i="18"/>
  <c r="S3" i="18"/>
  <c r="T3" i="18" s="1"/>
  <c r="M5" i="18"/>
  <c r="O5" i="18" s="1"/>
  <c r="R4" i="18"/>
  <c r="H23" i="16"/>
  <c r="H17" i="16"/>
  <c r="H11" i="16"/>
  <c r="H5" i="16"/>
  <c r="X13" i="16"/>
  <c r="H23" i="4"/>
  <c r="H17" i="4"/>
  <c r="H11" i="4"/>
  <c r="H5" i="4"/>
  <c r="G12" i="9"/>
  <c r="G13" i="9"/>
  <c r="G14" i="9"/>
  <c r="G15" i="9"/>
  <c r="G16" i="9"/>
  <c r="G17" i="9"/>
  <c r="G18" i="9"/>
  <c r="G19" i="9"/>
  <c r="G20" i="9"/>
  <c r="G21" i="9"/>
  <c r="G22" i="9"/>
  <c r="G23" i="9"/>
  <c r="G4" i="9"/>
  <c r="G5" i="9"/>
  <c r="G6" i="9"/>
  <c r="G7" i="9"/>
  <c r="G8" i="9"/>
  <c r="G9" i="9"/>
  <c r="G10" i="9"/>
  <c r="G11" i="9"/>
  <c r="Q7" i="9"/>
  <c r="Q4" i="9"/>
  <c r="P7" i="9"/>
  <c r="P4" i="9"/>
  <c r="L7" i="9"/>
  <c r="L4" i="9"/>
  <c r="L3" i="9"/>
  <c r="L5" i="9"/>
  <c r="L9" i="9"/>
  <c r="L8" i="9"/>
  <c r="N3" i="18" l="1"/>
  <c r="N8" i="18"/>
  <c r="N4" i="18"/>
  <c r="N5" i="18"/>
  <c r="N7" i="18"/>
  <c r="O7" i="18"/>
  <c r="O6" i="18"/>
  <c r="N6" i="18"/>
  <c r="R4" i="9"/>
  <c r="R7" i="9"/>
  <c r="L6" i="9" l="1"/>
  <c r="Q6" i="9" l="1"/>
  <c r="P6" i="9"/>
  <c r="H25" i="1"/>
  <c r="I25" i="1"/>
  <c r="R6" i="9" l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27" i="1"/>
  <c r="I41" i="1"/>
  <c r="D26" i="1"/>
  <c r="G27" i="1" s="1"/>
  <c r="D27" i="1"/>
  <c r="G28" i="1" s="1"/>
  <c r="D28" i="1"/>
  <c r="G29" i="1" s="1"/>
  <c r="D29" i="1"/>
  <c r="G30" i="1" s="1"/>
  <c r="D30" i="1"/>
  <c r="G31" i="1" s="1"/>
  <c r="D31" i="1"/>
  <c r="G32" i="1" s="1"/>
  <c r="D32" i="1"/>
  <c r="G33" i="1" s="1"/>
  <c r="D33" i="1"/>
  <c r="G34" i="1" s="1"/>
  <c r="D34" i="1"/>
  <c r="G35" i="1" s="1"/>
  <c r="D35" i="1"/>
  <c r="G36" i="1" s="1"/>
  <c r="D36" i="1"/>
  <c r="G37" i="1" s="1"/>
  <c r="D37" i="1"/>
  <c r="G38" i="1" s="1"/>
  <c r="D38" i="1"/>
  <c r="G39" i="1" s="1"/>
  <c r="D39" i="1"/>
  <c r="G40" i="1" s="1"/>
  <c r="B93" i="1" l="1"/>
  <c r="B92" i="1"/>
  <c r="S9" i="9" l="1"/>
  <c r="T9" i="9" s="1"/>
  <c r="Q5" i="9"/>
  <c r="P5" i="9"/>
  <c r="Q8" i="9"/>
  <c r="P8" i="9"/>
  <c r="Q9" i="9"/>
  <c r="P9" i="9"/>
  <c r="G3" i="9"/>
  <c r="S8" i="9"/>
  <c r="T8" i="9" s="1"/>
  <c r="S7" i="9"/>
  <c r="T7" i="9" s="1"/>
  <c r="S6" i="9"/>
  <c r="T6" i="9" s="1"/>
  <c r="S5" i="9"/>
  <c r="T5" i="9" s="1"/>
  <c r="Q3" i="9"/>
  <c r="P3" i="9"/>
  <c r="M4" i="9" l="1"/>
  <c r="M5" i="9"/>
  <c r="O5" i="9" s="1"/>
  <c r="M9" i="9"/>
  <c r="O9" i="9" s="1"/>
  <c r="M7" i="9"/>
  <c r="M3" i="9"/>
  <c r="O3" i="9" s="1"/>
  <c r="M8" i="9"/>
  <c r="O8" i="9" s="1"/>
  <c r="M6" i="9"/>
  <c r="O6" i="9" s="1"/>
  <c r="R5" i="9"/>
  <c r="S2" i="9"/>
  <c r="T2" i="9" s="1"/>
  <c r="R8" i="9"/>
  <c r="R9" i="9"/>
  <c r="S4" i="9"/>
  <c r="T4" i="9" s="1"/>
  <c r="S3" i="9"/>
  <c r="T3" i="9" s="1"/>
  <c r="R3" i="9"/>
  <c r="O7" i="9" l="1"/>
  <c r="N7" i="9"/>
  <c r="O4" i="9"/>
  <c r="N4" i="9"/>
  <c r="N6" i="9"/>
  <c r="N5" i="9"/>
  <c r="N8" i="9"/>
  <c r="N9" i="9"/>
  <c r="N3" i="9"/>
  <c r="L2" i="1" l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X13" i="4" l="1"/>
</calcChain>
</file>

<file path=xl/sharedStrings.xml><?xml version="1.0" encoding="utf-8"?>
<sst xmlns="http://schemas.openxmlformats.org/spreadsheetml/2006/main" count="499" uniqueCount="157">
  <si>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</si>
  <si>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</si>
  <si>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</si>
  <si>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</si>
  <si>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</si>
  <si>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</si>
  <si>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</si>
  <si>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</si>
  <si>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</si>
  <si>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</si>
  <si>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</si>
  <si>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</si>
  <si>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Total</t>
  </si>
  <si>
    <t>Average</t>
  </si>
  <si>
    <t>Team 1</t>
  </si>
  <si>
    <t>Team 2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</si>
  <si>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</si>
  <si>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</si>
  <si>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</si>
  <si>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</si>
  <si>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</si>
  <si>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</si>
  <si>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</si>
  <si>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</si>
  <si>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</si>
  <si>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</si>
  <si>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</si>
  <si>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</si>
  <si>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</si>
  <si>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</si>
  <si>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</si>
  <si>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</si>
  <si>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</si>
  <si>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</si>
  <si>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</si>
  <si>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</si>
  <si>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</si>
  <si>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</si>
  <si>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</si>
  <si>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</si>
  <si>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</si>
  <si>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</si>
  <si>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</si>
  <si>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</si>
  <si>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</si>
  <si>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</si>
  <si>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</si>
  <si>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</si>
  <si>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</si>
  <si>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</si>
  <si>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</si>
  <si>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</si>
  <si>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</si>
  <si>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</si>
  <si>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</si>
  <si>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</si>
  <si>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</si>
  <si>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</si>
  <si>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</si>
  <si>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Teams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</si>
  <si>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</si>
  <si>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</si>
  <si>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</si>
  <si>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</si>
  <si>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</si>
  <si>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</si>
  <si>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</si>
  <si>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</si>
  <si>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</si>
  <si>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</si>
  <si>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</si>
  <si>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</si>
  <si>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</si>
  <si>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</si>
  <si>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</si>
  <si>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Vishal</t>
  </si>
  <si>
    <t>Sengole</t>
  </si>
  <si>
    <t>Ken</t>
  </si>
  <si>
    <t>Pool</t>
  </si>
  <si>
    <t>Participants</t>
  </si>
  <si>
    <t>BETWEEN 15-28</t>
  </si>
  <si>
    <t>BETWEEN 1-14</t>
  </si>
  <si>
    <t>Group A Teams</t>
  </si>
  <si>
    <t>Total Group A Teams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</si>
  <si>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</si>
  <si>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</si>
  <si>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</si>
  <si>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</si>
  <si>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</si>
  <si>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</si>
  <si>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</si>
  <si>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</si>
  <si>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</si>
  <si>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</si>
  <si>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</si>
  <si>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</si>
  <si>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 xml:space="preserve">                 HHB ANNUAL CHAMPIONSHIPS 2026</t>
  </si>
  <si>
    <t>POOL A</t>
  </si>
  <si>
    <t>POOL B</t>
  </si>
  <si>
    <t>Knockouts</t>
  </si>
  <si>
    <t>Suraj / Thomas</t>
  </si>
  <si>
    <t>Vivek / Ziad</t>
  </si>
  <si>
    <t>Faiyaz / Yogi</t>
  </si>
  <si>
    <t>Alty /Aahil</t>
  </si>
  <si>
    <t>Santosh / Rukhsar</t>
  </si>
  <si>
    <t>Sandip / Deepesh</t>
  </si>
  <si>
    <t>Atul / Zaheer</t>
  </si>
  <si>
    <t>Shiva / Jalal</t>
  </si>
  <si>
    <t>Dhawal /Mehtab</t>
  </si>
  <si>
    <t>Mansoor / Tousif</t>
  </si>
  <si>
    <t>Rafay / Asim</t>
  </si>
  <si>
    <t>Rahul / Samir</t>
  </si>
  <si>
    <t>Purvaiz / Vasu</t>
  </si>
  <si>
    <t>8. Two teams emerge as Winner and Runner Up from each Pool hence; 4 trophies up for grabs.</t>
  </si>
  <si>
    <t xml:space="preserve">9. All Group Stage Games will be played on 8th Feb and all the Knockout Games will be played on 15th Feb. </t>
  </si>
  <si>
    <t>10. If you sign up for this tournament then you need to commit your availability for 2 hours on both 8th Feb and 15th Feb.</t>
  </si>
  <si>
    <t>1. 26 players to sign up.</t>
  </si>
  <si>
    <t>2. Players will be divided  into Pool A (14) and Pool B (12) by HHB committee based on ability/performance.</t>
  </si>
  <si>
    <t>5. At Deuce (20-20) you play on until a team gets a difference of 2 points to win till 29-29, at which point it's sudden death.</t>
  </si>
  <si>
    <t xml:space="preserve">3. Each Pool A player will be randomly paired against another Pool A player to form 7 Teams/Pairs. </t>
  </si>
  <si>
    <t xml:space="preserve">4. Each team will play one match(of 21 points) against all other teams in Group Stage. 21 group matches in total. </t>
  </si>
  <si>
    <t>7. Same process repeated for Pool B; 15 group games and 4 Knockout games.</t>
  </si>
  <si>
    <t>6. Top 4 teams from Group Stage compete in knockouts, which will be best of 4 games. (2 Semis and 1 Final, 1 3rd Place)</t>
  </si>
  <si>
    <t>Pool A Matches</t>
  </si>
  <si>
    <t>Alty / Aahil</t>
  </si>
  <si>
    <t>Pool A Points Table</t>
  </si>
  <si>
    <t>Pool B Points Table</t>
  </si>
  <si>
    <t>Pool B Matches</t>
  </si>
  <si>
    <t>Sengole / Vishal</t>
  </si>
  <si>
    <t>DATE: 8TH FEB, SUN</t>
  </si>
  <si>
    <t>START TIME: 9:05 AM</t>
  </si>
  <si>
    <t>POOL A - GROUP STAGE MATCHES</t>
  </si>
  <si>
    <t>POOL B - GROUP STAGE MATCHES</t>
  </si>
  <si>
    <t>Round</t>
  </si>
  <si>
    <t>Court</t>
  </si>
  <si>
    <t>Match</t>
  </si>
  <si>
    <t>Court 1</t>
  </si>
  <si>
    <t>Court 3</t>
  </si>
  <si>
    <t>1</t>
  </si>
  <si>
    <t>Court 2</t>
  </si>
  <si>
    <t>Court 4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</si>
  <si>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</si>
  <si>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</si>
  <si>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</si>
  <si>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</si>
  <si>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</si>
  <si>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</si>
  <si>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</si>
  <si>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</si>
  <si>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</si>
  <si>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</si>
  <si>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</si>
  <si>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</si>
  <si>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</si>
  <si>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</si>
  <si>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Dhawal / Samir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</si>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</sst>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,\ ddd"/>
    <numFmt numFmtId="165" formatCode="0.0"/>
    <numFmt numFmtId="166" formatCode="ddd\,\ dd\-mmm\-yy"/>
    <numFmt numFmtId="167" formatCode="dd\-mmm\,\ dddd"/>
    <numFmt numFmtId="168" formatCode="dd\-mmm\ ddd"/>
  </numFmts>
  <fonts count="2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0"/>
      <color rgb="FFFF0000"/>
      <name val="Arial"/>
      <family val="2"/>
    </font>
    <font>
      <b/>
      <sz val="26"/>
      <color rgb="FF00B050"/>
      <name val="Arial"/>
      <family val="2"/>
    </font>
    <font>
      <b/>
      <sz val="20"/>
      <color rgb="FFFFC000"/>
      <name val="Arial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theme="1"/>
      <name val="Calibri"/>
      <family val="2"/>
    </font>
    <font>
      <sz val="10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2" fillId="0" borderId="0"/>
    <xf numFmtId="0" fontId="1" fillId="0" borderId="0"/>
    <xf numFmtId="0" fontId="25" fillId="0" borderId="0"/>
  </cellStyleXfs>
  <cellXfs count="186">
    <xf numFmtId="0" fontId="0" fillId="0" borderId="0" xfId="0"/>
    <xf numFmtId="0" fontId="3" fillId="0" borderId="0" xfId="0" applyFont="1" applyAlignment="1">
      <alignment horizontal="left" indent="2"/>
    </xf>
    <xf numFmtId="0" fontId="3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4" fillId="0" borderId="1" xfId="0" applyFont="1" applyBorder="1"/>
    <xf numFmtId="0" fontId="5" fillId="0" borderId="0" xfId="0" applyFont="1"/>
    <xf numFmtId="0" fontId="4" fillId="0" borderId="1" xfId="0" applyFont="1" applyBorder="1" applyAlignment="1">
      <alignment horizontal="center"/>
    </xf>
    <xf numFmtId="0" fontId="3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8" borderId="1" xfId="0" applyFont="1" applyFill="1" applyBorder="1"/>
    <xf numFmtId="0" fontId="4" fillId="0" borderId="5" xfId="0" applyFont="1" applyBorder="1"/>
    <xf numFmtId="165" fontId="3" fillId="0" borderId="1" xfId="0" applyNumberFormat="1" applyFont="1" applyBorder="1" applyAlignment="1">
      <alignment horizontal="center"/>
    </xf>
    <xf numFmtId="0" fontId="0" fillId="9" borderId="0" xfId="0" applyFill="1"/>
    <xf numFmtId="0" fontId="0" fillId="3" borderId="0" xfId="0" applyFill="1"/>
    <xf numFmtId="166" fontId="5" fillId="0" borderId="9" xfId="0" applyNumberFormat="1" applyFont="1" applyBorder="1" applyAlignment="1">
      <alignment horizontal="center"/>
    </xf>
    <xf numFmtId="0" fontId="9" fillId="0" borderId="0" xfId="0" applyFont="1"/>
    <xf numFmtId="0" fontId="0" fillId="10" borderId="0" xfId="0" applyFill="1"/>
    <xf numFmtId="0" fontId="4" fillId="0" borderId="0" xfId="0" applyFont="1"/>
    <xf numFmtId="0" fontId="0" fillId="0" borderId="10" xfId="0" applyBorder="1"/>
    <xf numFmtId="0" fontId="3" fillId="12" borderId="5" xfId="0" applyFont="1" applyFill="1" applyBorder="1" applyAlignment="1">
      <alignment horizontal="left" indent="2"/>
    </xf>
    <xf numFmtId="0" fontId="3" fillId="0" borderId="0" xfId="0" applyFont="1" applyAlignment="1">
      <alignment horizontal="left"/>
    </xf>
    <xf numFmtId="0" fontId="3" fillId="0" borderId="15" xfId="0" applyFont="1" applyBorder="1" applyAlignment="1">
      <alignment horizontal="left" indent="2"/>
    </xf>
    <xf numFmtId="0" fontId="0" fillId="0" borderId="16" xfId="0" applyBorder="1" applyAlignment="1">
      <alignment horizontal="left" wrapText="1"/>
    </xf>
    <xf numFmtId="0" fontId="11" fillId="0" borderId="0" xfId="0" applyFont="1" applyAlignment="1">
      <alignment horizontal="left"/>
    </xf>
    <xf numFmtId="0" fontId="11" fillId="0" borderId="17" xfId="0" applyFont="1" applyBorder="1"/>
    <xf numFmtId="0" fontId="0" fillId="0" borderId="20" xfId="0" applyBorder="1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12" borderId="24" xfId="0" applyFont="1" applyFill="1" applyBorder="1" applyAlignment="1">
      <alignment horizontal="left" indent="2"/>
    </xf>
    <xf numFmtId="0" fontId="12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1" xfId="0" applyNumberFormat="1" applyBorder="1"/>
    <xf numFmtId="0" fontId="12" fillId="0" borderId="0" xfId="0" applyFont="1" applyAlignment="1">
      <alignment horizontal="left"/>
    </xf>
    <xf numFmtId="0" fontId="14" fillId="2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right"/>
    </xf>
    <xf numFmtId="0" fontId="8" fillId="0" borderId="17" xfId="0" applyFont="1" applyBorder="1" applyAlignment="1">
      <alignment horizontal="left"/>
    </xf>
    <xf numFmtId="167" fontId="8" fillId="0" borderId="16" xfId="0" applyNumberFormat="1" applyFont="1" applyBorder="1" applyAlignment="1">
      <alignment horizontal="left"/>
    </xf>
    <xf numFmtId="0" fontId="8" fillId="13" borderId="18" xfId="0" applyFont="1" applyFill="1" applyBorder="1" applyAlignment="1">
      <alignment horizontal="left"/>
    </xf>
    <xf numFmtId="0" fontId="8" fillId="13" borderId="19" xfId="0" applyFont="1" applyFill="1" applyBorder="1" applyAlignment="1">
      <alignment horizontal="right"/>
    </xf>
    <xf numFmtId="167" fontId="8" fillId="13" borderId="25" xfId="0" applyNumberFormat="1" applyFont="1" applyFill="1" applyBorder="1" applyAlignment="1">
      <alignment horizontal="left"/>
    </xf>
    <xf numFmtId="0" fontId="7" fillId="0" borderId="1" xfId="0" applyFont="1" applyBorder="1"/>
    <xf numFmtId="0" fontId="3" fillId="0" borderId="1" xfId="0" applyFont="1" applyBorder="1" applyAlignment="1">
      <alignment horizontal="left" indent="2"/>
    </xf>
    <xf numFmtId="0" fontId="3" fillId="11" borderId="1" xfId="0" applyFont="1" applyFill="1" applyBorder="1" applyAlignment="1">
      <alignment horizontal="left" indent="2"/>
    </xf>
    <xf numFmtId="0" fontId="3" fillId="11" borderId="0" xfId="0" applyFont="1" applyFill="1" applyAlignment="1">
      <alignment horizontal="left"/>
    </xf>
    <xf numFmtId="0" fontId="3" fillId="2" borderId="0" xfId="0" applyFont="1" applyFill="1" applyAlignment="1">
      <alignment horizontal="left" indent="2"/>
    </xf>
    <xf numFmtId="0" fontId="10" fillId="11" borderId="1" xfId="0" applyFont="1" applyFill="1" applyBorder="1" applyAlignment="1">
      <alignment horizontal="left"/>
    </xf>
    <xf numFmtId="0" fontId="11" fillId="0" borderId="21" xfId="0" applyFont="1" applyBorder="1"/>
    <xf numFmtId="0" fontId="0" fillId="0" borderId="22" xfId="0" applyBorder="1"/>
    <xf numFmtId="0" fontId="0" fillId="0" borderId="27" xfId="0" applyBorder="1"/>
    <xf numFmtId="0" fontId="0" fillId="11" borderId="0" xfId="0" applyFill="1"/>
    <xf numFmtId="0" fontId="0" fillId="0" borderId="21" xfId="0" applyBorder="1"/>
    <xf numFmtId="0" fontId="7" fillId="0" borderId="22" xfId="0" applyFont="1" applyBorder="1"/>
    <xf numFmtId="0" fontId="0" fillId="2" borderId="13" xfId="0" applyFill="1" applyBorder="1"/>
    <xf numFmtId="0" fontId="7" fillId="0" borderId="23" xfId="0" applyFont="1" applyBorder="1"/>
    <xf numFmtId="0" fontId="0" fillId="0" borderId="17" xfId="0" applyBorder="1"/>
    <xf numFmtId="0" fontId="0" fillId="2" borderId="0" xfId="0" applyFill="1"/>
    <xf numFmtId="0" fontId="3" fillId="0" borderId="16" xfId="0" applyFont="1" applyBorder="1" applyAlignment="1">
      <alignment horizontal="left" indent="2"/>
    </xf>
    <xf numFmtId="0" fontId="3" fillId="11" borderId="16" xfId="0" applyFont="1" applyFill="1" applyBorder="1" applyAlignment="1">
      <alignment horizontal="left" indent="2"/>
    </xf>
    <xf numFmtId="0" fontId="0" fillId="0" borderId="26" xfId="0" applyBorder="1"/>
    <xf numFmtId="0" fontId="3" fillId="11" borderId="27" xfId="0" applyFont="1" applyFill="1" applyBorder="1" applyAlignment="1">
      <alignment horizontal="left" indent="2"/>
    </xf>
    <xf numFmtId="0" fontId="0" fillId="2" borderId="19" xfId="0" applyFill="1" applyBorder="1"/>
    <xf numFmtId="0" fontId="3" fillId="0" borderId="20" xfId="0" applyFont="1" applyBorder="1" applyAlignment="1">
      <alignment horizontal="left" indent="2"/>
    </xf>
    <xf numFmtId="0" fontId="3" fillId="0" borderId="22" xfId="0" applyFont="1" applyBorder="1"/>
    <xf numFmtId="0" fontId="3" fillId="0" borderId="23" xfId="0" applyFont="1" applyBorder="1"/>
    <xf numFmtId="0" fontId="3" fillId="0" borderId="16" xfId="0" applyFont="1" applyBorder="1"/>
    <xf numFmtId="0" fontId="3" fillId="0" borderId="27" xfId="0" applyFont="1" applyBorder="1"/>
    <xf numFmtId="0" fontId="3" fillId="0" borderId="20" xfId="0" applyFont="1" applyBorder="1"/>
    <xf numFmtId="0" fontId="8" fillId="0" borderId="0" xfId="0" applyFont="1" applyAlignment="1">
      <alignment horizontal="left"/>
    </xf>
    <xf numFmtId="0" fontId="8" fillId="12" borderId="0" xfId="0" applyFont="1" applyFill="1" applyAlignment="1">
      <alignment horizontal="center"/>
    </xf>
    <xf numFmtId="164" fontId="8" fillId="12" borderId="0" xfId="0" applyNumberFormat="1" applyFont="1" applyFill="1" applyAlignment="1">
      <alignment horizontal="left"/>
    </xf>
    <xf numFmtId="0" fontId="11" fillId="12" borderId="0" xfId="0" applyFont="1" applyFill="1" applyAlignment="1">
      <alignment horizontal="left"/>
    </xf>
    <xf numFmtId="0" fontId="11" fillId="12" borderId="0" xfId="0" applyFont="1" applyFill="1" applyAlignment="1">
      <alignment horizontal="left" indent="2"/>
    </xf>
    <xf numFmtId="0" fontId="3" fillId="12" borderId="0" xfId="0" applyFont="1" applyFill="1" applyAlignment="1">
      <alignment horizontal="left" indent="2"/>
    </xf>
    <xf numFmtId="0" fontId="0" fillId="0" borderId="17" xfId="0" applyBorder="1" applyAlignment="1">
      <alignment horizontal="left"/>
    </xf>
    <xf numFmtId="0" fontId="0" fillId="0" borderId="26" xfId="0" applyBorder="1" applyAlignment="1">
      <alignment horizontal="left"/>
    </xf>
    <xf numFmtId="0" fontId="3" fillId="0" borderId="3" xfId="0" applyFont="1" applyBorder="1" applyAlignment="1">
      <alignment horizontal="center"/>
    </xf>
    <xf numFmtId="0" fontId="0" fillId="0" borderId="9" xfId="0" applyBorder="1"/>
    <xf numFmtId="0" fontId="0" fillId="14" borderId="0" xfId="0" applyFill="1"/>
    <xf numFmtId="0" fontId="5" fillId="9" borderId="0" xfId="0" applyFont="1" applyFill="1"/>
    <xf numFmtId="0" fontId="3" fillId="6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8" fontId="0" fillId="0" borderId="0" xfId="0" applyNumberFormat="1"/>
    <xf numFmtId="0" fontId="5" fillId="0" borderId="37" xfId="0" applyFont="1" applyBorder="1" applyAlignment="1">
      <alignment wrapText="1"/>
    </xf>
    <xf numFmtId="0" fontId="15" fillId="0" borderId="36" xfId="0" applyFont="1" applyBorder="1"/>
    <xf numFmtId="164" fontId="3" fillId="15" borderId="1" xfId="0" applyNumberFormat="1" applyFont="1" applyFill="1" applyBorder="1"/>
    <xf numFmtId="0" fontId="18" fillId="16" borderId="1" xfId="0" applyFont="1" applyFill="1" applyBorder="1" applyAlignment="1">
      <alignment vertical="center"/>
    </xf>
    <xf numFmtId="49" fontId="19" fillId="16" borderId="1" xfId="0" applyNumberFormat="1" applyFont="1" applyFill="1" applyBorder="1" applyAlignment="1">
      <alignment vertical="center"/>
    </xf>
    <xf numFmtId="0" fontId="18" fillId="0" borderId="1" xfId="0" applyFont="1" applyBorder="1" applyAlignment="1">
      <alignment vertical="center"/>
    </xf>
    <xf numFmtId="49" fontId="19" fillId="0" borderId="1" xfId="0" applyNumberFormat="1" applyFont="1" applyBorder="1" applyAlignment="1">
      <alignment vertical="center"/>
    </xf>
    <xf numFmtId="0" fontId="22" fillId="0" borderId="0" xfId="2" applyFont="1" applyAlignment="1">
      <alignment horizontal="center"/>
    </xf>
    <xf numFmtId="0" fontId="22" fillId="0" borderId="0" xfId="2" applyFont="1" applyAlignment="1"/>
    <xf numFmtId="0" fontId="24" fillId="0" borderId="0" xfId="2" applyFont="1" applyBorder="1" applyAlignment="1">
      <alignment horizontal="center" vertical="top"/>
    </xf>
    <xf numFmtId="0" fontId="24" fillId="17" borderId="12" xfId="2" applyFont="1" applyFill="1" applyBorder="1" applyAlignment="1">
      <alignment horizontal="center" vertical="top"/>
    </xf>
    <xf numFmtId="0" fontId="24" fillId="17" borderId="13" xfId="2" applyFont="1" applyFill="1" applyBorder="1" applyAlignment="1">
      <alignment horizontal="center" vertical="top"/>
    </xf>
    <xf numFmtId="0" fontId="24" fillId="17" borderId="14" xfId="2" applyFont="1" applyFill="1" applyBorder="1" applyAlignment="1">
      <alignment horizontal="center" vertical="top"/>
    </xf>
    <xf numFmtId="0" fontId="18" fillId="0" borderId="1" xfId="2" applyFont="1" applyBorder="1" applyAlignment="1">
      <alignment horizontal="center" vertical="center"/>
    </xf>
    <xf numFmtId="49" fontId="18" fillId="0" borderId="1" xfId="2" applyNumberFormat="1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18" fillId="0" borderId="1" xfId="2" applyFont="1" applyBorder="1" applyAlignment="1">
      <alignment vertical="center"/>
    </xf>
    <xf numFmtId="0" fontId="19" fillId="16" borderId="1" xfId="2" applyFont="1" applyFill="1" applyBorder="1" applyAlignment="1">
      <alignment horizontal="center" vertical="center"/>
    </xf>
    <xf numFmtId="49" fontId="18" fillId="16" borderId="1" xfId="2" applyNumberFormat="1" applyFont="1" applyFill="1" applyBorder="1" applyAlignment="1">
      <alignment vertical="center"/>
    </xf>
    <xf numFmtId="0" fontId="21" fillId="16" borderId="1" xfId="2" applyFont="1" applyFill="1" applyBorder="1" applyAlignment="1">
      <alignment horizontal="center" vertical="center"/>
    </xf>
    <xf numFmtId="0" fontId="18" fillId="16" borderId="1" xfId="2" applyFont="1" applyFill="1" applyBorder="1" applyAlignment="1">
      <alignment vertical="center"/>
    </xf>
    <xf numFmtId="0" fontId="19" fillId="16" borderId="1" xfId="2" applyFont="1" applyFill="1" applyBorder="1" applyAlignment="1">
      <alignment vertical="center"/>
    </xf>
    <xf numFmtId="0" fontId="19" fillId="0" borderId="1" xfId="2" applyFont="1" applyBorder="1" applyAlignment="1">
      <alignment horizontal="center" vertical="center"/>
    </xf>
    <xf numFmtId="0" fontId="25" fillId="0" borderId="0" xfId="4"/>
    <xf numFmtId="0" fontId="25" fillId="0" borderId="0" xfId="4" applyAlignment="1">
      <alignment horizontal="center"/>
    </xf>
    <xf numFmtId="0" fontId="18" fillId="16" borderId="1" xfId="4" applyFont="1" applyFill="1" applyBorder="1" applyAlignment="1">
      <alignment vertical="center"/>
    </xf>
    <xf numFmtId="0" fontId="3" fillId="5" borderId="1" xfId="4" applyFont="1" applyFill="1" applyBorder="1" applyAlignment="1">
      <alignment horizontal="center"/>
    </xf>
    <xf numFmtId="164" fontId="3" fillId="15" borderId="1" xfId="4" applyNumberFormat="1" applyFont="1" applyFill="1" applyBorder="1"/>
    <xf numFmtId="0" fontId="3" fillId="4" borderId="1" xfId="4" applyFont="1" applyFill="1" applyBorder="1"/>
    <xf numFmtId="0" fontId="3" fillId="8" borderId="1" xfId="4" applyFont="1" applyFill="1" applyBorder="1"/>
    <xf numFmtId="165" fontId="3" fillId="0" borderId="1" xfId="4" applyNumberFormat="1" applyFont="1" applyBorder="1" applyAlignment="1">
      <alignment horizontal="center"/>
    </xf>
    <xf numFmtId="0" fontId="3" fillId="0" borderId="3" xfId="4" applyFont="1" applyBorder="1" applyAlignment="1">
      <alignment horizontal="center"/>
    </xf>
    <xf numFmtId="0" fontId="3" fillId="0" borderId="1" xfId="4" applyFont="1" applyBorder="1" applyAlignment="1">
      <alignment horizontal="center"/>
    </xf>
    <xf numFmtId="0" fontId="3" fillId="0" borderId="1" xfId="4" applyFont="1" applyBorder="1"/>
    <xf numFmtId="0" fontId="3" fillId="4" borderId="1" xfId="4" applyFont="1" applyFill="1" applyBorder="1" applyAlignment="1">
      <alignment horizontal="center"/>
    </xf>
    <xf numFmtId="0" fontId="3" fillId="6" borderId="1" xfId="4" applyFont="1" applyFill="1" applyBorder="1" applyAlignment="1">
      <alignment horizontal="center"/>
    </xf>
    <xf numFmtId="0" fontId="4" fillId="0" borderId="1" xfId="4" applyFont="1" applyBorder="1"/>
    <xf numFmtId="0" fontId="25" fillId="0" borderId="1" xfId="4" applyBorder="1"/>
    <xf numFmtId="0" fontId="6" fillId="0" borderId="24" xfId="4" applyFont="1" applyBorder="1" applyAlignment="1">
      <alignment horizontal="center"/>
    </xf>
    <xf numFmtId="0" fontId="4" fillId="0" borderId="1" xfId="4" applyFont="1" applyBorder="1" applyAlignment="1">
      <alignment horizontal="center"/>
    </xf>
    <xf numFmtId="0" fontId="4" fillId="0" borderId="5" xfId="4" applyFont="1" applyBorder="1"/>
    <xf numFmtId="1" fontId="5" fillId="0" borderId="0" xfId="0" applyNumberFormat="1" applyFont="1"/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4" fillId="0" borderId="21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/>
    </xf>
    <xf numFmtId="0" fontId="8" fillId="2" borderId="29" xfId="0" applyFont="1" applyFill="1" applyBorder="1" applyAlignment="1">
      <alignment horizontal="center"/>
    </xf>
    <xf numFmtId="0" fontId="8" fillId="2" borderId="3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4" xfId="4" applyFont="1" applyBorder="1" applyAlignment="1">
      <alignment horizontal="center"/>
    </xf>
    <xf numFmtId="0" fontId="4" fillId="0" borderId="3" xfId="4" applyFont="1" applyBorder="1" applyAlignment="1">
      <alignment horizontal="center"/>
    </xf>
    <xf numFmtId="0" fontId="4" fillId="0" borderId="32" xfId="4" applyFont="1" applyBorder="1" applyAlignment="1">
      <alignment horizontal="center"/>
    </xf>
    <xf numFmtId="0" fontId="4" fillId="0" borderId="33" xfId="4" applyFont="1" applyBorder="1" applyAlignment="1">
      <alignment horizontal="center"/>
    </xf>
    <xf numFmtId="0" fontId="4" fillId="0" borderId="34" xfId="4" applyFont="1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3" fillId="15" borderId="38" xfId="2" applyFont="1" applyFill="1" applyBorder="1" applyAlignment="1">
      <alignment horizontal="center"/>
    </xf>
    <xf numFmtId="0" fontId="23" fillId="15" borderId="31" xfId="2" applyFont="1" applyFill="1" applyBorder="1" applyAlignment="1">
      <alignment horizontal="center"/>
    </xf>
    <xf numFmtId="0" fontId="23" fillId="15" borderId="35" xfId="2" applyFont="1" applyFill="1" applyBorder="1" applyAlignment="1">
      <alignment horizontal="center"/>
    </xf>
    <xf numFmtId="0" fontId="20" fillId="13" borderId="18" xfId="2" applyFont="1" applyFill="1" applyBorder="1" applyAlignment="1">
      <alignment horizontal="center"/>
    </xf>
    <xf numFmtId="0" fontId="20" fillId="13" borderId="19" xfId="2" applyFont="1" applyFill="1" applyBorder="1" applyAlignment="1">
      <alignment horizontal="center"/>
    </xf>
    <xf numFmtId="0" fontId="20" fillId="13" borderId="25" xfId="2" applyFont="1" applyFill="1" applyBorder="1" applyAlignment="1">
      <alignment horizontal="center"/>
    </xf>
    <xf numFmtId="0" fontId="20" fillId="13" borderId="37" xfId="2" applyFont="1" applyFill="1" applyBorder="1" applyAlignment="1">
      <alignment horizontal="center"/>
    </xf>
    <xf numFmtId="0" fontId="20" fillId="13" borderId="39" xfId="2" applyFont="1" applyFill="1" applyBorder="1" applyAlignment="1">
      <alignment horizontal="center"/>
    </xf>
    <xf numFmtId="0" fontId="20" fillId="13" borderId="36" xfId="2" applyFont="1" applyFill="1" applyBorder="1" applyAlignment="1">
      <alignment horizontal="center"/>
    </xf>
  </cellXfs>
  <cellStyles count="5">
    <cellStyle name="Normal" xfId="0" builtinId="0"/>
    <cellStyle name="Normal 2" xfId="1"/>
    <cellStyle name="Normal 2 2" xfId="4"/>
    <cellStyle name="Normal 3" xfId="2"/>
    <cellStyle name="Normal 4" xfId="3"/>
  </cellStyles>
  <dxfs count="232">
    <dxf>
      <font>
        <strike val="0"/>
        <outline val="0"/>
        <shadow val="0"/>
        <u val="none"/>
        <vertAlign val="baseline"/>
        <sz val="18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8"/>
        <color rgb="FF002060"/>
        <name val="Calibri"/>
        <scheme val="minor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00206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  <color theme="9" tint="-0.24994659260841701"/>
      </font>
    </dxf>
    <dxf>
      <font>
        <b/>
        <i val="0"/>
        <color theme="8" tint="-0.49998474074526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C00000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Pool_A_Group_Games" displayName="Pool_A_Group_Games" ref="B4:F25" headerRowDxfId="8" dataDxfId="7" totalsRowDxfId="5" tableBorderDxfId="6">
  <tableColumns count="5">
    <tableColumn id="1" name="Round" dataDxfId="4"/>
    <tableColumn id="2" name="Court" dataDxfId="3"/>
    <tableColumn id="3" name="Match" dataDxfId="2"/>
    <tableColumn id="4" name="Team 1" dataDxfId="1"/>
    <tableColumn id="5" name="Team 2" dataDxfId="0"/>
  </tableColumns>
  <tableStyleInfo name="TableStyleMedium6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13"/>
  <sheetViews>
    <sheetView tabSelected="1" zoomScaleNormal="100" workbookViewId="0">
      <selection activeCell="G18" sqref="G18"/>
    </sheetView>
  </sheetViews>
  <sheetFormatPr defaultRowHeight="20.25" x14ac:dyDescent="0.3"/>
  <cols>
    <col min="1" max="1" width="8.140625" style="1" bestFit="1" customWidth="1"/>
    <col min="2" max="2" width="27.140625" style="1" bestFit="1" customWidth="1"/>
    <col min="3" max="3" width="6.5703125" style="1" bestFit="1" customWidth="1"/>
    <col min="4" max="4" width="28.140625" style="1" bestFit="1" customWidth="1"/>
    <col min="5" max="5" width="2.7109375" style="21" customWidth="1"/>
    <col min="6" max="6" width="4.7109375" style="22" bestFit="1" customWidth="1"/>
    <col min="7" max="7" width="114.5703125" style="22" customWidth="1"/>
    <col min="8" max="8" width="33.5703125" style="1" bestFit="1" customWidth="1"/>
    <col min="9" max="9" width="31.7109375" style="1" bestFit="1" customWidth="1"/>
    <col min="10" max="11" width="9.140625" style="1"/>
    <col min="12" max="12" width="11.28515625" style="1" bestFit="1" customWidth="1"/>
    <col min="13" max="16384" width="9.140625" style="1"/>
  </cols>
  <sheetData>
    <row r="1" spans="1:14" ht="21" thickBot="1" x14ac:dyDescent="0.35">
      <c r="A1" s="131" t="s">
        <v>96</v>
      </c>
      <c r="B1" s="132"/>
      <c r="C1" s="132"/>
      <c r="D1" s="132"/>
      <c r="E1" s="132"/>
      <c r="F1" s="132"/>
      <c r="G1" s="133"/>
      <c r="L1" s="32">
        <v>44815</v>
      </c>
      <c r="M1" s="4" t="s">
        <v>46</v>
      </c>
      <c r="N1" s="4"/>
    </row>
    <row r="2" spans="1:14" x14ac:dyDescent="0.3">
      <c r="A2" s="23"/>
      <c r="B2" s="126" t="s">
        <v>9</v>
      </c>
      <c r="C2" s="127"/>
      <c r="D2" s="128"/>
      <c r="E2" s="70"/>
      <c r="F2" s="129" t="s">
        <v>24</v>
      </c>
      <c r="G2" s="130"/>
      <c r="H2" s="19"/>
      <c r="L2" s="32">
        <f>L1+7</f>
        <v>44822</v>
      </c>
      <c r="M2" s="4" t="s">
        <v>46</v>
      </c>
      <c r="N2" s="4"/>
    </row>
    <row r="3" spans="1:14" x14ac:dyDescent="0.3">
      <c r="A3" s="23"/>
      <c r="B3" s="37" t="s">
        <v>0</v>
      </c>
      <c r="C3" s="35" t="s">
        <v>58</v>
      </c>
      <c r="D3" s="38"/>
      <c r="E3" s="71"/>
      <c r="F3" s="75"/>
      <c r="G3" s="24" t="s">
        <v>116</v>
      </c>
      <c r="L3" s="32">
        <f t="shared" ref="L3:L15" si="0">L2+7</f>
        <v>44829</v>
      </c>
      <c r="M3" s="4" t="s">
        <v>46</v>
      </c>
      <c r="N3" s="4"/>
    </row>
    <row r="4" spans="1:14" x14ac:dyDescent="0.3">
      <c r="A4" s="23"/>
      <c r="B4" s="37" t="s">
        <v>26</v>
      </c>
      <c r="C4" s="36">
        <v>36</v>
      </c>
      <c r="D4" s="38">
        <v>46061</v>
      </c>
      <c r="E4" s="71"/>
      <c r="F4" s="75"/>
      <c r="G4" s="24" t="s">
        <v>117</v>
      </c>
      <c r="L4" s="32">
        <f t="shared" si="0"/>
        <v>44836</v>
      </c>
      <c r="M4" s="4" t="s">
        <v>47</v>
      </c>
      <c r="N4" s="134" t="s">
        <v>48</v>
      </c>
    </row>
    <row r="5" spans="1:14" x14ac:dyDescent="0.3">
      <c r="A5" s="23"/>
      <c r="B5" s="37" t="s">
        <v>99</v>
      </c>
      <c r="C5" s="36">
        <v>6</v>
      </c>
      <c r="D5" s="38">
        <v>46068</v>
      </c>
      <c r="E5" s="71"/>
      <c r="F5" s="75"/>
      <c r="G5" s="24" t="s">
        <v>119</v>
      </c>
      <c r="L5" s="32">
        <f t="shared" si="0"/>
        <v>44843</v>
      </c>
      <c r="M5" s="4" t="s">
        <v>49</v>
      </c>
      <c r="N5" s="134"/>
    </row>
    <row r="6" spans="1:14" x14ac:dyDescent="0.3">
      <c r="A6" s="23"/>
      <c r="B6" s="37"/>
      <c r="C6" s="36"/>
      <c r="D6" s="38"/>
      <c r="E6" s="71"/>
      <c r="F6" s="75"/>
      <c r="G6" s="24" t="s">
        <v>120</v>
      </c>
      <c r="L6" s="32">
        <f t="shared" si="0"/>
        <v>44850</v>
      </c>
      <c r="M6" s="4" t="s">
        <v>50</v>
      </c>
      <c r="N6" s="134"/>
    </row>
    <row r="7" spans="1:14" ht="21" thickBot="1" x14ac:dyDescent="0.35">
      <c r="A7" s="23"/>
      <c r="B7" s="39"/>
      <c r="C7" s="40"/>
      <c r="D7" s="41"/>
      <c r="E7" s="72"/>
      <c r="F7" s="75"/>
      <c r="G7" s="24" t="s">
        <v>118</v>
      </c>
      <c r="L7" s="32">
        <f t="shared" si="0"/>
        <v>44857</v>
      </c>
      <c r="M7" s="4" t="s">
        <v>51</v>
      </c>
      <c r="N7" s="134"/>
    </row>
    <row r="8" spans="1:14" ht="21" thickBot="1" x14ac:dyDescent="0.35">
      <c r="A8" s="23"/>
      <c r="B8" s="69" t="s">
        <v>97</v>
      </c>
      <c r="C8" s="25"/>
      <c r="D8" s="69" t="s">
        <v>98</v>
      </c>
      <c r="E8" s="72"/>
      <c r="F8" s="75"/>
      <c r="G8" s="24" t="s">
        <v>122</v>
      </c>
      <c r="L8" s="32">
        <f t="shared" si="0"/>
        <v>44864</v>
      </c>
      <c r="M8" s="4" t="s">
        <v>52</v>
      </c>
      <c r="N8" s="134"/>
    </row>
    <row r="9" spans="1:14" x14ac:dyDescent="0.3">
      <c r="A9" s="48">
        <v>1</v>
      </c>
      <c r="B9" s="64" t="s">
        <v>100</v>
      </c>
      <c r="C9" s="135"/>
      <c r="D9" s="65" t="s">
        <v>107</v>
      </c>
      <c r="E9" s="72"/>
      <c r="F9" s="75"/>
      <c r="G9" s="24" t="s">
        <v>121</v>
      </c>
      <c r="L9" s="32">
        <f t="shared" si="0"/>
        <v>44871</v>
      </c>
      <c r="M9" s="4" t="s">
        <v>53</v>
      </c>
      <c r="N9" s="134"/>
    </row>
    <row r="10" spans="1:14" x14ac:dyDescent="0.3">
      <c r="A10" s="26">
        <v>2</v>
      </c>
      <c r="B10" s="2" t="s">
        <v>101</v>
      </c>
      <c r="C10" s="136"/>
      <c r="D10" s="66" t="s">
        <v>108</v>
      </c>
      <c r="E10" s="73"/>
      <c r="F10" s="75"/>
      <c r="G10" s="24" t="s">
        <v>113</v>
      </c>
      <c r="L10" s="32">
        <f t="shared" si="0"/>
        <v>44878</v>
      </c>
      <c r="M10" s="4" t="s">
        <v>54</v>
      </c>
      <c r="N10" s="134"/>
    </row>
    <row r="11" spans="1:14" x14ac:dyDescent="0.3">
      <c r="A11" s="26">
        <v>3</v>
      </c>
      <c r="B11" s="2" t="s">
        <v>102</v>
      </c>
      <c r="C11" s="136"/>
      <c r="D11" s="66" t="s">
        <v>109</v>
      </c>
      <c r="E11" s="73"/>
      <c r="F11" s="75"/>
      <c r="G11" s="24" t="s">
        <v>114</v>
      </c>
      <c r="L11" s="32">
        <f t="shared" si="0"/>
        <v>44885</v>
      </c>
      <c r="M11" s="4" t="s">
        <v>55</v>
      </c>
      <c r="N11" s="4"/>
    </row>
    <row r="12" spans="1:14" x14ac:dyDescent="0.3">
      <c r="A12" s="26">
        <v>4</v>
      </c>
      <c r="B12" s="2" t="s">
        <v>103</v>
      </c>
      <c r="C12" s="136"/>
      <c r="D12" s="66" t="s">
        <v>110</v>
      </c>
      <c r="E12" s="73"/>
      <c r="F12" s="75"/>
      <c r="G12" s="24" t="s">
        <v>115</v>
      </c>
      <c r="L12" s="32">
        <f t="shared" si="0"/>
        <v>44892</v>
      </c>
      <c r="M12" s="4" t="s">
        <v>55</v>
      </c>
      <c r="N12" s="4"/>
    </row>
    <row r="13" spans="1:14" ht="21" thickBot="1" x14ac:dyDescent="0.35">
      <c r="A13" s="26">
        <v>5</v>
      </c>
      <c r="B13" s="2" t="s">
        <v>104</v>
      </c>
      <c r="C13" s="136"/>
      <c r="D13" s="66" t="s">
        <v>111</v>
      </c>
      <c r="E13" s="73"/>
      <c r="F13" s="75"/>
      <c r="G13" s="24"/>
      <c r="L13" s="32">
        <f t="shared" si="0"/>
        <v>44899</v>
      </c>
      <c r="M13" s="4" t="s">
        <v>56</v>
      </c>
      <c r="N13" s="4"/>
    </row>
    <row r="14" spans="1:14" x14ac:dyDescent="0.3">
      <c r="A14" s="48">
        <v>6</v>
      </c>
      <c r="B14" s="2" t="s">
        <v>105</v>
      </c>
      <c r="C14" s="136"/>
      <c r="D14" s="66" t="s">
        <v>112</v>
      </c>
      <c r="E14" s="73"/>
      <c r="F14" s="75"/>
      <c r="G14" s="24"/>
      <c r="L14" s="33">
        <f t="shared" si="0"/>
        <v>44906</v>
      </c>
      <c r="M14"/>
      <c r="N14"/>
    </row>
    <row r="15" spans="1:14" ht="21" thickBot="1" x14ac:dyDescent="0.35">
      <c r="A15" s="26">
        <v>7</v>
      </c>
      <c r="B15" s="67" t="s">
        <v>106</v>
      </c>
      <c r="C15" s="137"/>
      <c r="D15" s="68"/>
      <c r="E15" s="73"/>
      <c r="F15" s="75"/>
      <c r="G15" s="24"/>
      <c r="L15" s="32">
        <f t="shared" si="0"/>
        <v>44913</v>
      </c>
      <c r="M15"/>
      <c r="N15"/>
    </row>
    <row r="16" spans="1:14" x14ac:dyDescent="0.3">
      <c r="E16" s="74"/>
      <c r="F16" s="75"/>
      <c r="G16" s="24"/>
    </row>
    <row r="17" spans="1:9" x14ac:dyDescent="0.3">
      <c r="E17" s="74"/>
      <c r="F17" s="75"/>
      <c r="G17" s="24"/>
    </row>
    <row r="18" spans="1:9" x14ac:dyDescent="0.3">
      <c r="E18" s="74"/>
      <c r="F18" s="75"/>
      <c r="G18" s="24"/>
    </row>
    <row r="19" spans="1:9" x14ac:dyDescent="0.3">
      <c r="E19" s="74"/>
      <c r="F19" s="75"/>
      <c r="G19" s="24"/>
    </row>
    <row r="20" spans="1:9" x14ac:dyDescent="0.3">
      <c r="E20" s="74"/>
      <c r="F20" s="75"/>
      <c r="G20" s="24"/>
    </row>
    <row r="21" spans="1:9" x14ac:dyDescent="0.3">
      <c r="E21" s="74"/>
      <c r="F21" s="75"/>
      <c r="G21" s="24"/>
    </row>
    <row r="22" spans="1:9" ht="31.5" customHeight="1" thickBot="1" x14ac:dyDescent="0.35">
      <c r="B22" s="1" t="s">
        <v>43</v>
      </c>
      <c r="C22" s="30">
        <v>2</v>
      </c>
      <c r="E22" s="74"/>
      <c r="F22" s="76"/>
      <c r="G22" s="27"/>
    </row>
    <row r="23" spans="1:9" x14ac:dyDescent="0.3">
      <c r="H23" s="1" t="s">
        <v>44</v>
      </c>
      <c r="I23" s="1" t="s">
        <v>44</v>
      </c>
    </row>
    <row r="24" spans="1:9" x14ac:dyDescent="0.3">
      <c r="H24" s="1" t="s">
        <v>80</v>
      </c>
      <c r="I24" s="1" t="s">
        <v>81</v>
      </c>
    </row>
    <row r="25" spans="1:9" ht="60" x14ac:dyDescent="0.8">
      <c r="A25" s="20"/>
      <c r="B25" s="42" t="s">
        <v>45</v>
      </c>
      <c r="C25" s="47"/>
      <c r="D25" s="42" t="s">
        <v>42</v>
      </c>
      <c r="H25" s="31" t="str">
        <f>IF(C22&lt;2,RandBetweenInt(15,28,C26:C38),"")</f>
        <v/>
      </c>
      <c r="I25" s="31">
        <f ca="1">IF(C22&gt;1,RandBetweenInt(1,14,I27:I40),"")</f>
        <v>5</v>
      </c>
    </row>
    <row r="26" spans="1:9" x14ac:dyDescent="0.3">
      <c r="A26" s="4"/>
      <c r="B26" s="43" t="s">
        <v>33</v>
      </c>
      <c r="C26" s="4">
        <v>17</v>
      </c>
      <c r="D26" s="4" t="str">
        <f t="shared" ref="D26:D39" si="1">IF($C$22&gt;0,VLOOKUP(C26,POOL_B,2,FALSE),"")</f>
        <v>Samir</v>
      </c>
      <c r="E26" s="29"/>
      <c r="G26" s="22" t="s">
        <v>59</v>
      </c>
      <c r="H26" s="1" t="s">
        <v>60</v>
      </c>
      <c r="I26" s="1" t="s">
        <v>82</v>
      </c>
    </row>
    <row r="27" spans="1:9" x14ac:dyDescent="0.3">
      <c r="A27" s="4">
        <v>1</v>
      </c>
      <c r="B27" s="43" t="s">
        <v>64</v>
      </c>
      <c r="C27" s="4">
        <v>25</v>
      </c>
      <c r="D27" s="4" t="str">
        <f t="shared" si="1"/>
        <v>Tousif</v>
      </c>
      <c r="E27" s="29"/>
      <c r="F27" s="22">
        <v>1</v>
      </c>
      <c r="G27" s="22" t="str">
        <f t="shared" ref="G27:G40" si="2">IF($C$22&gt;1,CONCATENATE(B26," / ",D26),"")</f>
        <v>Deepesh / Samir</v>
      </c>
      <c r="H27" s="1" t="str">
        <f t="shared" ref="H27:H40" si="3">IF($C$22&gt;2,IF(COUNTIF($I$27:$I$40, F27)&gt;0,"A","B"),"")</f>
        <v/>
      </c>
      <c r="I27" s="1">
        <v>3</v>
      </c>
    </row>
    <row r="28" spans="1:9" x14ac:dyDescent="0.3">
      <c r="A28" s="4">
        <v>2</v>
      </c>
      <c r="B28" s="43" t="s">
        <v>65</v>
      </c>
      <c r="C28" s="4">
        <v>28</v>
      </c>
      <c r="D28" s="4">
        <f t="shared" si="1"/>
        <v>0</v>
      </c>
      <c r="E28" s="29"/>
      <c r="F28" s="22">
        <v>2</v>
      </c>
      <c r="G28" s="22" t="str">
        <f t="shared" si="2"/>
        <v>Santosh / Tousif</v>
      </c>
      <c r="H28" s="1" t="str">
        <f t="shared" si="3"/>
        <v/>
      </c>
      <c r="I28" s="1">
        <v>11</v>
      </c>
    </row>
    <row r="29" spans="1:9" x14ac:dyDescent="0.3">
      <c r="A29" s="4">
        <v>3</v>
      </c>
      <c r="B29" s="43" t="s">
        <v>32</v>
      </c>
      <c r="C29" s="4">
        <v>20</v>
      </c>
      <c r="D29" s="4" t="str">
        <f t="shared" si="1"/>
        <v>Nawaz</v>
      </c>
      <c r="E29" s="29"/>
      <c r="F29" s="22">
        <v>3</v>
      </c>
      <c r="G29" s="22" t="str">
        <f t="shared" si="2"/>
        <v>Rukhsar / 0</v>
      </c>
      <c r="H29" s="1" t="str">
        <f t="shared" si="3"/>
        <v/>
      </c>
      <c r="I29" s="1">
        <v>10</v>
      </c>
    </row>
    <row r="30" spans="1:9" x14ac:dyDescent="0.3">
      <c r="A30" s="4">
        <v>4</v>
      </c>
      <c r="B30" s="43" t="s">
        <v>84</v>
      </c>
      <c r="C30" s="4">
        <v>19</v>
      </c>
      <c r="D30" s="4" t="str">
        <f t="shared" si="1"/>
        <v>Waqas</v>
      </c>
      <c r="E30" s="29"/>
      <c r="F30" s="22">
        <v>4</v>
      </c>
      <c r="G30" s="22" t="str">
        <f t="shared" si="2"/>
        <v>Rahul J / Nawaz</v>
      </c>
      <c r="H30" s="1" t="str">
        <f t="shared" si="3"/>
        <v/>
      </c>
      <c r="I30" s="1">
        <v>13</v>
      </c>
    </row>
    <row r="31" spans="1:9" x14ac:dyDescent="0.3">
      <c r="A31" s="4">
        <v>5</v>
      </c>
      <c r="B31" s="43" t="s">
        <v>67</v>
      </c>
      <c r="C31" s="4">
        <v>15</v>
      </c>
      <c r="D31" s="4" t="str">
        <f t="shared" si="1"/>
        <v>Vasu</v>
      </c>
      <c r="E31" s="29"/>
      <c r="F31" s="22">
        <v>5</v>
      </c>
      <c r="G31" s="22" t="str">
        <f t="shared" si="2"/>
        <v>Suraj / Waqas</v>
      </c>
      <c r="H31" s="1" t="str">
        <f t="shared" si="3"/>
        <v/>
      </c>
      <c r="I31" s="1">
        <v>12</v>
      </c>
    </row>
    <row r="32" spans="1:9" x14ac:dyDescent="0.3">
      <c r="A32" s="4">
        <v>6</v>
      </c>
      <c r="B32" s="43" t="s">
        <v>29</v>
      </c>
      <c r="C32" s="4">
        <v>18</v>
      </c>
      <c r="D32" s="4" t="str">
        <f t="shared" si="1"/>
        <v>Jalal</v>
      </c>
      <c r="E32" s="29"/>
      <c r="F32" s="22">
        <v>6</v>
      </c>
      <c r="G32" s="22" t="str">
        <f t="shared" si="2"/>
        <v>Yogi / Vasu</v>
      </c>
      <c r="H32" s="1" t="str">
        <f t="shared" si="3"/>
        <v/>
      </c>
      <c r="I32" s="1">
        <v>7</v>
      </c>
    </row>
    <row r="33" spans="1:9" x14ac:dyDescent="0.3">
      <c r="A33" s="4">
        <v>7</v>
      </c>
      <c r="B33" s="43" t="s">
        <v>69</v>
      </c>
      <c r="C33" s="4">
        <v>26</v>
      </c>
      <c r="D33" s="4" t="str">
        <f t="shared" si="1"/>
        <v>Sengole</v>
      </c>
      <c r="E33" s="29"/>
      <c r="F33" s="22">
        <v>7</v>
      </c>
      <c r="G33" s="22" t="str">
        <f t="shared" si="2"/>
        <v>Altamash / Jalal</v>
      </c>
      <c r="H33" s="1" t="str">
        <f t="shared" si="3"/>
        <v/>
      </c>
      <c r="I33" s="1">
        <v>8</v>
      </c>
    </row>
    <row r="34" spans="1:9" x14ac:dyDescent="0.3">
      <c r="A34" s="4">
        <v>8</v>
      </c>
      <c r="B34" s="43" t="s">
        <v>30</v>
      </c>
      <c r="C34" s="4">
        <v>24</v>
      </c>
      <c r="D34" s="4" t="str">
        <f t="shared" si="1"/>
        <v>Vishal</v>
      </c>
      <c r="E34" s="29"/>
      <c r="F34" s="22">
        <v>8</v>
      </c>
      <c r="G34" s="22" t="str">
        <f t="shared" si="2"/>
        <v>Zaheer / Sengole</v>
      </c>
      <c r="H34" s="1" t="str">
        <f t="shared" si="3"/>
        <v/>
      </c>
    </row>
    <row r="35" spans="1:9" x14ac:dyDescent="0.3">
      <c r="A35" s="4">
        <v>9</v>
      </c>
      <c r="B35" s="43" t="s">
        <v>38</v>
      </c>
      <c r="C35" s="4">
        <v>27</v>
      </c>
      <c r="D35" s="4" t="str">
        <f t="shared" si="1"/>
        <v>Mansoor</v>
      </c>
      <c r="E35" s="29"/>
      <c r="F35" s="22">
        <v>9</v>
      </c>
      <c r="G35" s="22" t="str">
        <f t="shared" si="2"/>
        <v>Thomas / Vishal</v>
      </c>
      <c r="H35" s="1" t="str">
        <f t="shared" si="3"/>
        <v/>
      </c>
    </row>
    <row r="36" spans="1:9" x14ac:dyDescent="0.3">
      <c r="A36" s="4">
        <v>10</v>
      </c>
      <c r="B36" s="43" t="s">
        <v>72</v>
      </c>
      <c r="C36" s="4">
        <v>22</v>
      </c>
      <c r="D36" s="4" t="str">
        <f t="shared" si="1"/>
        <v>Umar</v>
      </c>
      <c r="E36" s="29"/>
      <c r="F36" s="22">
        <v>10</v>
      </c>
      <c r="G36" s="22" t="str">
        <f t="shared" si="2"/>
        <v>Prasanna / Mansoor</v>
      </c>
      <c r="H36" s="1" t="str">
        <f t="shared" si="3"/>
        <v/>
      </c>
    </row>
    <row r="37" spans="1:9" x14ac:dyDescent="0.3">
      <c r="A37" s="4">
        <v>11</v>
      </c>
      <c r="B37" s="43" t="s">
        <v>73</v>
      </c>
      <c r="C37" s="4">
        <v>16</v>
      </c>
      <c r="D37" s="4" t="str">
        <f t="shared" si="1"/>
        <v>Saiful</v>
      </c>
      <c r="E37" s="29"/>
      <c r="F37" s="22">
        <v>11</v>
      </c>
      <c r="G37" s="22" t="str">
        <f t="shared" si="2"/>
        <v>Sandip / Umar</v>
      </c>
      <c r="H37" s="1" t="str">
        <f t="shared" si="3"/>
        <v/>
      </c>
    </row>
    <row r="38" spans="1:9" x14ac:dyDescent="0.3">
      <c r="A38" s="4">
        <v>12</v>
      </c>
      <c r="B38" s="44" t="s">
        <v>40</v>
      </c>
      <c r="C38" s="4">
        <v>23</v>
      </c>
      <c r="D38" s="4" t="str">
        <f t="shared" si="1"/>
        <v>Shreya</v>
      </c>
      <c r="E38" s="29"/>
      <c r="F38" s="22">
        <v>12</v>
      </c>
      <c r="G38" s="22" t="str">
        <f t="shared" si="2"/>
        <v>Farooq S / Saiful</v>
      </c>
      <c r="H38" s="1" t="str">
        <f t="shared" si="3"/>
        <v/>
      </c>
    </row>
    <row r="39" spans="1:9" x14ac:dyDescent="0.3">
      <c r="A39" s="4">
        <v>13</v>
      </c>
      <c r="B39" s="44" t="s">
        <v>77</v>
      </c>
      <c r="C39" s="4">
        <v>21</v>
      </c>
      <c r="D39" s="4" t="str">
        <f t="shared" si="1"/>
        <v>Asim</v>
      </c>
      <c r="E39" s="29"/>
      <c r="F39" s="22">
        <v>13</v>
      </c>
      <c r="G39" s="22" t="str">
        <f t="shared" si="2"/>
        <v>Kalyan / Shreya</v>
      </c>
      <c r="H39" s="1" t="str">
        <f t="shared" si="3"/>
        <v/>
      </c>
    </row>
    <row r="40" spans="1:9" x14ac:dyDescent="0.3">
      <c r="A40" s="4">
        <v>14</v>
      </c>
      <c r="B40" s="46"/>
      <c r="C40" s="45"/>
      <c r="D40"/>
      <c r="E40" s="29"/>
      <c r="F40" s="22">
        <v>14</v>
      </c>
      <c r="G40" s="22" t="str">
        <f t="shared" si="2"/>
        <v>Ken / Asim</v>
      </c>
      <c r="H40" s="1" t="str">
        <f t="shared" si="3"/>
        <v/>
      </c>
    </row>
    <row r="41" spans="1:9" ht="48.75" customHeight="1" x14ac:dyDescent="0.3">
      <c r="A41" s="46"/>
      <c r="B41" s="42" t="s">
        <v>25</v>
      </c>
      <c r="E41" s="29"/>
      <c r="H41" s="1" t="s">
        <v>83</v>
      </c>
      <c r="I41" s="1">
        <f>COUNT(I27:I40)</f>
        <v>7</v>
      </c>
    </row>
    <row r="42" spans="1:9" ht="25.5" customHeight="1" x14ac:dyDescent="0.3">
      <c r="A42" s="4"/>
      <c r="B42" s="43" t="s">
        <v>31</v>
      </c>
    </row>
    <row r="43" spans="1:9" x14ac:dyDescent="0.3">
      <c r="A43" s="4">
        <v>15</v>
      </c>
      <c r="B43" s="43" t="s">
        <v>35</v>
      </c>
    </row>
    <row r="44" spans="1:9" x14ac:dyDescent="0.3">
      <c r="A44" s="4">
        <v>16</v>
      </c>
      <c r="B44" s="43" t="s">
        <v>68</v>
      </c>
    </row>
    <row r="45" spans="1:9" x14ac:dyDescent="0.3">
      <c r="A45" s="4">
        <v>17</v>
      </c>
      <c r="B45" s="43" t="s">
        <v>39</v>
      </c>
    </row>
    <row r="46" spans="1:9" x14ac:dyDescent="0.3">
      <c r="A46" s="4">
        <v>18</v>
      </c>
      <c r="B46" s="43" t="s">
        <v>66</v>
      </c>
    </row>
    <row r="47" spans="1:9" x14ac:dyDescent="0.3">
      <c r="A47" s="4">
        <v>19</v>
      </c>
      <c r="B47" s="43" t="s">
        <v>71</v>
      </c>
    </row>
    <row r="48" spans="1:9" x14ac:dyDescent="0.3">
      <c r="A48" s="4">
        <v>20</v>
      </c>
      <c r="B48" s="43" t="s">
        <v>37</v>
      </c>
    </row>
    <row r="49" spans="1:4" x14ac:dyDescent="0.3">
      <c r="A49" s="4">
        <v>21</v>
      </c>
      <c r="B49" s="43" t="s">
        <v>28</v>
      </c>
    </row>
    <row r="50" spans="1:4" x14ac:dyDescent="0.3">
      <c r="A50" s="4">
        <v>22</v>
      </c>
      <c r="B50" s="44" t="s">
        <v>74</v>
      </c>
    </row>
    <row r="51" spans="1:4" x14ac:dyDescent="0.3">
      <c r="A51" s="4">
        <v>23</v>
      </c>
      <c r="B51" s="44" t="s">
        <v>70</v>
      </c>
    </row>
    <row r="52" spans="1:4" x14ac:dyDescent="0.3">
      <c r="A52" s="4">
        <v>24</v>
      </c>
      <c r="B52" s="43" t="s">
        <v>75</v>
      </c>
    </row>
    <row r="53" spans="1:4" x14ac:dyDescent="0.3">
      <c r="A53" s="4">
        <v>25</v>
      </c>
      <c r="B53" s="44" t="s">
        <v>41</v>
      </c>
    </row>
    <row r="54" spans="1:4" x14ac:dyDescent="0.3">
      <c r="A54" s="4">
        <v>26</v>
      </c>
      <c r="B54" s="44" t="s">
        <v>76</v>
      </c>
    </row>
    <row r="55" spans="1:4" x14ac:dyDescent="0.3">
      <c r="A55" s="4">
        <v>27</v>
      </c>
      <c r="B55" s="43" t="s">
        <v>36</v>
      </c>
    </row>
    <row r="56" spans="1:4" x14ac:dyDescent="0.3">
      <c r="A56" s="4">
        <v>28</v>
      </c>
      <c r="B56"/>
    </row>
    <row r="57" spans="1:4" x14ac:dyDescent="0.3">
      <c r="A57"/>
      <c r="B57"/>
    </row>
    <row r="58" spans="1:4" x14ac:dyDescent="0.3">
      <c r="A58"/>
      <c r="B58"/>
    </row>
    <row r="59" spans="1:4" x14ac:dyDescent="0.3">
      <c r="A59"/>
      <c r="B59"/>
    </row>
    <row r="60" spans="1:4" x14ac:dyDescent="0.3">
      <c r="A60"/>
      <c r="B60"/>
    </row>
    <row r="61" spans="1:4" x14ac:dyDescent="0.3">
      <c r="A61"/>
    </row>
    <row r="62" spans="1:4" x14ac:dyDescent="0.3">
      <c r="B62" s="43" t="s">
        <v>79</v>
      </c>
      <c r="C62" s="43"/>
      <c r="D62" s="43" t="s">
        <v>78</v>
      </c>
    </row>
    <row r="63" spans="1:4" x14ac:dyDescent="0.3">
      <c r="A63" s="43"/>
      <c r="B63" s="43" t="s">
        <v>33</v>
      </c>
      <c r="C63" s="43"/>
      <c r="D63" s="43" t="s">
        <v>61</v>
      </c>
    </row>
    <row r="64" spans="1:4" x14ac:dyDescent="0.3">
      <c r="A64" s="43">
        <v>1</v>
      </c>
      <c r="B64" s="43" t="s">
        <v>64</v>
      </c>
      <c r="C64" s="43"/>
      <c r="D64" s="43" t="s">
        <v>61</v>
      </c>
    </row>
    <row r="65" spans="1:4" x14ac:dyDescent="0.3">
      <c r="A65" s="43">
        <v>2</v>
      </c>
      <c r="B65" s="43" t="s">
        <v>65</v>
      </c>
      <c r="C65" s="43"/>
      <c r="D65" s="43" t="s">
        <v>61</v>
      </c>
    </row>
    <row r="66" spans="1:4" x14ac:dyDescent="0.3">
      <c r="A66" s="43">
        <v>3</v>
      </c>
      <c r="B66" s="43" t="s">
        <v>32</v>
      </c>
      <c r="C66" s="43"/>
      <c r="D66" s="43" t="s">
        <v>61</v>
      </c>
    </row>
    <row r="67" spans="1:4" x14ac:dyDescent="0.3">
      <c r="A67" s="43">
        <v>4</v>
      </c>
      <c r="B67" s="43" t="s">
        <v>84</v>
      </c>
      <c r="C67" s="43"/>
      <c r="D67" s="43" t="s">
        <v>61</v>
      </c>
    </row>
    <row r="68" spans="1:4" x14ac:dyDescent="0.3">
      <c r="A68" s="43">
        <v>5</v>
      </c>
      <c r="B68" s="43" t="s">
        <v>67</v>
      </c>
      <c r="C68" s="43"/>
      <c r="D68" s="43" t="s">
        <v>61</v>
      </c>
    </row>
    <row r="69" spans="1:4" x14ac:dyDescent="0.3">
      <c r="A69" s="43">
        <v>6</v>
      </c>
      <c r="B69" s="43" t="s">
        <v>29</v>
      </c>
      <c r="C69" s="43"/>
      <c r="D69" s="43" t="s">
        <v>61</v>
      </c>
    </row>
    <row r="70" spans="1:4" x14ac:dyDescent="0.3">
      <c r="A70" s="43">
        <v>7</v>
      </c>
      <c r="B70" s="43" t="s">
        <v>69</v>
      </c>
      <c r="C70" s="43"/>
      <c r="D70" s="43" t="s">
        <v>61</v>
      </c>
    </row>
    <row r="71" spans="1:4" x14ac:dyDescent="0.3">
      <c r="A71" s="43">
        <v>8</v>
      </c>
      <c r="B71" s="43" t="s">
        <v>30</v>
      </c>
      <c r="C71" s="43"/>
      <c r="D71" s="43" t="s">
        <v>61</v>
      </c>
    </row>
    <row r="72" spans="1:4" x14ac:dyDescent="0.3">
      <c r="A72" s="43">
        <v>9</v>
      </c>
      <c r="B72" s="43" t="s">
        <v>38</v>
      </c>
      <c r="C72" s="43"/>
      <c r="D72" s="43" t="s">
        <v>61</v>
      </c>
    </row>
    <row r="73" spans="1:4" x14ac:dyDescent="0.3">
      <c r="A73" s="43">
        <v>10</v>
      </c>
      <c r="B73" s="43" t="s">
        <v>72</v>
      </c>
      <c r="C73" s="43"/>
      <c r="D73" s="43" t="s">
        <v>61</v>
      </c>
    </row>
    <row r="74" spans="1:4" x14ac:dyDescent="0.3">
      <c r="A74" s="43">
        <v>11</v>
      </c>
      <c r="B74" s="43" t="s">
        <v>73</v>
      </c>
      <c r="C74" s="43"/>
      <c r="D74" s="43" t="s">
        <v>61</v>
      </c>
    </row>
    <row r="75" spans="1:4" x14ac:dyDescent="0.3">
      <c r="A75" s="43">
        <v>12</v>
      </c>
      <c r="B75" s="44" t="s">
        <v>40</v>
      </c>
      <c r="C75" s="43"/>
      <c r="D75" s="43" t="s">
        <v>61</v>
      </c>
    </row>
    <row r="76" spans="1:4" x14ac:dyDescent="0.3">
      <c r="A76" s="43">
        <v>13</v>
      </c>
      <c r="B76" s="44" t="s">
        <v>77</v>
      </c>
      <c r="C76" s="43"/>
      <c r="D76" s="43" t="s">
        <v>61</v>
      </c>
    </row>
    <row r="77" spans="1:4" x14ac:dyDescent="0.3">
      <c r="A77" s="43">
        <v>14</v>
      </c>
      <c r="B77" s="43" t="s">
        <v>31</v>
      </c>
      <c r="C77" s="43"/>
      <c r="D77" s="43" t="s">
        <v>62</v>
      </c>
    </row>
    <row r="78" spans="1:4" x14ac:dyDescent="0.3">
      <c r="A78" s="43">
        <v>15</v>
      </c>
      <c r="B78" s="43" t="s">
        <v>35</v>
      </c>
      <c r="C78" s="43"/>
      <c r="D78" s="43" t="s">
        <v>62</v>
      </c>
    </row>
    <row r="79" spans="1:4" x14ac:dyDescent="0.3">
      <c r="A79" s="43">
        <v>16</v>
      </c>
      <c r="B79" s="43" t="s">
        <v>68</v>
      </c>
      <c r="C79" s="43"/>
      <c r="D79" s="43" t="s">
        <v>62</v>
      </c>
    </row>
    <row r="80" spans="1:4" x14ac:dyDescent="0.3">
      <c r="A80" s="43">
        <v>17</v>
      </c>
      <c r="B80" s="43" t="s">
        <v>39</v>
      </c>
      <c r="C80" s="43"/>
      <c r="D80" s="43" t="s">
        <v>62</v>
      </c>
    </row>
    <row r="81" spans="1:4" x14ac:dyDescent="0.3">
      <c r="A81" s="43">
        <v>18</v>
      </c>
      <c r="B81" s="43" t="s">
        <v>66</v>
      </c>
      <c r="C81" s="43"/>
      <c r="D81" s="43" t="s">
        <v>62</v>
      </c>
    </row>
    <row r="82" spans="1:4" x14ac:dyDescent="0.3">
      <c r="A82" s="43">
        <v>19</v>
      </c>
      <c r="B82" s="43" t="s">
        <v>71</v>
      </c>
      <c r="C82" s="43"/>
      <c r="D82" s="43" t="s">
        <v>62</v>
      </c>
    </row>
    <row r="83" spans="1:4" x14ac:dyDescent="0.3">
      <c r="A83" s="43">
        <v>20</v>
      </c>
      <c r="B83" s="43" t="s">
        <v>37</v>
      </c>
      <c r="C83" s="43"/>
      <c r="D83" s="43" t="s">
        <v>62</v>
      </c>
    </row>
    <row r="84" spans="1:4" x14ac:dyDescent="0.3">
      <c r="A84" s="44">
        <v>21</v>
      </c>
      <c r="B84" s="43" t="s">
        <v>28</v>
      </c>
      <c r="C84" s="43"/>
      <c r="D84" s="43" t="s">
        <v>62</v>
      </c>
    </row>
    <row r="85" spans="1:4" x14ac:dyDescent="0.3">
      <c r="A85" s="44">
        <v>22</v>
      </c>
      <c r="B85" s="44" t="s">
        <v>74</v>
      </c>
      <c r="C85" s="43"/>
      <c r="D85" s="43" t="s">
        <v>62</v>
      </c>
    </row>
    <row r="86" spans="1:4" x14ac:dyDescent="0.3">
      <c r="A86" s="44">
        <v>23</v>
      </c>
      <c r="B86" s="44" t="s">
        <v>70</v>
      </c>
      <c r="C86" s="43"/>
      <c r="D86" s="43" t="s">
        <v>62</v>
      </c>
    </row>
    <row r="87" spans="1:4" x14ac:dyDescent="0.3">
      <c r="A87" s="43">
        <v>24</v>
      </c>
      <c r="B87" s="43" t="s">
        <v>75</v>
      </c>
      <c r="C87" s="43"/>
      <c r="D87" s="43" t="s">
        <v>62</v>
      </c>
    </row>
    <row r="88" spans="1:4" x14ac:dyDescent="0.3">
      <c r="A88" s="44">
        <v>25</v>
      </c>
      <c r="B88" s="44" t="s">
        <v>41</v>
      </c>
      <c r="C88" s="43"/>
      <c r="D88" s="43" t="s">
        <v>62</v>
      </c>
    </row>
    <row r="89" spans="1:4" x14ac:dyDescent="0.3">
      <c r="A89" s="44">
        <v>26</v>
      </c>
      <c r="B89" s="44" t="s">
        <v>76</v>
      </c>
      <c r="C89" s="43"/>
      <c r="D89" s="43" t="s">
        <v>62</v>
      </c>
    </row>
    <row r="90" spans="1:4" x14ac:dyDescent="0.3">
      <c r="A90" s="44">
        <v>27</v>
      </c>
      <c r="B90" s="43" t="s">
        <v>36</v>
      </c>
      <c r="C90" s="43"/>
      <c r="D90" s="43" t="s">
        <v>62</v>
      </c>
    </row>
    <row r="91" spans="1:4" x14ac:dyDescent="0.3">
      <c r="A91" s="43">
        <v>28</v>
      </c>
    </row>
    <row r="92" spans="1:4" x14ac:dyDescent="0.3">
      <c r="B92" s="1">
        <f>COUNTIF(D63:D90,"A")</f>
        <v>14</v>
      </c>
    </row>
    <row r="93" spans="1:4" x14ac:dyDescent="0.3">
      <c r="A93" s="1" t="s">
        <v>61</v>
      </c>
      <c r="B93" s="1">
        <f>COUNTIF(D63:D90,"B")</f>
        <v>14</v>
      </c>
    </row>
    <row r="94" spans="1:4" x14ac:dyDescent="0.3">
      <c r="A94" s="1" t="s">
        <v>62</v>
      </c>
    </row>
    <row r="113" spans="7:7" x14ac:dyDescent="0.3">
      <c r="G113" s="34" t="s">
        <v>57</v>
      </c>
    </row>
  </sheetData>
  <sortState ref="B55:E82">
    <sortCondition ref="D55:D82"/>
  </sortState>
  <mergeCells count="5">
    <mergeCell ref="B2:D2"/>
    <mergeCell ref="F2:G2"/>
    <mergeCell ref="A1:G1"/>
    <mergeCell ref="N4:N10"/>
    <mergeCell ref="C9:C15"/>
  </mergeCells>
  <pageMargins left="0.7" right="0.7" top="0.75" bottom="0.75" header="0.3" footer="0.3"/>
  <pageSetup paperSize="9" orientation="portrait" horizontalDpi="200" verticalDpi="200" r:id="rId1"/>
  <ignoredErrors>
    <ignoredError sqref="H2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5"/>
  <sheetViews>
    <sheetView zoomScale="90" zoomScaleNormal="90" workbookViewId="0">
      <selection activeCell="L35" sqref="L35"/>
    </sheetView>
  </sheetViews>
  <sheetFormatPr defaultRowHeight="12.75" x14ac:dyDescent="0.2"/>
  <cols>
    <col min="1" max="1" width="6.42578125" bestFit="1" customWidth="1"/>
    <col min="2" max="2" width="18.28515625" bestFit="1" customWidth="1"/>
    <col min="3" max="3" width="28.7109375" bestFit="1" customWidth="1"/>
    <col min="4" max="4" width="10" style="3" bestFit="1" customWidth="1"/>
    <col min="5" max="5" width="28.7109375" bestFit="1" customWidth="1"/>
    <col min="6" max="6" width="10" style="3" bestFit="1" customWidth="1"/>
    <col min="7" max="7" width="28.7109375" bestFit="1" customWidth="1"/>
    <col min="8" max="8" width="4" bestFit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8" t="s">
        <v>123</v>
      </c>
      <c r="B1" s="139"/>
      <c r="C1" s="139"/>
      <c r="D1" s="139"/>
      <c r="E1" s="140"/>
      <c r="F1" s="28"/>
      <c r="G1" s="2"/>
      <c r="H1" t="s">
        <v>156</v>
      </c>
      <c r="J1" s="141" t="s">
        <v>125</v>
      </c>
      <c r="K1" s="142"/>
      <c r="L1" s="142"/>
      <c r="M1" s="142"/>
      <c r="N1" s="143"/>
      <c r="S1" s="12" t="s">
        <v>12</v>
      </c>
      <c r="T1" s="12" t="s">
        <v>13</v>
      </c>
    </row>
    <row r="2" spans="1:20" ht="20.25" x14ac:dyDescent="0.3">
      <c r="A2" s="5" t="s">
        <v>11</v>
      </c>
      <c r="B2" s="5" t="s">
        <v>10</v>
      </c>
      <c r="C2" s="5" t="s">
        <v>14</v>
      </c>
      <c r="D2" s="7" t="s">
        <v>1</v>
      </c>
      <c r="E2" s="5" t="s">
        <v>15</v>
      </c>
      <c r="F2" s="7" t="s">
        <v>1</v>
      </c>
      <c r="G2" s="5" t="s">
        <v>2</v>
      </c>
      <c r="J2" s="4"/>
      <c r="K2" s="5" t="s">
        <v>63</v>
      </c>
      <c r="L2" s="5" t="s">
        <v>3</v>
      </c>
      <c r="M2" s="5" t="s">
        <v>4</v>
      </c>
      <c r="N2" s="5" t="s">
        <v>5</v>
      </c>
      <c r="O2" s="5" t="s">
        <v>6</v>
      </c>
      <c r="P2" s="5" t="s">
        <v>8</v>
      </c>
      <c r="Q2" s="5" t="s">
        <v>7</v>
      </c>
      <c r="R2" s="5" t="s">
        <v>27</v>
      </c>
      <c r="S2" s="77">
        <f>SUM(P3:Q3)</f>
        <v>211</v>
      </c>
      <c r="T2" s="13">
        <f>S2/L3</f>
        <v>35.166666666666664</v>
      </c>
    </row>
    <row r="3" spans="1:20" ht="23.25" x14ac:dyDescent="0.3">
      <c r="A3" s="8">
        <v>1</v>
      </c>
      <c r="B3" s="86">
        <v>46061</v>
      </c>
      <c r="C3" s="87" t="s">
        <v>101</v>
      </c>
      <c r="D3" s="9">
        <v>21</v>
      </c>
      <c r="E3" s="88" t="s">
        <v>106</v>
      </c>
      <c r="F3" s="9">
        <v>15</v>
      </c>
      <c r="G3" s="87" t="str">
        <f t="shared" ref="G3:G23" si="0">IF($D3&gt;0,IF($D3&gt;$F3,$C3,$E3),"")</f>
        <v>Vivek / Ziad</v>
      </c>
      <c r="H3">
        <f>ABS(D3-F3)</f>
        <v>6</v>
      </c>
      <c r="J3" s="2">
        <v>1</v>
      </c>
      <c r="K3" s="2" t="s">
        <v>101</v>
      </c>
      <c r="L3" s="2">
        <f t="shared" ref="L3:L9" si="1">SUMPRODUCT(--($D$3:$D$23&gt;0),--($C$3:$C$23=$K3))+SUMPRODUCT(--($F$3:$F$23&gt;0),--($E$3:$E$23=$K3))</f>
        <v>6</v>
      </c>
      <c r="M3" s="2">
        <f t="shared" ref="M3:M9" si="2">COUNTIF($G$3:$G$23,$K3)</f>
        <v>6</v>
      </c>
      <c r="N3" s="2">
        <f t="shared" ref="N3:N9" si="3">L3-M3</f>
        <v>0</v>
      </c>
      <c r="O3" s="2">
        <f t="shared" ref="O3:O9" si="4">2*M3</f>
        <v>12</v>
      </c>
      <c r="P3" s="28">
        <f t="shared" ref="P3:P9" si="5">SUMIF($C$3:$C$23,$K3,$D$3:$D$23)+SUMIF($E$3:$E$23,$K3,$F$3:$F$23)</f>
        <v>127</v>
      </c>
      <c r="Q3" s="28">
        <f t="shared" ref="Q3:Q9" si="6">SUMIF($C$3:$C$23,$K3,$F$3:$F$23)+SUMIF($E$3:$E$23,$K3,$D$3:$D$23)</f>
        <v>84</v>
      </c>
      <c r="R3" s="28">
        <f t="shared" ref="R3:R9" si="7">P3-Q3</f>
        <v>43</v>
      </c>
      <c r="S3" s="77">
        <f>SUM(P4:Q4)</f>
        <v>212</v>
      </c>
      <c r="T3" s="13">
        <f>S3/L4</f>
        <v>35.333333333333336</v>
      </c>
    </row>
    <row r="4" spans="1:20" ht="23.25" x14ac:dyDescent="0.3">
      <c r="A4" s="11">
        <v>2</v>
      </c>
      <c r="B4" s="86">
        <v>46061</v>
      </c>
      <c r="C4" s="89" t="s">
        <v>102</v>
      </c>
      <c r="D4" s="81">
        <v>21</v>
      </c>
      <c r="E4" s="90" t="s">
        <v>105</v>
      </c>
      <c r="F4" s="81">
        <v>9</v>
      </c>
      <c r="G4" s="89" t="str">
        <f t="shared" si="0"/>
        <v>Faiyaz / Yogi</v>
      </c>
      <c r="H4">
        <f t="shared" ref="H4:H23" si="8">ABS(D4-F4)</f>
        <v>12</v>
      </c>
      <c r="J4" s="2">
        <v>2</v>
      </c>
      <c r="K4" s="2" t="s">
        <v>106</v>
      </c>
      <c r="L4" s="2">
        <f t="shared" si="1"/>
        <v>6</v>
      </c>
      <c r="M4" s="2">
        <f t="shared" si="2"/>
        <v>3</v>
      </c>
      <c r="N4" s="2">
        <f t="shared" si="3"/>
        <v>3</v>
      </c>
      <c r="O4" s="2">
        <f t="shared" si="4"/>
        <v>6</v>
      </c>
      <c r="P4" s="28">
        <f t="shared" si="5"/>
        <v>108</v>
      </c>
      <c r="Q4" s="28">
        <f t="shared" si="6"/>
        <v>104</v>
      </c>
      <c r="R4" s="28">
        <f t="shared" si="7"/>
        <v>4</v>
      </c>
      <c r="S4" s="77">
        <f>SUM(P5:Q5)</f>
        <v>206</v>
      </c>
      <c r="T4" s="13">
        <f>S4/L5</f>
        <v>34.333333333333336</v>
      </c>
    </row>
    <row r="5" spans="1:20" ht="23.25" x14ac:dyDescent="0.3">
      <c r="A5" s="8">
        <v>3</v>
      </c>
      <c r="B5" s="86">
        <v>46061</v>
      </c>
      <c r="C5" s="87" t="s">
        <v>124</v>
      </c>
      <c r="D5" s="10">
        <v>15</v>
      </c>
      <c r="E5" s="88" t="s">
        <v>104</v>
      </c>
      <c r="F5" s="10">
        <v>21</v>
      </c>
      <c r="G5" s="87" t="str">
        <f t="shared" si="0"/>
        <v>Santosh / Rukhsar</v>
      </c>
      <c r="H5">
        <f t="shared" si="8"/>
        <v>6</v>
      </c>
      <c r="J5" s="2">
        <v>3</v>
      </c>
      <c r="K5" s="2" t="s">
        <v>102</v>
      </c>
      <c r="L5" s="2">
        <f t="shared" si="1"/>
        <v>6</v>
      </c>
      <c r="M5" s="2">
        <f t="shared" si="2"/>
        <v>3</v>
      </c>
      <c r="N5" s="2">
        <f t="shared" si="3"/>
        <v>3</v>
      </c>
      <c r="O5" s="2">
        <f t="shared" si="4"/>
        <v>6</v>
      </c>
      <c r="P5" s="28">
        <f t="shared" si="5"/>
        <v>104</v>
      </c>
      <c r="Q5" s="28">
        <f t="shared" si="6"/>
        <v>102</v>
      </c>
      <c r="R5" s="28">
        <f t="shared" si="7"/>
        <v>2</v>
      </c>
      <c r="S5" s="77" t="e">
        <f>SUM(#REF!)</f>
        <v>#REF!</v>
      </c>
      <c r="T5" s="13" t="e">
        <f>S5/#REF!</f>
        <v>#REF!</v>
      </c>
    </row>
    <row r="6" spans="1:20" ht="23.25" x14ac:dyDescent="0.3">
      <c r="A6" s="11">
        <v>4</v>
      </c>
      <c r="B6" s="86">
        <v>46061</v>
      </c>
      <c r="C6" s="89" t="s">
        <v>100</v>
      </c>
      <c r="D6" s="81">
        <v>8</v>
      </c>
      <c r="E6" s="90" t="s">
        <v>106</v>
      </c>
      <c r="F6" s="81">
        <v>21</v>
      </c>
      <c r="G6" s="89" t="str">
        <f t="shared" si="0"/>
        <v>Atul / Zaheer</v>
      </c>
      <c r="H6">
        <f t="shared" si="8"/>
        <v>13</v>
      </c>
      <c r="J6" s="2">
        <v>4</v>
      </c>
      <c r="K6" s="2" t="s">
        <v>100</v>
      </c>
      <c r="L6" s="2">
        <f t="shared" si="1"/>
        <v>6</v>
      </c>
      <c r="M6" s="2">
        <f t="shared" si="2"/>
        <v>3</v>
      </c>
      <c r="N6" s="2">
        <f t="shared" si="3"/>
        <v>3</v>
      </c>
      <c r="O6" s="2">
        <f t="shared" si="4"/>
        <v>6</v>
      </c>
      <c r="P6" s="28">
        <f t="shared" si="5"/>
        <v>95</v>
      </c>
      <c r="Q6" s="28">
        <f t="shared" si="6"/>
        <v>108</v>
      </c>
      <c r="R6" s="28">
        <f t="shared" si="7"/>
        <v>-13</v>
      </c>
      <c r="S6" s="77" t="e">
        <f>SUM(#REF!)</f>
        <v>#REF!</v>
      </c>
      <c r="T6" s="13" t="e">
        <f>S6/#REF!</f>
        <v>#REF!</v>
      </c>
    </row>
    <row r="7" spans="1:20" ht="23.25" x14ac:dyDescent="0.3">
      <c r="A7" s="8">
        <v>5</v>
      </c>
      <c r="B7" s="86">
        <v>46061</v>
      </c>
      <c r="C7" s="87" t="s">
        <v>101</v>
      </c>
      <c r="D7" s="10">
        <v>22</v>
      </c>
      <c r="E7" s="88" t="s">
        <v>104</v>
      </c>
      <c r="F7" s="10">
        <v>20</v>
      </c>
      <c r="G7" s="87" t="str">
        <f t="shared" si="0"/>
        <v>Vivek / Ziad</v>
      </c>
      <c r="H7">
        <f t="shared" si="8"/>
        <v>2</v>
      </c>
      <c r="J7" s="2">
        <v>5</v>
      </c>
      <c r="K7" s="2" t="s">
        <v>105</v>
      </c>
      <c r="L7" s="2">
        <f t="shared" si="1"/>
        <v>6</v>
      </c>
      <c r="M7" s="2">
        <f t="shared" si="2"/>
        <v>3</v>
      </c>
      <c r="N7" s="2">
        <f t="shared" si="3"/>
        <v>3</v>
      </c>
      <c r="O7" s="2">
        <f t="shared" si="4"/>
        <v>6</v>
      </c>
      <c r="P7" s="28">
        <f t="shared" si="5"/>
        <v>97</v>
      </c>
      <c r="Q7" s="28">
        <f t="shared" si="6"/>
        <v>112</v>
      </c>
      <c r="R7" s="28">
        <f t="shared" si="7"/>
        <v>-15</v>
      </c>
      <c r="S7" s="77" t="e">
        <f>SUM(#REF!)</f>
        <v>#REF!</v>
      </c>
      <c r="T7" s="13" t="e">
        <f>S7/#REF!</f>
        <v>#REF!</v>
      </c>
    </row>
    <row r="8" spans="1:20" ht="23.25" x14ac:dyDescent="0.3">
      <c r="A8" s="11">
        <v>6</v>
      </c>
      <c r="B8" s="86">
        <v>46061</v>
      </c>
      <c r="C8" s="89" t="s">
        <v>102</v>
      </c>
      <c r="D8" s="9">
        <v>21</v>
      </c>
      <c r="E8" s="90" t="s">
        <v>124</v>
      </c>
      <c r="F8" s="9">
        <v>17</v>
      </c>
      <c r="G8" s="89" t="str">
        <f t="shared" si="0"/>
        <v>Faiyaz / Yogi</v>
      </c>
      <c r="H8">
        <f t="shared" si="8"/>
        <v>4</v>
      </c>
      <c r="J8" s="2">
        <v>6</v>
      </c>
      <c r="K8" s="2" t="s">
        <v>104</v>
      </c>
      <c r="L8" s="2">
        <f t="shared" si="1"/>
        <v>6</v>
      </c>
      <c r="M8" s="2">
        <f t="shared" si="2"/>
        <v>2</v>
      </c>
      <c r="N8" s="2">
        <f t="shared" si="3"/>
        <v>4</v>
      </c>
      <c r="O8" s="2">
        <f t="shared" si="4"/>
        <v>4</v>
      </c>
      <c r="P8" s="28">
        <f t="shared" si="5"/>
        <v>113</v>
      </c>
      <c r="Q8" s="28">
        <f t="shared" si="6"/>
        <v>111</v>
      </c>
      <c r="R8" s="28">
        <f t="shared" si="7"/>
        <v>2</v>
      </c>
      <c r="S8" s="77" t="e">
        <f>SUM(#REF!)</f>
        <v>#REF!</v>
      </c>
      <c r="T8" s="13" t="e">
        <f>S8/#REF!</f>
        <v>#REF!</v>
      </c>
    </row>
    <row r="9" spans="1:20" ht="23.25" x14ac:dyDescent="0.3">
      <c r="A9" s="8">
        <v>7</v>
      </c>
      <c r="B9" s="86">
        <v>46061</v>
      </c>
      <c r="C9" s="87" t="s">
        <v>100</v>
      </c>
      <c r="D9" s="82">
        <v>21</v>
      </c>
      <c r="E9" s="88" t="s">
        <v>105</v>
      </c>
      <c r="F9" s="82">
        <v>13</v>
      </c>
      <c r="G9" s="87" t="str">
        <f t="shared" si="0"/>
        <v>Suraj / Thomas</v>
      </c>
      <c r="H9">
        <f t="shared" si="8"/>
        <v>8</v>
      </c>
      <c r="J9" s="2">
        <v>7</v>
      </c>
      <c r="K9" s="2" t="s">
        <v>124</v>
      </c>
      <c r="L9" s="2">
        <f t="shared" si="1"/>
        <v>6</v>
      </c>
      <c r="M9" s="2">
        <f t="shared" si="2"/>
        <v>1</v>
      </c>
      <c r="N9" s="2">
        <f t="shared" si="3"/>
        <v>5</v>
      </c>
      <c r="O9" s="2">
        <f t="shared" si="4"/>
        <v>2</v>
      </c>
      <c r="P9" s="28">
        <f t="shared" si="5"/>
        <v>98</v>
      </c>
      <c r="Q9" s="28">
        <f t="shared" si="6"/>
        <v>121</v>
      </c>
      <c r="R9" s="28">
        <f t="shared" si="7"/>
        <v>-23</v>
      </c>
      <c r="S9" s="77" t="e">
        <f>SUM(#REF!)</f>
        <v>#REF!</v>
      </c>
      <c r="T9" s="13" t="e">
        <f>S9/#REF!</f>
        <v>#REF!</v>
      </c>
    </row>
    <row r="10" spans="1:20" ht="23.25" x14ac:dyDescent="0.3">
      <c r="A10" s="11">
        <v>8</v>
      </c>
      <c r="B10" s="86">
        <v>46061</v>
      </c>
      <c r="C10" s="89" t="s">
        <v>106</v>
      </c>
      <c r="D10" s="10">
        <v>11</v>
      </c>
      <c r="E10" s="90" t="s">
        <v>104</v>
      </c>
      <c r="F10" s="10">
        <v>21</v>
      </c>
      <c r="G10" s="89" t="str">
        <f t="shared" si="0"/>
        <v>Santosh / Rukhsar</v>
      </c>
      <c r="H10">
        <f t="shared" si="8"/>
        <v>10</v>
      </c>
    </row>
    <row r="11" spans="1:20" ht="23.25" x14ac:dyDescent="0.3">
      <c r="A11" s="8">
        <v>9</v>
      </c>
      <c r="B11" s="86">
        <v>46061</v>
      </c>
      <c r="C11" s="87" t="s">
        <v>101</v>
      </c>
      <c r="D11" s="9">
        <v>21</v>
      </c>
      <c r="E11" s="88" t="s">
        <v>102</v>
      </c>
      <c r="F11" s="9">
        <v>15</v>
      </c>
      <c r="G11" s="87" t="str">
        <f t="shared" si="0"/>
        <v>Vivek / Ziad</v>
      </c>
      <c r="H11">
        <f t="shared" si="8"/>
        <v>6</v>
      </c>
    </row>
    <row r="12" spans="1:20" ht="23.25" x14ac:dyDescent="0.3">
      <c r="A12" s="11">
        <v>10</v>
      </c>
      <c r="B12" s="86">
        <v>46061</v>
      </c>
      <c r="C12" s="89" t="s">
        <v>100</v>
      </c>
      <c r="D12" s="9">
        <v>21</v>
      </c>
      <c r="E12" s="90" t="s">
        <v>104</v>
      </c>
      <c r="F12" s="9">
        <v>19</v>
      </c>
      <c r="G12" s="89" t="str">
        <f t="shared" si="0"/>
        <v>Suraj / Thomas</v>
      </c>
      <c r="H12">
        <f t="shared" si="8"/>
        <v>2</v>
      </c>
    </row>
    <row r="13" spans="1:20" ht="23.25" x14ac:dyDescent="0.3">
      <c r="A13" s="8">
        <v>11</v>
      </c>
      <c r="B13" s="86">
        <v>46061</v>
      </c>
      <c r="C13" s="87" t="s">
        <v>105</v>
      </c>
      <c r="D13" s="9">
        <v>21</v>
      </c>
      <c r="E13" s="88" t="s">
        <v>124</v>
      </c>
      <c r="F13" s="9">
        <v>12</v>
      </c>
      <c r="G13" s="87" t="str">
        <f t="shared" si="0"/>
        <v>Sandip / Deepesh</v>
      </c>
      <c r="H13">
        <f t="shared" si="8"/>
        <v>9</v>
      </c>
    </row>
    <row r="14" spans="1:20" ht="23.25" x14ac:dyDescent="0.3">
      <c r="A14" s="11">
        <v>12</v>
      </c>
      <c r="B14" s="86">
        <v>46061</v>
      </c>
      <c r="C14" s="89" t="s">
        <v>106</v>
      </c>
      <c r="D14" s="9">
        <v>21</v>
      </c>
      <c r="E14" s="90" t="s">
        <v>102</v>
      </c>
      <c r="F14" s="9">
        <v>13</v>
      </c>
      <c r="G14" s="89" t="str">
        <f t="shared" si="0"/>
        <v>Atul / Zaheer</v>
      </c>
      <c r="H14">
        <f t="shared" si="8"/>
        <v>8</v>
      </c>
    </row>
    <row r="15" spans="1:20" ht="23.25" x14ac:dyDescent="0.3">
      <c r="A15" s="8">
        <v>13</v>
      </c>
      <c r="B15" s="86">
        <v>46061</v>
      </c>
      <c r="C15" s="87" t="s">
        <v>100</v>
      </c>
      <c r="D15" s="9">
        <v>15</v>
      </c>
      <c r="E15" s="88" t="s">
        <v>124</v>
      </c>
      <c r="F15" s="9">
        <v>21</v>
      </c>
      <c r="G15" s="87" t="str">
        <f t="shared" si="0"/>
        <v>Alty / Aahil</v>
      </c>
      <c r="H15">
        <f t="shared" si="8"/>
        <v>6</v>
      </c>
    </row>
    <row r="16" spans="1:20" ht="23.25" x14ac:dyDescent="0.3">
      <c r="A16" s="8">
        <v>14</v>
      </c>
      <c r="B16" s="86">
        <v>46061</v>
      </c>
      <c r="C16" s="89" t="s">
        <v>104</v>
      </c>
      <c r="D16" s="9">
        <v>13</v>
      </c>
      <c r="E16" s="90" t="s">
        <v>102</v>
      </c>
      <c r="F16" s="9">
        <v>21</v>
      </c>
      <c r="G16" s="89" t="str">
        <f t="shared" si="0"/>
        <v>Faiyaz / Yogi</v>
      </c>
      <c r="H16">
        <f t="shared" si="8"/>
        <v>8</v>
      </c>
    </row>
    <row r="17" spans="1:8" ht="23.25" x14ac:dyDescent="0.3">
      <c r="A17" s="11">
        <v>15</v>
      </c>
      <c r="B17" s="86">
        <v>46061</v>
      </c>
      <c r="C17" s="87" t="s">
        <v>105</v>
      </c>
      <c r="D17" s="9">
        <v>12</v>
      </c>
      <c r="E17" s="88" t="s">
        <v>101</v>
      </c>
      <c r="F17" s="9">
        <v>21</v>
      </c>
      <c r="G17" s="87" t="str">
        <f t="shared" si="0"/>
        <v>Vivek / Ziad</v>
      </c>
      <c r="H17">
        <f t="shared" si="8"/>
        <v>9</v>
      </c>
    </row>
    <row r="18" spans="1:8" ht="23.25" x14ac:dyDescent="0.3">
      <c r="A18" s="8">
        <v>16</v>
      </c>
      <c r="B18" s="86">
        <v>46061</v>
      </c>
      <c r="C18" s="89" t="s">
        <v>100</v>
      </c>
      <c r="D18" s="9">
        <v>21</v>
      </c>
      <c r="E18" s="90" t="s">
        <v>102</v>
      </c>
      <c r="F18" s="9">
        <v>13</v>
      </c>
      <c r="G18" s="89" t="str">
        <f t="shared" si="0"/>
        <v>Suraj / Thomas</v>
      </c>
      <c r="H18">
        <f t="shared" si="8"/>
        <v>8</v>
      </c>
    </row>
    <row r="19" spans="1:8" ht="23.25" x14ac:dyDescent="0.3">
      <c r="A19" s="11">
        <v>17</v>
      </c>
      <c r="B19" s="86">
        <v>46061</v>
      </c>
      <c r="C19" s="87" t="s">
        <v>124</v>
      </c>
      <c r="D19" s="9">
        <v>13</v>
      </c>
      <c r="E19" s="88" t="s">
        <v>101</v>
      </c>
      <c r="F19" s="9">
        <v>21</v>
      </c>
      <c r="G19" s="87" t="str">
        <f t="shared" si="0"/>
        <v>Vivek / Ziad</v>
      </c>
      <c r="H19">
        <f t="shared" si="8"/>
        <v>8</v>
      </c>
    </row>
    <row r="20" spans="1:8" ht="23.25" x14ac:dyDescent="0.3">
      <c r="A20" s="8">
        <v>18</v>
      </c>
      <c r="B20" s="86">
        <v>46061</v>
      </c>
      <c r="C20" s="89" t="s">
        <v>105</v>
      </c>
      <c r="D20" s="9">
        <v>21</v>
      </c>
      <c r="E20" s="90" t="s">
        <v>106</v>
      </c>
      <c r="F20" s="9">
        <v>18</v>
      </c>
      <c r="G20" s="89" t="str">
        <f t="shared" si="0"/>
        <v>Sandip / Deepesh</v>
      </c>
      <c r="H20">
        <f t="shared" si="8"/>
        <v>3</v>
      </c>
    </row>
    <row r="21" spans="1:8" ht="23.25" x14ac:dyDescent="0.3">
      <c r="A21" s="11">
        <v>19</v>
      </c>
      <c r="B21" s="86">
        <v>46061</v>
      </c>
      <c r="C21" s="87" t="s">
        <v>100</v>
      </c>
      <c r="D21" s="9">
        <v>9</v>
      </c>
      <c r="E21" s="88" t="s">
        <v>101</v>
      </c>
      <c r="F21" s="9">
        <v>21</v>
      </c>
      <c r="G21" s="87" t="str">
        <f t="shared" si="0"/>
        <v>Vivek / Ziad</v>
      </c>
      <c r="H21">
        <f t="shared" si="8"/>
        <v>12</v>
      </c>
    </row>
    <row r="22" spans="1:8" ht="23.25" x14ac:dyDescent="0.3">
      <c r="A22" s="8">
        <v>20</v>
      </c>
      <c r="B22" s="86">
        <v>46061</v>
      </c>
      <c r="C22" s="89" t="s">
        <v>124</v>
      </c>
      <c r="D22" s="9">
        <v>20</v>
      </c>
      <c r="E22" s="90" t="s">
        <v>106</v>
      </c>
      <c r="F22" s="9">
        <v>22</v>
      </c>
      <c r="G22" s="89" t="str">
        <f t="shared" si="0"/>
        <v>Atul / Zaheer</v>
      </c>
      <c r="H22">
        <f t="shared" si="8"/>
        <v>2</v>
      </c>
    </row>
    <row r="23" spans="1:8" ht="23.25" x14ac:dyDescent="0.3">
      <c r="A23" s="11">
        <v>21</v>
      </c>
      <c r="B23" s="86">
        <v>46061</v>
      </c>
      <c r="C23" s="87" t="s">
        <v>104</v>
      </c>
      <c r="D23" s="9">
        <v>19</v>
      </c>
      <c r="E23" s="88" t="s">
        <v>105</v>
      </c>
      <c r="F23" s="9">
        <v>21</v>
      </c>
      <c r="G23" s="87" t="str">
        <f t="shared" si="0"/>
        <v>Sandip / Deepesh</v>
      </c>
      <c r="H23">
        <f t="shared" si="8"/>
        <v>2</v>
      </c>
    </row>
    <row r="25" spans="1:8" x14ac:dyDescent="0.2">
      <c r="G25" s="6" t="s">
        <v>13</v>
      </c>
      <c r="H25" s="6">
        <f>AVERAGE(H3:H23)</f>
        <v>6.8571428571428568</v>
      </c>
    </row>
  </sheetData>
  <sortState ref="K3:R9">
    <sortCondition descending="1" ref="O3:O9"/>
    <sortCondition descending="1" ref="R3:R9"/>
  </sortState>
  <mergeCells count="2">
    <mergeCell ref="A1:E1"/>
    <mergeCell ref="J1:N1"/>
  </mergeCells>
  <conditionalFormatting sqref="F3:F8">
    <cfRule type="cellIs" dxfId="231" priority="47" operator="lessThan">
      <formula>30</formula>
    </cfRule>
    <cfRule type="cellIs" dxfId="230" priority="48" operator="equal">
      <formula>30</formula>
    </cfRule>
  </conditionalFormatting>
  <conditionalFormatting sqref="D3:D8">
    <cfRule type="cellIs" dxfId="229" priority="45" operator="lessThan">
      <formula>30</formula>
    </cfRule>
    <cfRule type="cellIs" dxfId="228" priority="46" operator="equal">
      <formula>30</formula>
    </cfRule>
  </conditionalFormatting>
  <conditionalFormatting sqref="S9">
    <cfRule type="top10" dxfId="227" priority="41" rank="1"/>
  </conditionalFormatting>
  <conditionalFormatting sqref="T9">
    <cfRule type="top10" dxfId="226" priority="42" rank="1"/>
  </conditionalFormatting>
  <conditionalFormatting sqref="F9:F23">
    <cfRule type="cellIs" dxfId="225" priority="39" operator="lessThan">
      <formula>30</formula>
    </cfRule>
    <cfRule type="cellIs" dxfId="224" priority="40" operator="equal">
      <formula>30</formula>
    </cfRule>
  </conditionalFormatting>
  <conditionalFormatting sqref="D9:D23">
    <cfRule type="cellIs" dxfId="223" priority="37" operator="lessThan">
      <formula>30</formula>
    </cfRule>
    <cfRule type="cellIs" dxfId="222" priority="38" operator="equal">
      <formula>30</formula>
    </cfRule>
  </conditionalFormatting>
  <conditionalFormatting sqref="S2:S8">
    <cfRule type="top10" dxfId="221" priority="54" rank="1"/>
  </conditionalFormatting>
  <conditionalFormatting sqref="T2:T8">
    <cfRule type="top10" dxfId="220" priority="55" rank="1"/>
  </conditionalFormatting>
  <conditionalFormatting sqref="C3:C23">
    <cfRule type="containsText" dxfId="219" priority="22" operator="containsText" text="Suraj">
      <formula>NOT(ISERROR(SEARCH("Suraj",C3)))</formula>
    </cfRule>
    <cfRule type="containsText" dxfId="218" priority="23" operator="containsText" text="Alty">
      <formula>NOT(ISERROR(SEARCH("Alty",C3)))</formula>
    </cfRule>
    <cfRule type="containsText" dxfId="217" priority="24" operator="containsText" text="Santosh">
      <formula>NOT(ISERROR(SEARCH("Santosh",C3)))</formula>
    </cfRule>
    <cfRule type="containsText" dxfId="216" priority="25" operator="containsText" text="Sandip">
      <formula>NOT(ISERROR(SEARCH("Sandip",C3)))</formula>
    </cfRule>
    <cfRule type="containsText" dxfId="215" priority="26" operator="containsText" text="Faiyaz">
      <formula>NOT(ISERROR(SEARCH("Faiyaz",C3)))</formula>
    </cfRule>
    <cfRule type="containsText" dxfId="214" priority="27" operator="containsText" text="Atul">
      <formula>NOT(ISERROR(SEARCH("Atul",C3)))</formula>
    </cfRule>
    <cfRule type="containsText" dxfId="213" priority="28" operator="containsText" text="Vivek">
      <formula>NOT(ISERROR(SEARCH("Vivek",C3)))</formula>
    </cfRule>
  </conditionalFormatting>
  <conditionalFormatting sqref="E3:E23">
    <cfRule type="containsText" dxfId="212" priority="15" operator="containsText" text="Suraj">
      <formula>NOT(ISERROR(SEARCH("Suraj",E3)))</formula>
    </cfRule>
    <cfRule type="containsText" dxfId="211" priority="16" operator="containsText" text="Alty">
      <formula>NOT(ISERROR(SEARCH("Alty",E3)))</formula>
    </cfRule>
    <cfRule type="containsText" dxfId="210" priority="17" operator="containsText" text="Santosh">
      <formula>NOT(ISERROR(SEARCH("Santosh",E3)))</formula>
    </cfRule>
    <cfRule type="containsText" dxfId="209" priority="18" operator="containsText" text="Sandip">
      <formula>NOT(ISERROR(SEARCH("Sandip",E3)))</formula>
    </cfRule>
    <cfRule type="containsText" dxfId="208" priority="19" operator="containsText" text="Faiyaz">
      <formula>NOT(ISERROR(SEARCH("Faiyaz",E3)))</formula>
    </cfRule>
    <cfRule type="containsText" dxfId="207" priority="20" operator="containsText" text="Atul">
      <formula>NOT(ISERROR(SEARCH("Atul",E3)))</formula>
    </cfRule>
    <cfRule type="containsText" dxfId="206" priority="21" operator="containsText" text="Vivek">
      <formula>NOT(ISERROR(SEARCH("Vivek",E3)))</formula>
    </cfRule>
  </conditionalFormatting>
  <conditionalFormatting sqref="G3:G23">
    <cfRule type="containsText" dxfId="205" priority="8" operator="containsText" text="Suraj">
      <formula>NOT(ISERROR(SEARCH("Suraj",G3)))</formula>
    </cfRule>
    <cfRule type="containsText" dxfId="204" priority="9" operator="containsText" text="Alty">
      <formula>NOT(ISERROR(SEARCH("Alty",G3)))</formula>
    </cfRule>
    <cfRule type="containsText" dxfId="203" priority="10" operator="containsText" text="Santosh">
      <formula>NOT(ISERROR(SEARCH("Santosh",G3)))</formula>
    </cfRule>
    <cfRule type="containsText" dxfId="202" priority="11" operator="containsText" text="Sandip">
      <formula>NOT(ISERROR(SEARCH("Sandip",G3)))</formula>
    </cfRule>
    <cfRule type="containsText" dxfId="201" priority="12" operator="containsText" text="Faiyaz">
      <formula>NOT(ISERROR(SEARCH("Faiyaz",G3)))</formula>
    </cfRule>
    <cfRule type="containsText" dxfId="200" priority="13" operator="containsText" text="Atul">
      <formula>NOT(ISERROR(SEARCH("Atul",G3)))</formula>
    </cfRule>
    <cfRule type="containsText" dxfId="199" priority="14" operator="containsText" text="Vivek">
      <formula>NOT(ISERROR(SEARCH("Vivek",G3)))</formula>
    </cfRule>
  </conditionalFormatting>
  <dataValidations count="1">
    <dataValidation allowBlank="1" showDropDown="1" sqref="E3:E23"/>
  </dataValidations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20"/>
  <sheetViews>
    <sheetView zoomScaleNormal="100" workbookViewId="0">
      <selection activeCell="F13" sqref="F13"/>
    </sheetView>
  </sheetViews>
  <sheetFormatPr defaultRowHeight="12.75" x14ac:dyDescent="0.2"/>
  <cols>
    <col min="1" max="1" width="6.42578125" style="107" bestFit="1" customWidth="1"/>
    <col min="2" max="2" width="18.28515625" style="107" bestFit="1" customWidth="1"/>
    <col min="3" max="3" width="27.42578125" style="107" bestFit="1" customWidth="1"/>
    <col min="4" max="4" width="10.140625" style="108" bestFit="1" customWidth="1"/>
    <col min="5" max="5" width="27.42578125" style="107" bestFit="1" customWidth="1"/>
    <col min="6" max="6" width="10" style="108" bestFit="1" customWidth="1"/>
    <col min="7" max="7" width="26.42578125" style="107" customWidth="1"/>
    <col min="8" max="8" width="4.140625" style="107" bestFit="1" customWidth="1"/>
    <col min="9" max="9" width="9.140625" style="107"/>
    <col min="10" max="10" width="6.42578125" style="107" bestFit="1" customWidth="1"/>
    <col min="11" max="11" width="27.140625" style="107" bestFit="1" customWidth="1"/>
    <col min="12" max="12" width="11.5703125" style="107" bestFit="1" customWidth="1"/>
    <col min="13" max="13" width="7.5703125" style="107" bestFit="1" customWidth="1"/>
    <col min="14" max="14" width="7.140625" style="107" bestFit="1" customWidth="1"/>
    <col min="15" max="15" width="9.7109375" style="107" bestFit="1" customWidth="1"/>
    <col min="16" max="17" width="6.42578125" style="107" bestFit="1" customWidth="1"/>
    <col min="18" max="18" width="7.42578125" style="107" bestFit="1" customWidth="1"/>
    <col min="19" max="19" width="0" style="107" hidden="1" customWidth="1"/>
    <col min="20" max="20" width="13.5703125" style="107" hidden="1" customWidth="1"/>
    <col min="21" max="16384" width="9.140625" style="107"/>
  </cols>
  <sheetData>
    <row r="1" spans="1:20" ht="20.25" x14ac:dyDescent="0.3">
      <c r="A1" s="144" t="s">
        <v>127</v>
      </c>
      <c r="B1" s="145"/>
      <c r="C1" s="145"/>
      <c r="D1" s="145"/>
      <c r="E1" s="146"/>
      <c r="F1" s="116"/>
      <c r="G1" s="117"/>
      <c r="J1" s="147" t="s">
        <v>126</v>
      </c>
      <c r="K1" s="148"/>
      <c r="L1" s="148"/>
      <c r="M1" s="148"/>
      <c r="N1" s="149"/>
      <c r="S1" s="124" t="s">
        <v>12</v>
      </c>
      <c r="T1" s="124" t="s">
        <v>13</v>
      </c>
    </row>
    <row r="2" spans="1:20" ht="20.25" x14ac:dyDescent="0.3">
      <c r="A2" s="120" t="s">
        <v>11</v>
      </c>
      <c r="B2" s="120" t="s">
        <v>10</v>
      </c>
      <c r="C2" s="120" t="s">
        <v>14</v>
      </c>
      <c r="D2" s="123" t="s">
        <v>1</v>
      </c>
      <c r="E2" s="120" t="s">
        <v>15</v>
      </c>
      <c r="F2" s="123" t="s">
        <v>1</v>
      </c>
      <c r="G2" s="120" t="s">
        <v>2</v>
      </c>
      <c r="H2" s="122" t="s">
        <v>156</v>
      </c>
      <c r="J2" s="121"/>
      <c r="K2" s="120" t="s">
        <v>63</v>
      </c>
      <c r="L2" s="120" t="s">
        <v>3</v>
      </c>
      <c r="M2" s="120" t="s">
        <v>4</v>
      </c>
      <c r="N2" s="120" t="s">
        <v>5</v>
      </c>
      <c r="O2" s="120" t="s">
        <v>6</v>
      </c>
      <c r="P2" s="120" t="s">
        <v>8</v>
      </c>
      <c r="Q2" s="120" t="s">
        <v>7</v>
      </c>
      <c r="R2" s="120" t="s">
        <v>27</v>
      </c>
      <c r="S2" s="115">
        <f>SUM(P3:Q3)</f>
        <v>168</v>
      </c>
      <c r="T2" s="114">
        <f>S2/L3</f>
        <v>33.6</v>
      </c>
    </row>
    <row r="3" spans="1:20" ht="23.25" x14ac:dyDescent="0.3">
      <c r="A3" s="112">
        <v>1</v>
      </c>
      <c r="B3" s="111">
        <v>46061</v>
      </c>
      <c r="C3" s="109" t="s">
        <v>155</v>
      </c>
      <c r="D3" s="110">
        <v>21</v>
      </c>
      <c r="E3" s="109" t="s">
        <v>128</v>
      </c>
      <c r="F3" s="110">
        <v>9</v>
      </c>
      <c r="G3" s="109" t="str">
        <f>IF($D3&gt;0,IF($D3&gt;$F3,$C3,$E3),"")</f>
        <v>Dhawal / Samir</v>
      </c>
      <c r="H3" s="107">
        <f>ABS(D3-F3)</f>
        <v>12</v>
      </c>
      <c r="J3" s="117">
        <v>1</v>
      </c>
      <c r="K3" s="117" t="s">
        <v>155</v>
      </c>
      <c r="L3" s="117">
        <f t="shared" ref="L3:L8" si="0">SUMPRODUCT(--($D$3:$D$17&gt;0),--($C$3:$C$17=$K3))+SUMPRODUCT(--($F$3:$F$17&gt;0),--($E$3:$E$17=$K3))</f>
        <v>5</v>
      </c>
      <c r="M3" s="117">
        <f t="shared" ref="M3:M8" si="1">COUNTIF($G$3:$G$17,$K3)</f>
        <v>4</v>
      </c>
      <c r="N3" s="117">
        <f t="shared" ref="N3:N8" si="2">L3-M3</f>
        <v>1</v>
      </c>
      <c r="O3" s="117">
        <f t="shared" ref="O3:O8" si="3">2*M3</f>
        <v>8</v>
      </c>
      <c r="P3" s="116">
        <f t="shared" ref="P3:P8" si="4">SUMIF($C$3:$C$17,$K3,$D$3:$D$17)+SUMIF($E$3:$E$17,$K3,$F$3:$F$17)</f>
        <v>102</v>
      </c>
      <c r="Q3" s="116">
        <f t="shared" ref="Q3:Q8" si="5">SUMIF($C$3:$C$17,$K3,$F$3:$F$17)+SUMIF($E$3:$E$17,$K3,$D$3:$D$17)</f>
        <v>66</v>
      </c>
      <c r="R3" s="116">
        <f t="shared" ref="R3:R8" si="6">P3-Q3</f>
        <v>36</v>
      </c>
      <c r="S3" s="115">
        <f>SUM(P4:Q4)</f>
        <v>180</v>
      </c>
      <c r="T3" s="114">
        <f>S3/L4</f>
        <v>36</v>
      </c>
    </row>
    <row r="4" spans="1:20" ht="23.25" x14ac:dyDescent="0.3">
      <c r="A4" s="113">
        <v>2</v>
      </c>
      <c r="B4" s="111">
        <v>46061</v>
      </c>
      <c r="C4" s="109" t="s">
        <v>109</v>
      </c>
      <c r="D4" s="119">
        <v>21</v>
      </c>
      <c r="E4" s="109" t="s">
        <v>112</v>
      </c>
      <c r="F4" s="119">
        <v>14</v>
      </c>
      <c r="G4" s="109" t="str">
        <f t="shared" ref="G4:G17" si="7">IF($D4&gt;0,IF($D4&gt;$F4,$C4,$E4),"")</f>
        <v>Mansoor / Tousif</v>
      </c>
      <c r="H4" s="107">
        <f t="shared" ref="H4:H17" si="8">ABS(D4-F4)</f>
        <v>7</v>
      </c>
      <c r="J4" s="117">
        <v>2</v>
      </c>
      <c r="K4" s="117" t="s">
        <v>107</v>
      </c>
      <c r="L4" s="117">
        <f t="shared" si="0"/>
        <v>5</v>
      </c>
      <c r="M4" s="117">
        <f t="shared" si="1"/>
        <v>4</v>
      </c>
      <c r="N4" s="117">
        <f t="shared" si="2"/>
        <v>1</v>
      </c>
      <c r="O4" s="117">
        <f t="shared" si="3"/>
        <v>8</v>
      </c>
      <c r="P4" s="116">
        <f t="shared" si="4"/>
        <v>102</v>
      </c>
      <c r="Q4" s="116">
        <f t="shared" si="5"/>
        <v>78</v>
      </c>
      <c r="R4" s="116">
        <f t="shared" si="6"/>
        <v>24</v>
      </c>
      <c r="S4" s="115">
        <f>SUM(P5:Q5)</f>
        <v>170</v>
      </c>
      <c r="T4" s="114">
        <f>S4/L5</f>
        <v>34</v>
      </c>
    </row>
    <row r="5" spans="1:20" ht="23.25" x14ac:dyDescent="0.3">
      <c r="A5" s="112">
        <v>3</v>
      </c>
      <c r="B5" s="111">
        <v>46061</v>
      </c>
      <c r="C5" s="109" t="s">
        <v>107</v>
      </c>
      <c r="D5" s="110">
        <v>18</v>
      </c>
      <c r="E5" s="109" t="s">
        <v>110</v>
      </c>
      <c r="F5" s="119">
        <v>21</v>
      </c>
      <c r="G5" s="109" t="str">
        <f t="shared" si="7"/>
        <v>Rafay / Asim</v>
      </c>
      <c r="H5" s="107">
        <f t="shared" si="8"/>
        <v>3</v>
      </c>
      <c r="J5" s="117">
        <v>3</v>
      </c>
      <c r="K5" s="117" t="s">
        <v>110</v>
      </c>
      <c r="L5" s="117">
        <f t="shared" si="0"/>
        <v>5</v>
      </c>
      <c r="M5" s="117">
        <f t="shared" si="1"/>
        <v>4</v>
      </c>
      <c r="N5" s="117">
        <f t="shared" si="2"/>
        <v>1</v>
      </c>
      <c r="O5" s="117">
        <f t="shared" si="3"/>
        <v>8</v>
      </c>
      <c r="P5" s="116">
        <f t="shared" si="4"/>
        <v>92</v>
      </c>
      <c r="Q5" s="116">
        <f t="shared" si="5"/>
        <v>78</v>
      </c>
      <c r="R5" s="116">
        <f t="shared" si="6"/>
        <v>14</v>
      </c>
      <c r="S5" s="115" t="e">
        <f>SUM(#REF!)</f>
        <v>#REF!</v>
      </c>
      <c r="T5" s="114" t="e">
        <f>S5/#REF!</f>
        <v>#REF!</v>
      </c>
    </row>
    <row r="6" spans="1:20" ht="23.25" x14ac:dyDescent="0.3">
      <c r="A6" s="113">
        <v>4</v>
      </c>
      <c r="B6" s="111">
        <v>46061</v>
      </c>
      <c r="C6" s="109" t="s">
        <v>155</v>
      </c>
      <c r="D6" s="119">
        <v>21</v>
      </c>
      <c r="E6" s="109" t="s">
        <v>112</v>
      </c>
      <c r="F6" s="110">
        <v>10</v>
      </c>
      <c r="G6" s="109" t="str">
        <f t="shared" si="7"/>
        <v>Dhawal / Samir</v>
      </c>
      <c r="H6" s="107">
        <f t="shared" si="8"/>
        <v>11</v>
      </c>
      <c r="J6" s="117">
        <v>4</v>
      </c>
      <c r="K6" s="117" t="s">
        <v>128</v>
      </c>
      <c r="L6" s="117">
        <f t="shared" si="0"/>
        <v>5</v>
      </c>
      <c r="M6" s="117">
        <f t="shared" si="1"/>
        <v>2</v>
      </c>
      <c r="N6" s="117">
        <f t="shared" si="2"/>
        <v>3</v>
      </c>
      <c r="O6" s="117">
        <f t="shared" si="3"/>
        <v>4</v>
      </c>
      <c r="P6" s="116">
        <f t="shared" si="4"/>
        <v>84</v>
      </c>
      <c r="Q6" s="116">
        <f t="shared" si="5"/>
        <v>96</v>
      </c>
      <c r="R6" s="116">
        <f t="shared" si="6"/>
        <v>-12</v>
      </c>
      <c r="S6" s="115" t="e">
        <f>SUM(#REF!)</f>
        <v>#REF!</v>
      </c>
      <c r="T6" s="114" t="e">
        <f>S6/#REF!</f>
        <v>#REF!</v>
      </c>
    </row>
    <row r="7" spans="1:20" ht="23.25" x14ac:dyDescent="0.3">
      <c r="A7" s="112">
        <v>5</v>
      </c>
      <c r="B7" s="111">
        <v>46061</v>
      </c>
      <c r="C7" s="109" t="s">
        <v>128</v>
      </c>
      <c r="D7" s="110">
        <v>17</v>
      </c>
      <c r="E7" s="109" t="s">
        <v>110</v>
      </c>
      <c r="F7" s="118">
        <v>21</v>
      </c>
      <c r="G7" s="109" t="str">
        <f t="shared" si="7"/>
        <v>Rafay / Asim</v>
      </c>
      <c r="H7" s="107">
        <f t="shared" si="8"/>
        <v>4</v>
      </c>
      <c r="J7" s="117">
        <v>5</v>
      </c>
      <c r="K7" s="117" t="s">
        <v>109</v>
      </c>
      <c r="L7" s="117">
        <f t="shared" si="0"/>
        <v>5</v>
      </c>
      <c r="M7" s="117">
        <f t="shared" si="1"/>
        <v>1</v>
      </c>
      <c r="N7" s="117">
        <f t="shared" si="2"/>
        <v>4</v>
      </c>
      <c r="O7" s="117">
        <f t="shared" si="3"/>
        <v>2</v>
      </c>
      <c r="P7" s="116">
        <f t="shared" si="4"/>
        <v>80</v>
      </c>
      <c r="Q7" s="116">
        <f t="shared" si="5"/>
        <v>98</v>
      </c>
      <c r="R7" s="116">
        <f t="shared" si="6"/>
        <v>-18</v>
      </c>
      <c r="S7" s="115" t="e">
        <f>SUM(#REF!)</f>
        <v>#REF!</v>
      </c>
      <c r="T7" s="114" t="e">
        <f>S7/#REF!</f>
        <v>#REF!</v>
      </c>
    </row>
    <row r="8" spans="1:20" ht="23.25" x14ac:dyDescent="0.3">
      <c r="A8" s="113">
        <v>6</v>
      </c>
      <c r="B8" s="111">
        <v>46061</v>
      </c>
      <c r="C8" s="109" t="s">
        <v>107</v>
      </c>
      <c r="D8" s="118">
        <v>21</v>
      </c>
      <c r="E8" s="109" t="s">
        <v>109</v>
      </c>
      <c r="F8" s="110">
        <v>16</v>
      </c>
      <c r="G8" s="109" t="str">
        <f t="shared" si="7"/>
        <v>Shiva / Jalal</v>
      </c>
      <c r="H8" s="107">
        <f t="shared" si="8"/>
        <v>5</v>
      </c>
      <c r="J8" s="117">
        <v>6</v>
      </c>
      <c r="K8" s="117" t="s">
        <v>112</v>
      </c>
      <c r="L8" s="117">
        <f t="shared" si="0"/>
        <v>5</v>
      </c>
      <c r="M8" s="117">
        <f t="shared" si="1"/>
        <v>0</v>
      </c>
      <c r="N8" s="117">
        <f t="shared" si="2"/>
        <v>5</v>
      </c>
      <c r="O8" s="117">
        <f t="shared" si="3"/>
        <v>0</v>
      </c>
      <c r="P8" s="116">
        <f t="shared" si="4"/>
        <v>61</v>
      </c>
      <c r="Q8" s="116">
        <f t="shared" si="5"/>
        <v>105</v>
      </c>
      <c r="R8" s="116">
        <f t="shared" si="6"/>
        <v>-44</v>
      </c>
      <c r="S8" s="115" t="e">
        <f>SUM(#REF!)</f>
        <v>#REF!</v>
      </c>
      <c r="T8" s="114" t="e">
        <f>S8/#REF!</f>
        <v>#REF!</v>
      </c>
    </row>
    <row r="9" spans="1:20" ht="23.25" x14ac:dyDescent="0.3">
      <c r="A9" s="112">
        <v>7</v>
      </c>
      <c r="B9" s="111">
        <v>46061</v>
      </c>
      <c r="C9" s="109" t="s">
        <v>155</v>
      </c>
      <c r="D9" s="110">
        <v>21</v>
      </c>
      <c r="E9" s="109" t="s">
        <v>110</v>
      </c>
      <c r="F9" s="110">
        <v>8</v>
      </c>
      <c r="G9" s="109" t="str">
        <f t="shared" si="7"/>
        <v>Dhawal / Samir</v>
      </c>
      <c r="H9" s="107">
        <f t="shared" si="8"/>
        <v>13</v>
      </c>
      <c r="J9" s="117"/>
      <c r="K9" s="117"/>
      <c r="L9" s="117"/>
      <c r="M9" s="117"/>
      <c r="N9" s="117"/>
      <c r="O9" s="117"/>
      <c r="P9" s="116"/>
      <c r="Q9" s="116"/>
      <c r="R9" s="116"/>
      <c r="S9" s="115" t="e">
        <f>SUM(#REF!)</f>
        <v>#REF!</v>
      </c>
      <c r="T9" s="114" t="e">
        <f>S9/#REF!</f>
        <v>#REF!</v>
      </c>
    </row>
    <row r="10" spans="1:20" ht="23.25" x14ac:dyDescent="0.3">
      <c r="A10" s="113">
        <v>8</v>
      </c>
      <c r="B10" s="111">
        <v>46061</v>
      </c>
      <c r="C10" s="109" t="s">
        <v>112</v>
      </c>
      <c r="D10" s="110">
        <v>7</v>
      </c>
      <c r="E10" s="109" t="s">
        <v>107</v>
      </c>
      <c r="F10" s="110">
        <v>21</v>
      </c>
      <c r="G10" s="109" t="str">
        <f t="shared" si="7"/>
        <v>Shiva / Jalal</v>
      </c>
      <c r="H10" s="107">
        <f t="shared" si="8"/>
        <v>14</v>
      </c>
    </row>
    <row r="11" spans="1:20" ht="23.25" x14ac:dyDescent="0.3">
      <c r="A11" s="112">
        <v>9</v>
      </c>
      <c r="B11" s="111">
        <v>46061</v>
      </c>
      <c r="C11" s="109" t="s">
        <v>128</v>
      </c>
      <c r="D11" s="110">
        <v>21</v>
      </c>
      <c r="E11" s="109" t="s">
        <v>109</v>
      </c>
      <c r="F11" s="110">
        <v>16</v>
      </c>
      <c r="G11" s="109" t="str">
        <f t="shared" si="7"/>
        <v>Sengole / Vishal</v>
      </c>
      <c r="H11" s="107">
        <f t="shared" si="8"/>
        <v>5</v>
      </c>
    </row>
    <row r="12" spans="1:20" ht="23.25" x14ac:dyDescent="0.3">
      <c r="A12" s="113">
        <v>10</v>
      </c>
      <c r="B12" s="111">
        <v>46061</v>
      </c>
      <c r="C12" s="109" t="s">
        <v>155</v>
      </c>
      <c r="D12" s="110">
        <v>18</v>
      </c>
      <c r="E12" s="109" t="s">
        <v>107</v>
      </c>
      <c r="F12" s="110">
        <v>21</v>
      </c>
      <c r="G12" s="109" t="str">
        <f t="shared" si="7"/>
        <v>Shiva / Jalal</v>
      </c>
      <c r="H12" s="107">
        <f>ABS(D12-F12)</f>
        <v>3</v>
      </c>
    </row>
    <row r="13" spans="1:20" ht="23.25" x14ac:dyDescent="0.3">
      <c r="A13" s="112">
        <v>11</v>
      </c>
      <c r="B13" s="111">
        <v>46061</v>
      </c>
      <c r="C13" s="109" t="s">
        <v>110</v>
      </c>
      <c r="D13" s="110">
        <v>21</v>
      </c>
      <c r="E13" s="109" t="s">
        <v>109</v>
      </c>
      <c r="F13" s="110">
        <v>9</v>
      </c>
      <c r="G13" s="109" t="str">
        <f t="shared" si="7"/>
        <v>Rafay / Asim</v>
      </c>
      <c r="H13" s="107">
        <f t="shared" si="8"/>
        <v>12</v>
      </c>
    </row>
    <row r="14" spans="1:20" ht="23.25" x14ac:dyDescent="0.3">
      <c r="A14" s="113">
        <v>12</v>
      </c>
      <c r="B14" s="111">
        <v>46061</v>
      </c>
      <c r="C14" s="109" t="s">
        <v>112</v>
      </c>
      <c r="D14" s="110">
        <v>17</v>
      </c>
      <c r="E14" s="109" t="s">
        <v>128</v>
      </c>
      <c r="F14" s="110">
        <v>21</v>
      </c>
      <c r="G14" s="109" t="str">
        <f t="shared" si="7"/>
        <v>Sengole / Vishal</v>
      </c>
      <c r="H14" s="107">
        <f t="shared" si="8"/>
        <v>4</v>
      </c>
    </row>
    <row r="15" spans="1:20" ht="23.25" x14ac:dyDescent="0.3">
      <c r="A15" s="112">
        <v>13</v>
      </c>
      <c r="B15" s="111">
        <v>46061</v>
      </c>
      <c r="C15" s="109" t="s">
        <v>155</v>
      </c>
      <c r="D15" s="110">
        <v>21</v>
      </c>
      <c r="E15" s="109" t="s">
        <v>109</v>
      </c>
      <c r="F15" s="110">
        <v>18</v>
      </c>
      <c r="G15" s="109" t="str">
        <f t="shared" si="7"/>
        <v>Dhawal / Samir</v>
      </c>
      <c r="H15" s="107">
        <f t="shared" si="8"/>
        <v>3</v>
      </c>
    </row>
    <row r="16" spans="1:20" ht="23.25" x14ac:dyDescent="0.3">
      <c r="A16" s="113">
        <v>14</v>
      </c>
      <c r="B16" s="111">
        <v>46061</v>
      </c>
      <c r="C16" s="109" t="s">
        <v>107</v>
      </c>
      <c r="D16" s="110">
        <v>21</v>
      </c>
      <c r="E16" s="109" t="s">
        <v>128</v>
      </c>
      <c r="F16" s="110">
        <v>16</v>
      </c>
      <c r="G16" s="109" t="str">
        <f t="shared" si="7"/>
        <v>Shiva / Jalal</v>
      </c>
      <c r="H16" s="107">
        <f t="shared" si="8"/>
        <v>5</v>
      </c>
    </row>
    <row r="17" spans="1:8" ht="23.25" x14ac:dyDescent="0.3">
      <c r="A17" s="112">
        <v>15</v>
      </c>
      <c r="B17" s="111">
        <v>46061</v>
      </c>
      <c r="C17" s="109" t="s">
        <v>110</v>
      </c>
      <c r="D17" s="110">
        <v>21</v>
      </c>
      <c r="E17" s="109" t="s">
        <v>112</v>
      </c>
      <c r="F17" s="110">
        <v>13</v>
      </c>
      <c r="G17" s="109" t="str">
        <f t="shared" si="7"/>
        <v>Rafay / Asim</v>
      </c>
      <c r="H17" s="107">
        <f t="shared" si="8"/>
        <v>8</v>
      </c>
    </row>
    <row r="20" spans="1:8" x14ac:dyDescent="0.2">
      <c r="G20" s="6" t="s">
        <v>13</v>
      </c>
      <c r="H20" s="125">
        <f>AVERAGE(H3:H17)</f>
        <v>7.2666666666666666</v>
      </c>
    </row>
  </sheetData>
  <sortState ref="K3:R8">
    <sortCondition descending="1" ref="O3:O8"/>
    <sortCondition descending="1" ref="R3:R8"/>
  </sortState>
  <mergeCells count="2">
    <mergeCell ref="A1:E1"/>
    <mergeCell ref="J1:N1"/>
  </mergeCells>
  <conditionalFormatting sqref="F3:F12 D3:D12">
    <cfRule type="cellIs" dxfId="198" priority="68" operator="lessThan">
      <formula>30</formula>
    </cfRule>
    <cfRule type="cellIs" dxfId="197" priority="69" operator="equal">
      <formula>30</formula>
    </cfRule>
  </conditionalFormatting>
  <conditionalFormatting sqref="S9">
    <cfRule type="top10" dxfId="196" priority="66" rank="1"/>
  </conditionalFormatting>
  <conditionalFormatting sqref="T9">
    <cfRule type="top10" dxfId="195" priority="67" rank="1"/>
  </conditionalFormatting>
  <conditionalFormatting sqref="S2:S8">
    <cfRule type="top10" dxfId="194" priority="70" rank="1"/>
  </conditionalFormatting>
  <conditionalFormatting sqref="T2:T8">
    <cfRule type="top10" dxfId="193" priority="71" rank="1"/>
  </conditionalFormatting>
  <conditionalFormatting sqref="F13:F17">
    <cfRule type="cellIs" dxfId="192" priority="64" operator="lessThan">
      <formula>30</formula>
    </cfRule>
    <cfRule type="cellIs" dxfId="191" priority="65" operator="equal">
      <formula>30</formula>
    </cfRule>
  </conditionalFormatting>
  <conditionalFormatting sqref="D13:D17">
    <cfRule type="cellIs" dxfId="190" priority="62" operator="lessThan">
      <formula>30</formula>
    </cfRule>
    <cfRule type="cellIs" dxfId="189" priority="63" operator="equal">
      <formula>30</formula>
    </cfRule>
  </conditionalFormatting>
  <conditionalFormatting sqref="C3:C17 E3:E17 G3:G17">
    <cfRule type="containsText" dxfId="188" priority="55" operator="containsText" text="Suraj">
      <formula>NOT(ISERROR(SEARCH("Suraj",C3)))</formula>
    </cfRule>
    <cfRule type="containsText" dxfId="187" priority="56" operator="containsText" text="Alty">
      <formula>NOT(ISERROR(SEARCH("Alty",C3)))</formula>
    </cfRule>
    <cfRule type="containsText" dxfId="186" priority="57" operator="containsText" text="Santosh">
      <formula>NOT(ISERROR(SEARCH("Santosh",C3)))</formula>
    </cfRule>
    <cfRule type="containsText" dxfId="185" priority="58" operator="containsText" text="Sandip">
      <formula>NOT(ISERROR(SEARCH("Sandip",C3)))</formula>
    </cfRule>
    <cfRule type="containsText" dxfId="184" priority="59" operator="containsText" text="Faiyaz">
      <formula>NOT(ISERROR(SEARCH("Faiyaz",C3)))</formula>
    </cfRule>
    <cfRule type="containsText" dxfId="183" priority="60" operator="containsText" text="Atul">
      <formula>NOT(ISERROR(SEARCH("Atul",C3)))</formula>
    </cfRule>
    <cfRule type="containsText" dxfId="182" priority="61" operator="containsText" text="Vivek">
      <formula>NOT(ISERROR(SEARCH("Vivek",C3)))</formula>
    </cfRule>
  </conditionalFormatting>
  <conditionalFormatting sqref="C3:C17 E3:E17 G3:G17">
    <cfRule type="containsText" dxfId="181" priority="50" operator="containsText" text="Mansoor">
      <formula>NOT(ISERROR(SEARCH("Mansoor",C3)))</formula>
    </cfRule>
    <cfRule type="containsText" dxfId="180" priority="51" operator="containsText" text="Rahul">
      <formula>NOT(ISERROR(SEARCH("Rahul",C3)))</formula>
    </cfRule>
    <cfRule type="containsText" dxfId="179" priority="52" operator="containsText" text="Dhawal">
      <formula>NOT(ISERROR(SEARCH("Dhawal",C3)))</formula>
    </cfRule>
    <cfRule type="containsText" dxfId="178" priority="53" operator="containsText" text="Purvaiz">
      <formula>NOT(ISERROR(SEARCH("Purvaiz",C3)))</formula>
    </cfRule>
    <cfRule type="containsText" dxfId="177" priority="54" operator="containsText" text="Shiva">
      <formula>NOT(ISERROR(SEARCH("Shiva",C3)))</formula>
    </cfRule>
  </conditionalFormatting>
  <conditionalFormatting sqref="C3">
    <cfRule type="containsText" dxfId="176" priority="43" operator="containsText" text="Suraj">
      <formula>NOT(ISERROR(SEARCH("Suraj",C3)))</formula>
    </cfRule>
    <cfRule type="containsText" dxfId="175" priority="44" operator="containsText" text="Alty">
      <formula>NOT(ISERROR(SEARCH("Alty",C3)))</formula>
    </cfRule>
    <cfRule type="containsText" dxfId="174" priority="45" operator="containsText" text="Santosh">
      <formula>NOT(ISERROR(SEARCH("Santosh",C3)))</formula>
    </cfRule>
    <cfRule type="containsText" dxfId="173" priority="46" operator="containsText" text="Sandip">
      <formula>NOT(ISERROR(SEARCH("Sandip",C3)))</formula>
    </cfRule>
    <cfRule type="containsText" dxfId="172" priority="47" operator="containsText" text="Faiyaz">
      <formula>NOT(ISERROR(SEARCH("Faiyaz",C3)))</formula>
    </cfRule>
    <cfRule type="containsText" dxfId="171" priority="48" operator="containsText" text="Atul">
      <formula>NOT(ISERROR(SEARCH("Atul",C3)))</formula>
    </cfRule>
    <cfRule type="containsText" dxfId="170" priority="49" operator="containsText" text="Vivek">
      <formula>NOT(ISERROR(SEARCH("Vivek",C3)))</formula>
    </cfRule>
  </conditionalFormatting>
  <conditionalFormatting sqref="C3">
    <cfRule type="containsText" dxfId="169" priority="38" operator="containsText" text="Mansoor">
      <formula>NOT(ISERROR(SEARCH("Mansoor",C3)))</formula>
    </cfRule>
    <cfRule type="containsText" dxfId="168" priority="39" operator="containsText" text="Rahul">
      <formula>NOT(ISERROR(SEARCH("Rahul",C3)))</formula>
    </cfRule>
    <cfRule type="containsText" dxfId="167" priority="40" operator="containsText" text="Dhawal">
      <formula>NOT(ISERROR(SEARCH("Dhawal",C3)))</formula>
    </cfRule>
    <cfRule type="containsText" dxfId="166" priority="41" operator="containsText" text="Purvaiz">
      <formula>NOT(ISERROR(SEARCH("Purvaiz",C3)))</formula>
    </cfRule>
    <cfRule type="containsText" dxfId="165" priority="42" operator="containsText" text="Shiva">
      <formula>NOT(ISERROR(SEARCH("Shiva",C3)))</formula>
    </cfRule>
  </conditionalFormatting>
  <conditionalFormatting sqref="C2:E17 G3:G17">
    <cfRule type="containsText" dxfId="164" priority="37" operator="containsText" text="Rafay">
      <formula>NOT(ISERROR(SEARCH("Rafay",C2)))</formula>
    </cfRule>
  </conditionalFormatting>
  <conditionalFormatting sqref="C3">
    <cfRule type="containsText" dxfId="163" priority="30" operator="containsText" text="Suraj">
      <formula>NOT(ISERROR(SEARCH("Suraj",C3)))</formula>
    </cfRule>
    <cfRule type="containsText" dxfId="162" priority="31" operator="containsText" text="Alty">
      <formula>NOT(ISERROR(SEARCH("Alty",C3)))</formula>
    </cfRule>
    <cfRule type="containsText" dxfId="161" priority="32" operator="containsText" text="Santosh">
      <formula>NOT(ISERROR(SEARCH("Santosh",C3)))</formula>
    </cfRule>
    <cfRule type="containsText" dxfId="160" priority="33" operator="containsText" text="Sandip">
      <formula>NOT(ISERROR(SEARCH("Sandip",C3)))</formula>
    </cfRule>
    <cfRule type="containsText" dxfId="159" priority="34" operator="containsText" text="Faiyaz">
      <formula>NOT(ISERROR(SEARCH("Faiyaz",C3)))</formula>
    </cfRule>
    <cfRule type="containsText" dxfId="158" priority="35" operator="containsText" text="Atul">
      <formula>NOT(ISERROR(SEARCH("Atul",C3)))</formula>
    </cfRule>
    <cfRule type="containsText" dxfId="157" priority="36" operator="containsText" text="Vivek">
      <formula>NOT(ISERROR(SEARCH("Vivek",C3)))</formula>
    </cfRule>
  </conditionalFormatting>
  <conditionalFormatting sqref="C3">
    <cfRule type="containsText" dxfId="156" priority="25" operator="containsText" text="Mansoor">
      <formula>NOT(ISERROR(SEARCH("Mansoor",C3)))</formula>
    </cfRule>
    <cfRule type="containsText" dxfId="155" priority="26" operator="containsText" text="Rahul">
      <formula>NOT(ISERROR(SEARCH("Rahul",C3)))</formula>
    </cfRule>
    <cfRule type="containsText" dxfId="154" priority="27" operator="containsText" text="Dhawal">
      <formula>NOT(ISERROR(SEARCH("Dhawal",C3)))</formula>
    </cfRule>
    <cfRule type="containsText" dxfId="153" priority="28" operator="containsText" text="Purvaiz">
      <formula>NOT(ISERROR(SEARCH("Purvaiz",C3)))</formula>
    </cfRule>
    <cfRule type="containsText" dxfId="152" priority="29" operator="containsText" text="Shiva">
      <formula>NOT(ISERROR(SEARCH("Shiva",C3)))</formula>
    </cfRule>
  </conditionalFormatting>
  <conditionalFormatting sqref="E3:E17">
    <cfRule type="containsText" dxfId="151" priority="18" operator="containsText" text="Suraj">
      <formula>NOT(ISERROR(SEARCH("Suraj",E3)))</formula>
    </cfRule>
    <cfRule type="containsText" dxfId="150" priority="19" operator="containsText" text="Alty">
      <formula>NOT(ISERROR(SEARCH("Alty",E3)))</formula>
    </cfRule>
    <cfRule type="containsText" dxfId="149" priority="20" operator="containsText" text="Santosh">
      <formula>NOT(ISERROR(SEARCH("Santosh",E3)))</formula>
    </cfRule>
    <cfRule type="containsText" dxfId="148" priority="21" operator="containsText" text="Sandip">
      <formula>NOT(ISERROR(SEARCH("Sandip",E3)))</formula>
    </cfRule>
    <cfRule type="containsText" dxfId="147" priority="22" operator="containsText" text="Faiyaz">
      <formula>NOT(ISERROR(SEARCH("Faiyaz",E3)))</formula>
    </cfRule>
    <cfRule type="containsText" dxfId="146" priority="23" operator="containsText" text="Atul">
      <formula>NOT(ISERROR(SEARCH("Atul",E3)))</formula>
    </cfRule>
    <cfRule type="containsText" dxfId="145" priority="24" operator="containsText" text="Vivek">
      <formula>NOT(ISERROR(SEARCH("Vivek",E3)))</formula>
    </cfRule>
  </conditionalFormatting>
  <conditionalFormatting sqref="E3:E17">
    <cfRule type="containsText" dxfId="144" priority="13" operator="containsText" text="Mansoor">
      <formula>NOT(ISERROR(SEARCH("Mansoor",E3)))</formula>
    </cfRule>
    <cfRule type="containsText" dxfId="143" priority="14" operator="containsText" text="Rahul">
      <formula>NOT(ISERROR(SEARCH("Rahul",E3)))</formula>
    </cfRule>
    <cfRule type="containsText" dxfId="142" priority="15" operator="containsText" text="Dhawal">
      <formula>NOT(ISERROR(SEARCH("Dhawal",E3)))</formula>
    </cfRule>
    <cfRule type="containsText" dxfId="141" priority="16" operator="containsText" text="Purvaiz">
      <formula>NOT(ISERROR(SEARCH("Purvaiz",E3)))</formula>
    </cfRule>
    <cfRule type="containsText" dxfId="140" priority="17" operator="containsText" text="Shiva">
      <formula>NOT(ISERROR(SEARCH("Shiva",E3)))</formula>
    </cfRule>
  </conditionalFormatting>
  <conditionalFormatting sqref="E3:E17">
    <cfRule type="containsText" dxfId="139" priority="6" operator="containsText" text="Suraj">
      <formula>NOT(ISERROR(SEARCH("Suraj",E3)))</formula>
    </cfRule>
    <cfRule type="containsText" dxfId="138" priority="7" operator="containsText" text="Alty">
      <formula>NOT(ISERROR(SEARCH("Alty",E3)))</formula>
    </cfRule>
    <cfRule type="containsText" dxfId="137" priority="8" operator="containsText" text="Santosh">
      <formula>NOT(ISERROR(SEARCH("Santosh",E3)))</formula>
    </cfRule>
    <cfRule type="containsText" dxfId="136" priority="9" operator="containsText" text="Sandip">
      <formula>NOT(ISERROR(SEARCH("Sandip",E3)))</formula>
    </cfRule>
    <cfRule type="containsText" dxfId="135" priority="10" operator="containsText" text="Faiyaz">
      <formula>NOT(ISERROR(SEARCH("Faiyaz",E3)))</formula>
    </cfRule>
    <cfRule type="containsText" dxfId="134" priority="11" operator="containsText" text="Atul">
      <formula>NOT(ISERROR(SEARCH("Atul",E3)))</formula>
    </cfRule>
    <cfRule type="containsText" dxfId="133" priority="12" operator="containsText" text="Vivek">
      <formula>NOT(ISERROR(SEARCH("Vivek",E3)))</formula>
    </cfRule>
  </conditionalFormatting>
  <conditionalFormatting sqref="E3:E17">
    <cfRule type="containsText" dxfId="132" priority="1" operator="containsText" text="Mansoor">
      <formula>NOT(ISERROR(SEARCH("Mansoor",E3)))</formula>
    </cfRule>
    <cfRule type="containsText" dxfId="131" priority="2" operator="containsText" text="Rahul">
      <formula>NOT(ISERROR(SEARCH("Rahul",E3)))</formula>
    </cfRule>
    <cfRule type="containsText" dxfId="130" priority="3" operator="containsText" text="Dhawal">
      <formula>NOT(ISERROR(SEARCH("Dhawal",E3)))</formula>
    </cfRule>
    <cfRule type="containsText" dxfId="129" priority="4" operator="containsText" text="Purvaiz">
      <formula>NOT(ISERROR(SEARCH("Purvaiz",E3)))</formula>
    </cfRule>
    <cfRule type="containsText" dxfId="128" priority="5" operator="containsText" text="Shiva">
      <formula>NOT(ISERROR(SEARCH("Shiva",E3)))</formula>
    </cfRule>
  </conditionalFormatting>
  <pageMargins left="0.9055118110236221" right="0.31496062992125984" top="0.74803149606299213" bottom="0.74803149606299213" header="0.31496062992125984" footer="0.31496062992125984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55"/>
  <sheetViews>
    <sheetView topLeftCell="G1" zoomScale="95" zoomScaleNormal="95" workbookViewId="0">
      <selection activeCell="AA48" sqref="AA48"/>
    </sheetView>
  </sheetViews>
  <sheetFormatPr defaultRowHeight="12.75" x14ac:dyDescent="0.2"/>
  <cols>
    <col min="1" max="1" width="3.28515625" style="51" hidden="1" customWidth="1"/>
    <col min="2" max="2" width="19.42578125" style="51" hidden="1" customWidth="1"/>
    <col min="3" max="3" width="4.42578125" style="51" hidden="1" customWidth="1"/>
    <col min="4" max="4" width="6.5703125" style="51" hidden="1" customWidth="1"/>
    <col min="5" max="6" width="6.28515625" style="51" hidden="1" customWidth="1"/>
    <col min="7" max="7" width="3.7109375" customWidth="1"/>
    <col min="8" max="8" width="24.8554687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3.140625" customWidth="1"/>
  </cols>
  <sheetData>
    <row r="2" spans="1:24" x14ac:dyDescent="0.2">
      <c r="A2"/>
      <c r="B2" s="6" t="s">
        <v>95</v>
      </c>
      <c r="C2" s="6"/>
      <c r="D2" s="6"/>
      <c r="E2" s="6"/>
      <c r="F2"/>
      <c r="H2" s="6" t="s">
        <v>19</v>
      </c>
      <c r="J2" s="6" t="s">
        <v>16</v>
      </c>
      <c r="L2" s="6" t="s">
        <v>17</v>
      </c>
      <c r="N2" s="6" t="s">
        <v>18</v>
      </c>
      <c r="P2" s="6" t="s">
        <v>20</v>
      </c>
      <c r="R2" s="6" t="s">
        <v>16</v>
      </c>
      <c r="S2" s="6"/>
      <c r="T2" s="6" t="s">
        <v>17</v>
      </c>
      <c r="U2" s="6"/>
      <c r="V2" s="6" t="s">
        <v>18</v>
      </c>
    </row>
    <row r="3" spans="1:24" x14ac:dyDescent="0.2">
      <c r="A3"/>
      <c r="B3"/>
      <c r="C3"/>
      <c r="D3" s="6" t="s">
        <v>93</v>
      </c>
      <c r="E3" s="6" t="s">
        <v>94</v>
      </c>
      <c r="F3" s="6" t="s">
        <v>18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4"/>
      <c r="I4" s="14"/>
    </row>
    <row r="5" spans="1:24" ht="12.75" customHeight="1" thickBot="1" x14ac:dyDescent="0.25">
      <c r="A5" t="s">
        <v>85</v>
      </c>
      <c r="B5" s="78"/>
      <c r="C5"/>
      <c r="D5" s="4"/>
      <c r="E5" s="4"/>
      <c r="F5" s="4"/>
      <c r="G5" t="s">
        <v>85</v>
      </c>
      <c r="H5" s="153" t="str">
        <f>'Pool A'!K3</f>
        <v>Vivek / Ziad</v>
      </c>
      <c r="I5" s="14"/>
      <c r="J5" s="156">
        <v>21</v>
      </c>
      <c r="K5" s="6"/>
      <c r="L5" s="156">
        <v>21</v>
      </c>
      <c r="M5" s="6"/>
      <c r="N5" s="156"/>
    </row>
    <row r="6" spans="1:24" ht="13.5" customHeight="1" thickBot="1" x14ac:dyDescent="0.25">
      <c r="A6"/>
      <c r="B6" s="16"/>
      <c r="C6" s="79"/>
      <c r="D6" s="79"/>
      <c r="E6" s="79"/>
      <c r="F6" s="79"/>
      <c r="G6" s="79"/>
      <c r="H6" s="154"/>
      <c r="I6" s="14"/>
      <c r="J6" s="157"/>
      <c r="K6" s="6"/>
      <c r="L6" s="157"/>
      <c r="M6" s="6"/>
      <c r="N6" s="157"/>
      <c r="P6" s="15"/>
      <c r="Q6" s="15"/>
    </row>
    <row r="7" spans="1:24" ht="13.5" customHeight="1" thickBot="1" x14ac:dyDescent="0.25">
      <c r="A7" t="s">
        <v>86</v>
      </c>
      <c r="B7" s="78"/>
      <c r="C7"/>
      <c r="D7" s="4"/>
      <c r="E7" s="4"/>
      <c r="F7" s="4"/>
      <c r="H7" s="155"/>
      <c r="I7" s="14"/>
      <c r="J7" s="158"/>
      <c r="K7" s="6"/>
      <c r="L7" s="158"/>
      <c r="M7" s="6"/>
      <c r="N7" s="158"/>
      <c r="P7" s="159" t="str">
        <f>H5</f>
        <v>Vivek / Ziad</v>
      </c>
      <c r="Q7" s="15"/>
      <c r="R7" s="150">
        <v>21</v>
      </c>
      <c r="T7" s="150">
        <v>19</v>
      </c>
      <c r="V7" s="150">
        <v>19</v>
      </c>
    </row>
    <row r="8" spans="1:24" ht="13.5" customHeight="1" thickBot="1" x14ac:dyDescent="0.25">
      <c r="A8"/>
      <c r="B8"/>
      <c r="C8"/>
      <c r="D8"/>
      <c r="E8"/>
      <c r="F8"/>
      <c r="I8" s="14"/>
      <c r="J8" s="6"/>
      <c r="K8" s="6"/>
      <c r="L8" s="6"/>
      <c r="M8" s="6"/>
      <c r="N8" s="6"/>
      <c r="P8" s="160"/>
      <c r="Q8" s="15"/>
      <c r="R8" s="151"/>
      <c r="T8" s="151"/>
      <c r="V8" s="151"/>
    </row>
    <row r="9" spans="1:24" ht="13.5" customHeight="1" thickBot="1" x14ac:dyDescent="0.25">
      <c r="A9"/>
      <c r="B9"/>
      <c r="C9"/>
      <c r="D9"/>
      <c r="E9"/>
      <c r="F9"/>
      <c r="H9" s="16">
        <v>46068</v>
      </c>
      <c r="I9" s="14"/>
      <c r="J9" s="80"/>
      <c r="K9" s="80"/>
      <c r="L9" s="80"/>
      <c r="M9" s="80"/>
      <c r="N9" s="80"/>
      <c r="O9" s="14"/>
      <c r="P9" s="160"/>
      <c r="Q9" s="15"/>
      <c r="R9" s="151"/>
      <c r="T9" s="151"/>
      <c r="V9" s="151"/>
    </row>
    <row r="10" spans="1:24" ht="18" customHeight="1" thickBot="1" x14ac:dyDescent="0.25">
      <c r="A10"/>
      <c r="B10"/>
      <c r="C10"/>
      <c r="D10"/>
      <c r="E10"/>
      <c r="F10"/>
      <c r="I10" s="14"/>
      <c r="J10" s="6"/>
      <c r="K10" s="6"/>
      <c r="L10" s="6"/>
      <c r="M10" s="6"/>
      <c r="N10" s="6"/>
      <c r="P10" s="160"/>
      <c r="Q10" s="15"/>
      <c r="R10" s="151"/>
      <c r="T10" s="151"/>
      <c r="V10" s="151"/>
    </row>
    <row r="11" spans="1:24" ht="18.75" customHeight="1" thickBot="1" x14ac:dyDescent="0.4">
      <c r="A11" t="s">
        <v>87</v>
      </c>
      <c r="B11" s="78"/>
      <c r="C11"/>
      <c r="D11" s="4"/>
      <c r="E11" s="4"/>
      <c r="F11" s="4"/>
      <c r="G11" t="s">
        <v>90</v>
      </c>
      <c r="H11" s="153" t="str">
        <f>'Pool A'!K6</f>
        <v>Suraj / Thomas</v>
      </c>
      <c r="I11" s="14"/>
      <c r="J11" s="156">
        <v>10</v>
      </c>
      <c r="K11" s="6"/>
      <c r="L11" s="156">
        <v>15</v>
      </c>
      <c r="M11" s="6"/>
      <c r="N11" s="156"/>
      <c r="P11" s="161"/>
      <c r="Q11" s="15"/>
      <c r="R11" s="152"/>
      <c r="T11" s="152"/>
      <c r="V11" s="152"/>
      <c r="X11" s="17" t="s">
        <v>2</v>
      </c>
    </row>
    <row r="12" spans="1:24" ht="12.75" customHeight="1" thickBot="1" x14ac:dyDescent="0.25">
      <c r="A12"/>
      <c r="B12" s="16"/>
      <c r="C12" s="79"/>
      <c r="D12" s="79"/>
      <c r="E12" s="79"/>
      <c r="F12" s="79"/>
      <c r="G12" s="79"/>
      <c r="H12" s="154"/>
      <c r="I12" s="14"/>
      <c r="J12" s="157"/>
      <c r="K12" s="6"/>
      <c r="L12" s="157"/>
      <c r="M12" s="6"/>
      <c r="N12" s="157"/>
      <c r="Q12" s="15"/>
    </row>
    <row r="13" spans="1:24" ht="12.75" customHeight="1" thickBot="1" x14ac:dyDescent="0.25">
      <c r="A13" t="s">
        <v>88</v>
      </c>
      <c r="B13" s="78"/>
      <c r="C13"/>
      <c r="D13" s="4"/>
      <c r="E13" s="4"/>
      <c r="F13" s="4"/>
      <c r="H13" s="155"/>
      <c r="I13" s="14"/>
      <c r="J13" s="158"/>
      <c r="K13" s="6"/>
      <c r="L13" s="158"/>
      <c r="M13" s="6"/>
      <c r="N13" s="158"/>
      <c r="Q13" s="15"/>
      <c r="X13" s="162" t="str">
        <f>IF(R7+T7+V7&gt;0,IF(R7+T7+V7&gt;R19+T19+V19, P7,P19),"")</f>
        <v>Atul / Zaheer</v>
      </c>
    </row>
    <row r="14" spans="1:24" ht="12.75" customHeight="1" thickBot="1" x14ac:dyDescent="0.25">
      <c r="A14"/>
      <c r="B14"/>
      <c r="C14"/>
      <c r="D14"/>
      <c r="E14"/>
      <c r="F14"/>
      <c r="H14" s="14"/>
      <c r="I14" s="14"/>
      <c r="J14" s="6"/>
      <c r="K14" s="6"/>
      <c r="L14" s="6"/>
      <c r="M14" s="6"/>
      <c r="N14" s="6"/>
      <c r="Q14" s="15"/>
      <c r="X14" s="163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6">
        <v>46068</v>
      </c>
      <c r="Q15" s="15"/>
      <c r="R15" s="15"/>
      <c r="S15" s="15"/>
      <c r="T15" s="15"/>
      <c r="U15" s="15"/>
      <c r="V15" s="15"/>
      <c r="W15" s="15"/>
      <c r="X15" s="163"/>
    </row>
    <row r="16" spans="1:24" ht="12.75" customHeight="1" thickBot="1" x14ac:dyDescent="0.25">
      <c r="A16"/>
      <c r="B16"/>
      <c r="C16"/>
      <c r="D16"/>
      <c r="E16"/>
      <c r="F16"/>
      <c r="H16" s="14"/>
      <c r="I16" s="14"/>
      <c r="J16" s="6"/>
      <c r="K16" s="6"/>
      <c r="L16" s="6"/>
      <c r="M16" s="6"/>
      <c r="N16" s="6"/>
      <c r="Q16" s="15"/>
      <c r="X16" s="163"/>
    </row>
    <row r="17" spans="1:24" ht="13.5" customHeight="1" thickBot="1" x14ac:dyDescent="0.25">
      <c r="A17" t="s">
        <v>89</v>
      </c>
      <c r="B17" s="78"/>
      <c r="C17"/>
      <c r="D17" s="4"/>
      <c r="E17" s="4"/>
      <c r="F17" s="4"/>
      <c r="G17" t="s">
        <v>91</v>
      </c>
      <c r="H17" s="153" t="str">
        <f>'Pool A'!K4</f>
        <v>Atul / Zaheer</v>
      </c>
      <c r="I17" s="14"/>
      <c r="J17" s="156">
        <v>21</v>
      </c>
      <c r="K17" s="6"/>
      <c r="L17" s="156">
        <v>21</v>
      </c>
      <c r="M17" s="6"/>
      <c r="N17" s="156"/>
      <c r="Q17" s="15"/>
      <c r="X17" s="164"/>
    </row>
    <row r="18" spans="1:24" ht="13.5" customHeight="1" thickBot="1" x14ac:dyDescent="0.25">
      <c r="A18"/>
      <c r="B18" s="16"/>
      <c r="C18" s="79"/>
      <c r="D18" s="79"/>
      <c r="E18" s="79"/>
      <c r="F18" s="79"/>
      <c r="G18" s="79"/>
      <c r="H18" s="154"/>
      <c r="I18" s="14"/>
      <c r="J18" s="157"/>
      <c r="K18" s="6"/>
      <c r="L18" s="157"/>
      <c r="M18" s="6"/>
      <c r="N18" s="157"/>
      <c r="Q18" s="15"/>
    </row>
    <row r="19" spans="1:24" ht="12.75" customHeight="1" thickBot="1" x14ac:dyDescent="0.25">
      <c r="A19" t="s">
        <v>90</v>
      </c>
      <c r="B19" s="78"/>
      <c r="C19"/>
      <c r="D19" s="4"/>
      <c r="E19" s="4"/>
      <c r="F19" s="4"/>
      <c r="H19" s="155"/>
      <c r="I19" s="14"/>
      <c r="J19" s="158"/>
      <c r="K19" s="6"/>
      <c r="L19" s="158"/>
      <c r="M19" s="6"/>
      <c r="N19" s="158"/>
      <c r="P19" s="159" t="str">
        <f>H17</f>
        <v>Atul / Zaheer</v>
      </c>
      <c r="Q19" s="15"/>
      <c r="R19" s="150">
        <v>19</v>
      </c>
      <c r="T19" s="150">
        <v>21</v>
      </c>
      <c r="V19" s="150">
        <v>21</v>
      </c>
    </row>
    <row r="20" spans="1:24" ht="13.5" customHeight="1" thickBot="1" x14ac:dyDescent="0.25">
      <c r="A20"/>
      <c r="B20"/>
      <c r="C20"/>
      <c r="D20"/>
      <c r="E20"/>
      <c r="F20"/>
      <c r="I20" s="14"/>
      <c r="J20" s="6"/>
      <c r="K20" s="6"/>
      <c r="L20" s="6"/>
      <c r="M20" s="6"/>
      <c r="N20" s="6"/>
      <c r="P20" s="160"/>
      <c r="Q20" s="15"/>
      <c r="R20" s="151"/>
      <c r="T20" s="151"/>
      <c r="V20" s="151"/>
    </row>
    <row r="21" spans="1:24" ht="20.25" customHeight="1" thickBot="1" x14ac:dyDescent="0.4">
      <c r="A21"/>
      <c r="B21"/>
      <c r="C21"/>
      <c r="D21"/>
      <c r="E21"/>
      <c r="F21"/>
      <c r="H21" s="16">
        <v>46068</v>
      </c>
      <c r="I21" s="14"/>
      <c r="J21" s="80"/>
      <c r="K21" s="80"/>
      <c r="L21" s="80"/>
      <c r="M21" s="80"/>
      <c r="N21" s="80"/>
      <c r="O21" s="14"/>
      <c r="P21" s="160"/>
      <c r="Q21" s="15"/>
      <c r="R21" s="151"/>
      <c r="T21" s="151"/>
      <c r="V21" s="151"/>
      <c r="X21" s="17" t="s">
        <v>21</v>
      </c>
    </row>
    <row r="22" spans="1:24" ht="13.5" customHeight="1" thickBot="1" x14ac:dyDescent="0.25">
      <c r="A22"/>
      <c r="B22"/>
      <c r="C22"/>
      <c r="D22"/>
      <c r="E22"/>
      <c r="F22"/>
      <c r="H22" s="83"/>
      <c r="I22" s="14"/>
      <c r="J22" s="6"/>
      <c r="K22" s="6"/>
      <c r="L22" s="6"/>
      <c r="M22" s="6"/>
      <c r="N22" s="6"/>
      <c r="P22" s="160"/>
      <c r="Q22" s="15"/>
      <c r="R22" s="151"/>
      <c r="T22" s="151"/>
      <c r="V22" s="151"/>
    </row>
    <row r="23" spans="1:24" ht="13.5" customHeight="1" thickBot="1" x14ac:dyDescent="0.25">
      <c r="A23" t="s">
        <v>91</v>
      </c>
      <c r="B23" s="78"/>
      <c r="C23"/>
      <c r="D23" s="4"/>
      <c r="E23" s="4"/>
      <c r="F23" s="4"/>
      <c r="G23" t="s">
        <v>88</v>
      </c>
      <c r="H23" s="153" t="str">
        <f>'Pool A'!K5</f>
        <v>Faiyaz / Yogi</v>
      </c>
      <c r="I23" s="14"/>
      <c r="J23" s="156">
        <v>19</v>
      </c>
      <c r="K23" s="6"/>
      <c r="L23" s="156">
        <v>14</v>
      </c>
      <c r="M23" s="6"/>
      <c r="N23" s="156"/>
      <c r="P23" s="161"/>
      <c r="Q23" s="15"/>
      <c r="R23" s="152"/>
      <c r="T23" s="152"/>
      <c r="V23" s="152"/>
      <c r="X23" s="165" t="str">
        <f>P7</f>
        <v>Vivek / Ziad</v>
      </c>
    </row>
    <row r="24" spans="1:24" ht="12.75" customHeight="1" thickBot="1" x14ac:dyDescent="0.25">
      <c r="A24"/>
      <c r="B24" s="16"/>
      <c r="C24" s="79"/>
      <c r="D24" s="79"/>
      <c r="E24" s="79"/>
      <c r="F24" s="79"/>
      <c r="G24" s="79"/>
      <c r="H24" s="154"/>
      <c r="I24" s="14"/>
      <c r="J24" s="157"/>
      <c r="K24" s="6"/>
      <c r="L24" s="157"/>
      <c r="M24" s="6"/>
      <c r="N24" s="157"/>
      <c r="P24" s="15"/>
      <c r="Q24" s="15"/>
      <c r="X24" s="166"/>
    </row>
    <row r="25" spans="1:24" ht="12.75" customHeight="1" thickBot="1" x14ac:dyDescent="0.25">
      <c r="A25" t="s">
        <v>92</v>
      </c>
      <c r="B25" s="78"/>
      <c r="C25"/>
      <c r="D25" s="4"/>
      <c r="E25" s="4"/>
      <c r="F25" s="4"/>
      <c r="H25" s="155"/>
      <c r="I25" s="14"/>
      <c r="J25" s="158"/>
      <c r="K25" s="6"/>
      <c r="L25" s="158"/>
      <c r="M25" s="6"/>
      <c r="N25" s="158"/>
      <c r="X25" s="166"/>
    </row>
    <row r="26" spans="1:24" ht="13.5" customHeight="1" x14ac:dyDescent="0.2">
      <c r="A26"/>
      <c r="B26"/>
      <c r="C26"/>
      <c r="D26"/>
      <c r="E26"/>
      <c r="F26"/>
      <c r="H26" s="14"/>
      <c r="I26" s="14"/>
      <c r="X26" s="167"/>
    </row>
    <row r="27" spans="1:24" ht="12.75" customHeight="1" x14ac:dyDescent="0.2">
      <c r="A27"/>
      <c r="B27"/>
      <c r="C27"/>
      <c r="D27"/>
      <c r="E27"/>
      <c r="F27"/>
      <c r="P27" s="6" t="s">
        <v>22</v>
      </c>
    </row>
    <row r="28" spans="1:24" ht="13.5" customHeight="1" thickBot="1" x14ac:dyDescent="0.25">
      <c r="A28"/>
      <c r="B28"/>
      <c r="C28"/>
      <c r="D28"/>
      <c r="E28"/>
      <c r="F28"/>
      <c r="P28" s="18"/>
      <c r="Q28" s="18"/>
    </row>
    <row r="29" spans="1:24" ht="8.25" customHeight="1" thickBot="1" x14ac:dyDescent="0.25">
      <c r="A29"/>
      <c r="B29"/>
      <c r="C29"/>
      <c r="D29"/>
      <c r="E29"/>
      <c r="F29"/>
      <c r="P29" s="168" t="str">
        <f>H11</f>
        <v>Suraj / Thomas</v>
      </c>
      <c r="Q29" s="18"/>
      <c r="R29" s="150">
        <v>23</v>
      </c>
      <c r="T29" s="150">
        <v>21</v>
      </c>
      <c r="V29" s="171"/>
    </row>
    <row r="30" spans="1:24" ht="36.75" customHeight="1" thickBot="1" x14ac:dyDescent="0.4">
      <c r="A30"/>
      <c r="B30" s="84"/>
      <c r="C30" s="85"/>
      <c r="D30"/>
      <c r="E30"/>
      <c r="F30"/>
      <c r="P30" s="169"/>
      <c r="Q30" s="18"/>
      <c r="R30" s="151"/>
      <c r="T30" s="151"/>
      <c r="V30" s="172"/>
      <c r="X30" s="17" t="s">
        <v>23</v>
      </c>
    </row>
    <row r="31" spans="1:24" ht="12.75" customHeight="1" x14ac:dyDescent="0.2">
      <c r="A31"/>
      <c r="B31"/>
      <c r="C31"/>
      <c r="D31"/>
      <c r="E31"/>
      <c r="F31"/>
      <c r="P31" s="169"/>
      <c r="Q31" s="18"/>
      <c r="R31" s="151"/>
      <c r="T31" s="151"/>
      <c r="V31" s="172"/>
    </row>
    <row r="32" spans="1:24" ht="13.5" customHeight="1" thickBot="1" x14ac:dyDescent="0.25">
      <c r="A32"/>
      <c r="B32"/>
      <c r="C32"/>
      <c r="D32"/>
      <c r="E32"/>
      <c r="F32"/>
      <c r="P32" s="170"/>
      <c r="Q32" s="18"/>
      <c r="R32" s="152"/>
      <c r="T32" s="152"/>
      <c r="V32" s="173"/>
      <c r="X32" s="174" t="str">
        <f>P29</f>
        <v>Suraj / Thomas</v>
      </c>
    </row>
    <row r="33" spans="1:24" ht="12.75" customHeight="1" thickBot="1" x14ac:dyDescent="0.25">
      <c r="A33"/>
      <c r="B33"/>
      <c r="C33"/>
      <c r="D33"/>
      <c r="E33"/>
      <c r="F33"/>
      <c r="Q33" s="18"/>
      <c r="X33" s="175"/>
    </row>
    <row r="34" spans="1:24" ht="12.75" customHeight="1" thickBot="1" x14ac:dyDescent="0.25">
      <c r="A34"/>
      <c r="B34"/>
      <c r="C34"/>
      <c r="D34"/>
      <c r="E34"/>
      <c r="F34"/>
      <c r="P34" s="16">
        <v>46068</v>
      </c>
      <c r="Q34" s="18"/>
      <c r="R34" s="18"/>
      <c r="S34" s="18"/>
      <c r="T34" s="18"/>
      <c r="U34" s="18"/>
      <c r="V34" s="18"/>
      <c r="W34" s="18"/>
      <c r="X34" s="175"/>
    </row>
    <row r="35" spans="1:24" ht="13.5" customHeight="1" thickBot="1" x14ac:dyDescent="0.25">
      <c r="A35"/>
      <c r="B35"/>
      <c r="C35"/>
      <c r="D35"/>
      <c r="E35"/>
      <c r="F35"/>
      <c r="Q35" s="18"/>
      <c r="X35" s="175"/>
    </row>
    <row r="36" spans="1:24" ht="13.5" customHeight="1" x14ac:dyDescent="0.2">
      <c r="A36"/>
      <c r="B36"/>
      <c r="C36"/>
      <c r="D36"/>
      <c r="E36"/>
      <c r="F36"/>
      <c r="P36" s="168" t="str">
        <f>H23</f>
        <v>Faiyaz / Yogi</v>
      </c>
      <c r="Q36" s="18"/>
      <c r="R36" s="150">
        <v>21</v>
      </c>
      <c r="T36" s="150">
        <v>17</v>
      </c>
      <c r="V36" s="171"/>
      <c r="X36" s="176"/>
    </row>
    <row r="37" spans="1:24" ht="12.75" customHeight="1" x14ac:dyDescent="0.2">
      <c r="A37"/>
      <c r="B37"/>
      <c r="C37"/>
      <c r="D37"/>
      <c r="E37"/>
      <c r="F37"/>
      <c r="P37" s="169"/>
      <c r="Q37" s="18"/>
      <c r="R37" s="151"/>
      <c r="T37" s="151"/>
      <c r="V37" s="172"/>
    </row>
    <row r="38" spans="1:24" ht="12.75" customHeight="1" x14ac:dyDescent="0.2">
      <c r="A38"/>
      <c r="B38"/>
      <c r="C38"/>
      <c r="D38"/>
      <c r="E38"/>
      <c r="F38"/>
      <c r="P38" s="169"/>
      <c r="Q38" s="18"/>
      <c r="R38" s="151"/>
      <c r="T38" s="151"/>
      <c r="V38" s="172"/>
    </row>
    <row r="39" spans="1:24" ht="13.5" customHeight="1" thickBot="1" x14ac:dyDescent="0.25">
      <c r="A39"/>
      <c r="B39"/>
      <c r="C39"/>
      <c r="D39"/>
      <c r="E39"/>
      <c r="F39"/>
      <c r="P39" s="170"/>
      <c r="Q39" s="18"/>
      <c r="R39" s="152"/>
      <c r="T39" s="152"/>
      <c r="V39" s="173"/>
    </row>
    <row r="40" spans="1:24" x14ac:dyDescent="0.2">
      <c r="A40"/>
      <c r="B40"/>
      <c r="C40"/>
      <c r="D40"/>
      <c r="E40"/>
      <c r="F40"/>
      <c r="P40" s="18"/>
      <c r="Q40" s="18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X55"/>
  <sheetViews>
    <sheetView topLeftCell="G1" zoomScale="95" zoomScaleNormal="95" workbookViewId="0">
      <selection activeCell="P46" sqref="P46"/>
    </sheetView>
  </sheetViews>
  <sheetFormatPr defaultRowHeight="12.75" x14ac:dyDescent="0.2"/>
  <cols>
    <col min="1" max="1" width="3.28515625" style="51" hidden="1" customWidth="1"/>
    <col min="2" max="2" width="19.42578125" style="51" hidden="1" customWidth="1"/>
    <col min="3" max="3" width="4.42578125" style="51" hidden="1" customWidth="1"/>
    <col min="4" max="4" width="6.5703125" style="51" hidden="1" customWidth="1"/>
    <col min="5" max="6" width="6.28515625" style="51" hidden="1" customWidth="1"/>
    <col min="7" max="7" width="3.7109375" customWidth="1"/>
    <col min="8" max="8" width="24.8554687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3.140625" customWidth="1"/>
  </cols>
  <sheetData>
    <row r="2" spans="1:24" x14ac:dyDescent="0.2">
      <c r="A2"/>
      <c r="B2" s="6" t="s">
        <v>95</v>
      </c>
      <c r="C2" s="6"/>
      <c r="D2" s="6"/>
      <c r="E2" s="6"/>
      <c r="F2"/>
      <c r="H2" s="6" t="s">
        <v>19</v>
      </c>
      <c r="J2" s="6" t="s">
        <v>16</v>
      </c>
      <c r="L2" s="6" t="s">
        <v>17</v>
      </c>
      <c r="N2" s="6" t="s">
        <v>18</v>
      </c>
      <c r="P2" s="6" t="s">
        <v>20</v>
      </c>
      <c r="R2" s="6" t="s">
        <v>16</v>
      </c>
      <c r="S2" s="6"/>
      <c r="T2" s="6" t="s">
        <v>17</v>
      </c>
      <c r="U2" s="6"/>
      <c r="V2" s="6" t="s">
        <v>18</v>
      </c>
    </row>
    <row r="3" spans="1:24" x14ac:dyDescent="0.2">
      <c r="A3"/>
      <c r="B3"/>
      <c r="C3"/>
      <c r="D3" s="6" t="s">
        <v>93</v>
      </c>
      <c r="E3" s="6" t="s">
        <v>94</v>
      </c>
      <c r="F3" s="6" t="s">
        <v>18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4"/>
      <c r="I4" s="14"/>
    </row>
    <row r="5" spans="1:24" ht="12.75" customHeight="1" thickBot="1" x14ac:dyDescent="0.25">
      <c r="A5" t="s">
        <v>85</v>
      </c>
      <c r="B5" s="78"/>
      <c r="C5"/>
      <c r="D5" s="4"/>
      <c r="E5" s="4"/>
      <c r="F5" s="4"/>
      <c r="G5" t="s">
        <v>89</v>
      </c>
      <c r="H5" s="153" t="str">
        <f>'Pool B'!K3</f>
        <v>Dhawal / Samir</v>
      </c>
      <c r="I5" s="14"/>
      <c r="J5" s="156">
        <v>21</v>
      </c>
      <c r="K5" s="6"/>
      <c r="L5" s="156">
        <v>17</v>
      </c>
      <c r="M5" s="6"/>
      <c r="N5" s="156">
        <v>21</v>
      </c>
    </row>
    <row r="6" spans="1:24" ht="13.5" customHeight="1" thickBot="1" x14ac:dyDescent="0.25">
      <c r="A6"/>
      <c r="B6" s="16"/>
      <c r="C6" s="79"/>
      <c r="D6" s="79"/>
      <c r="E6" s="79"/>
      <c r="F6" s="79"/>
      <c r="G6" s="79"/>
      <c r="H6" s="154"/>
      <c r="I6" s="14"/>
      <c r="J6" s="157"/>
      <c r="K6" s="6"/>
      <c r="L6" s="157"/>
      <c r="M6" s="6"/>
      <c r="N6" s="157"/>
      <c r="P6" s="15"/>
      <c r="Q6" s="15"/>
    </row>
    <row r="7" spans="1:24" ht="13.5" customHeight="1" thickBot="1" x14ac:dyDescent="0.25">
      <c r="A7" t="s">
        <v>86</v>
      </c>
      <c r="B7" s="78"/>
      <c r="C7"/>
      <c r="D7" s="4"/>
      <c r="E7" s="4"/>
      <c r="F7" s="4"/>
      <c r="H7" s="155"/>
      <c r="I7" s="14"/>
      <c r="J7" s="158"/>
      <c r="K7" s="6"/>
      <c r="L7" s="158"/>
      <c r="M7" s="6"/>
      <c r="N7" s="158"/>
      <c r="P7" s="159" t="str">
        <f>H5</f>
        <v>Dhawal / Samir</v>
      </c>
      <c r="Q7" s="15"/>
      <c r="R7" s="150">
        <v>18</v>
      </c>
      <c r="T7" s="150">
        <v>18</v>
      </c>
      <c r="V7" s="171"/>
    </row>
    <row r="8" spans="1:24" ht="13.5" customHeight="1" thickBot="1" x14ac:dyDescent="0.25">
      <c r="A8"/>
      <c r="B8"/>
      <c r="C8"/>
      <c r="D8"/>
      <c r="E8"/>
      <c r="F8"/>
      <c r="I8" s="14"/>
      <c r="J8" s="6"/>
      <c r="K8" s="6"/>
      <c r="L8" s="6"/>
      <c r="M8" s="6"/>
      <c r="N8" s="6"/>
      <c r="P8" s="160"/>
      <c r="Q8" s="15"/>
      <c r="R8" s="151"/>
      <c r="T8" s="151"/>
      <c r="V8" s="172"/>
    </row>
    <row r="9" spans="1:24" ht="13.5" customHeight="1" thickBot="1" x14ac:dyDescent="0.25">
      <c r="A9"/>
      <c r="B9"/>
      <c r="C9"/>
      <c r="D9"/>
      <c r="E9"/>
      <c r="F9"/>
      <c r="H9" s="16">
        <v>46068</v>
      </c>
      <c r="I9" s="14"/>
      <c r="J9" s="80"/>
      <c r="K9" s="80"/>
      <c r="L9" s="80"/>
      <c r="M9" s="80"/>
      <c r="N9" s="80"/>
      <c r="O9" s="14"/>
      <c r="P9" s="160"/>
      <c r="Q9" s="15"/>
      <c r="R9" s="151"/>
      <c r="T9" s="151"/>
      <c r="V9" s="172"/>
    </row>
    <row r="10" spans="1:24" ht="18" customHeight="1" thickBot="1" x14ac:dyDescent="0.25">
      <c r="A10"/>
      <c r="B10"/>
      <c r="C10"/>
      <c r="D10"/>
      <c r="E10"/>
      <c r="F10"/>
      <c r="I10" s="14"/>
      <c r="J10" s="6"/>
      <c r="K10" s="6"/>
      <c r="L10" s="6"/>
      <c r="M10" s="6"/>
      <c r="N10" s="6"/>
      <c r="P10" s="160"/>
      <c r="Q10" s="15"/>
      <c r="R10" s="151"/>
      <c r="T10" s="151"/>
      <c r="V10" s="172"/>
    </row>
    <row r="11" spans="1:24" ht="18.75" customHeight="1" thickBot="1" x14ac:dyDescent="0.4">
      <c r="A11" t="s">
        <v>87</v>
      </c>
      <c r="B11" s="78"/>
      <c r="C11"/>
      <c r="D11" s="4"/>
      <c r="E11" s="4"/>
      <c r="F11" s="4"/>
      <c r="G11" t="s">
        <v>86</v>
      </c>
      <c r="H11" s="153" t="str">
        <f>'Pool B'!K6</f>
        <v>Sengole / Vishal</v>
      </c>
      <c r="I11" s="14"/>
      <c r="J11" s="156">
        <v>7</v>
      </c>
      <c r="K11" s="6"/>
      <c r="L11" s="156">
        <v>21</v>
      </c>
      <c r="M11" s="6"/>
      <c r="N11" s="156">
        <v>11</v>
      </c>
      <c r="P11" s="161"/>
      <c r="Q11" s="15"/>
      <c r="R11" s="152"/>
      <c r="T11" s="152"/>
      <c r="V11" s="173"/>
      <c r="X11" s="17" t="s">
        <v>2</v>
      </c>
    </row>
    <row r="12" spans="1:24" ht="12.75" customHeight="1" thickBot="1" x14ac:dyDescent="0.25">
      <c r="A12"/>
      <c r="B12" s="16"/>
      <c r="C12" s="79"/>
      <c r="D12" s="79"/>
      <c r="E12" s="79"/>
      <c r="F12" s="79"/>
      <c r="G12" s="79"/>
      <c r="H12" s="154"/>
      <c r="I12" s="14"/>
      <c r="J12" s="157"/>
      <c r="K12" s="6"/>
      <c r="L12" s="157"/>
      <c r="M12" s="6"/>
      <c r="N12" s="157"/>
      <c r="Q12" s="15"/>
    </row>
    <row r="13" spans="1:24" ht="12.75" customHeight="1" thickBot="1" x14ac:dyDescent="0.25">
      <c r="A13" t="s">
        <v>88</v>
      </c>
      <c r="B13" s="78"/>
      <c r="C13"/>
      <c r="D13" s="4"/>
      <c r="E13" s="4"/>
      <c r="F13" s="4"/>
      <c r="H13" s="155"/>
      <c r="I13" s="14"/>
      <c r="J13" s="158"/>
      <c r="K13" s="6"/>
      <c r="L13" s="158"/>
      <c r="M13" s="6"/>
      <c r="N13" s="158"/>
      <c r="Q13" s="15"/>
      <c r="X13" s="162" t="str">
        <f>IF(R7+T7+V7&gt;0,IF(R7+T7+V7&gt;R19+T19+V19, P7,P19),"")</f>
        <v>Shiva / Jalal</v>
      </c>
    </row>
    <row r="14" spans="1:24" ht="12.75" customHeight="1" thickBot="1" x14ac:dyDescent="0.25">
      <c r="A14"/>
      <c r="B14"/>
      <c r="C14"/>
      <c r="D14"/>
      <c r="E14"/>
      <c r="F14"/>
      <c r="H14" s="14"/>
      <c r="I14" s="14"/>
      <c r="J14" s="6"/>
      <c r="K14" s="6"/>
      <c r="L14" s="6"/>
      <c r="M14" s="6"/>
      <c r="N14" s="6"/>
      <c r="Q14" s="15"/>
      <c r="X14" s="163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6">
        <v>46068</v>
      </c>
      <c r="Q15" s="15"/>
      <c r="R15" s="15"/>
      <c r="S15" s="15"/>
      <c r="T15" s="15"/>
      <c r="U15" s="15"/>
      <c r="V15" s="15"/>
      <c r="W15" s="15"/>
      <c r="X15" s="163"/>
    </row>
    <row r="16" spans="1:24" ht="12.75" customHeight="1" thickBot="1" x14ac:dyDescent="0.25">
      <c r="A16"/>
      <c r="B16"/>
      <c r="C16"/>
      <c r="D16"/>
      <c r="E16"/>
      <c r="F16"/>
      <c r="H16" s="14"/>
      <c r="I16" s="14"/>
      <c r="J16" s="6"/>
      <c r="K16" s="6"/>
      <c r="L16" s="6"/>
      <c r="M16" s="6"/>
      <c r="N16" s="6"/>
      <c r="Q16" s="15"/>
      <c r="X16" s="163"/>
    </row>
    <row r="17" spans="1:24" ht="13.5" customHeight="1" thickBot="1" x14ac:dyDescent="0.25">
      <c r="A17" t="s">
        <v>89</v>
      </c>
      <c r="B17" s="78"/>
      <c r="C17"/>
      <c r="D17" s="4"/>
      <c r="E17" s="4"/>
      <c r="F17" s="4"/>
      <c r="G17" t="s">
        <v>87</v>
      </c>
      <c r="H17" s="153" t="str">
        <f>'Pool B'!K4</f>
        <v>Shiva / Jalal</v>
      </c>
      <c r="I17" s="14"/>
      <c r="J17" s="156">
        <v>18</v>
      </c>
      <c r="K17" s="6"/>
      <c r="L17" s="156">
        <v>21</v>
      </c>
      <c r="M17" s="6"/>
      <c r="N17" s="156">
        <v>21</v>
      </c>
      <c r="Q17" s="15"/>
      <c r="X17" s="164"/>
    </row>
    <row r="18" spans="1:24" ht="13.5" customHeight="1" thickBot="1" x14ac:dyDescent="0.25">
      <c r="A18"/>
      <c r="B18" s="16"/>
      <c r="C18" s="79"/>
      <c r="D18" s="79"/>
      <c r="E18" s="79"/>
      <c r="F18" s="79"/>
      <c r="G18" s="79"/>
      <c r="H18" s="154"/>
      <c r="I18" s="14"/>
      <c r="J18" s="157"/>
      <c r="K18" s="6"/>
      <c r="L18" s="157"/>
      <c r="M18" s="6"/>
      <c r="N18" s="157"/>
      <c r="Q18" s="15"/>
    </row>
    <row r="19" spans="1:24" ht="12.75" customHeight="1" thickBot="1" x14ac:dyDescent="0.25">
      <c r="A19" t="s">
        <v>90</v>
      </c>
      <c r="B19" s="78"/>
      <c r="C19"/>
      <c r="D19" s="4"/>
      <c r="E19" s="4"/>
      <c r="F19" s="4"/>
      <c r="H19" s="155"/>
      <c r="I19" s="14"/>
      <c r="J19" s="158"/>
      <c r="K19" s="6"/>
      <c r="L19" s="158"/>
      <c r="M19" s="6"/>
      <c r="N19" s="158"/>
      <c r="P19" s="159" t="str">
        <f>H17</f>
        <v>Shiva / Jalal</v>
      </c>
      <c r="Q19" s="15"/>
      <c r="R19" s="150">
        <v>21</v>
      </c>
      <c r="T19" s="150">
        <v>21</v>
      </c>
      <c r="V19" s="171"/>
    </row>
    <row r="20" spans="1:24" ht="13.5" customHeight="1" thickBot="1" x14ac:dyDescent="0.25">
      <c r="A20"/>
      <c r="B20"/>
      <c r="C20"/>
      <c r="D20"/>
      <c r="E20"/>
      <c r="F20"/>
      <c r="I20" s="14"/>
      <c r="J20" s="6"/>
      <c r="K20" s="6"/>
      <c r="L20" s="6"/>
      <c r="M20" s="6"/>
      <c r="N20" s="6"/>
      <c r="P20" s="160"/>
      <c r="Q20" s="15"/>
      <c r="R20" s="151"/>
      <c r="T20" s="151"/>
      <c r="V20" s="172"/>
    </row>
    <row r="21" spans="1:24" ht="20.25" customHeight="1" thickBot="1" x14ac:dyDescent="0.4">
      <c r="A21"/>
      <c r="B21"/>
      <c r="C21"/>
      <c r="D21"/>
      <c r="E21"/>
      <c r="F21"/>
      <c r="H21" s="16">
        <v>46068</v>
      </c>
      <c r="I21" s="14"/>
      <c r="J21" s="80"/>
      <c r="K21" s="80"/>
      <c r="L21" s="80"/>
      <c r="M21" s="80"/>
      <c r="N21" s="80"/>
      <c r="O21" s="14"/>
      <c r="P21" s="160"/>
      <c r="Q21" s="15"/>
      <c r="R21" s="151"/>
      <c r="T21" s="151"/>
      <c r="V21" s="172"/>
      <c r="X21" s="17" t="s">
        <v>21</v>
      </c>
    </row>
    <row r="22" spans="1:24" ht="13.5" customHeight="1" thickBot="1" x14ac:dyDescent="0.25">
      <c r="A22"/>
      <c r="B22"/>
      <c r="C22"/>
      <c r="D22"/>
      <c r="E22"/>
      <c r="F22"/>
      <c r="H22" s="83"/>
      <c r="I22" s="14"/>
      <c r="J22" s="6"/>
      <c r="K22" s="6"/>
      <c r="L22" s="6"/>
      <c r="M22" s="6"/>
      <c r="N22" s="6"/>
      <c r="P22" s="160"/>
      <c r="Q22" s="15"/>
      <c r="R22" s="151"/>
      <c r="T22" s="151"/>
      <c r="V22" s="172"/>
    </row>
    <row r="23" spans="1:24" ht="13.5" customHeight="1" thickBot="1" x14ac:dyDescent="0.25">
      <c r="A23" t="s">
        <v>91</v>
      </c>
      <c r="B23" s="78"/>
      <c r="C23"/>
      <c r="D23" s="4"/>
      <c r="E23" s="4"/>
      <c r="F23" s="4"/>
      <c r="G23" t="s">
        <v>92</v>
      </c>
      <c r="H23" s="153" t="str">
        <f>'Pool B'!K5</f>
        <v>Rafay / Asim</v>
      </c>
      <c r="I23" s="14"/>
      <c r="J23" s="156">
        <v>21</v>
      </c>
      <c r="K23" s="6"/>
      <c r="L23" s="156">
        <v>17</v>
      </c>
      <c r="M23" s="6"/>
      <c r="N23" s="156">
        <v>15</v>
      </c>
      <c r="P23" s="161"/>
      <c r="Q23" s="15"/>
      <c r="R23" s="152"/>
      <c r="T23" s="152"/>
      <c r="V23" s="173"/>
      <c r="X23" s="165" t="str">
        <f>P7</f>
        <v>Dhawal / Samir</v>
      </c>
    </row>
    <row r="24" spans="1:24" ht="12.75" customHeight="1" thickBot="1" x14ac:dyDescent="0.25">
      <c r="A24"/>
      <c r="B24" s="16"/>
      <c r="C24" s="79"/>
      <c r="D24" s="79"/>
      <c r="E24" s="79"/>
      <c r="F24" s="79"/>
      <c r="G24" s="79"/>
      <c r="H24" s="154"/>
      <c r="I24" s="14"/>
      <c r="J24" s="157"/>
      <c r="K24" s="6"/>
      <c r="L24" s="157"/>
      <c r="M24" s="6"/>
      <c r="N24" s="157"/>
      <c r="P24" s="15"/>
      <c r="Q24" s="15"/>
      <c r="X24" s="166"/>
    </row>
    <row r="25" spans="1:24" ht="12.75" customHeight="1" thickBot="1" x14ac:dyDescent="0.25">
      <c r="A25" t="s">
        <v>92</v>
      </c>
      <c r="B25" s="78"/>
      <c r="C25"/>
      <c r="D25" s="4"/>
      <c r="E25" s="4"/>
      <c r="F25" s="4"/>
      <c r="H25" s="155"/>
      <c r="I25" s="14"/>
      <c r="J25" s="158"/>
      <c r="K25" s="6"/>
      <c r="L25" s="158"/>
      <c r="M25" s="6"/>
      <c r="N25" s="158"/>
      <c r="X25" s="166"/>
    </row>
    <row r="26" spans="1:24" ht="13.5" customHeight="1" x14ac:dyDescent="0.2">
      <c r="A26"/>
      <c r="B26"/>
      <c r="C26"/>
      <c r="D26"/>
      <c r="E26"/>
      <c r="F26"/>
      <c r="H26" s="14"/>
      <c r="I26" s="14"/>
      <c r="X26" s="167"/>
    </row>
    <row r="27" spans="1:24" ht="12.75" customHeight="1" x14ac:dyDescent="0.2">
      <c r="A27"/>
      <c r="B27"/>
      <c r="C27"/>
      <c r="D27"/>
      <c r="E27"/>
      <c r="F27"/>
      <c r="P27" s="6" t="s">
        <v>22</v>
      </c>
    </row>
    <row r="28" spans="1:24" ht="13.5" customHeight="1" thickBot="1" x14ac:dyDescent="0.25">
      <c r="A28"/>
      <c r="B28"/>
      <c r="C28"/>
      <c r="D28"/>
      <c r="E28"/>
      <c r="F28"/>
      <c r="P28" s="18"/>
      <c r="Q28" s="18"/>
    </row>
    <row r="29" spans="1:24" ht="8.25" customHeight="1" thickBot="1" x14ac:dyDescent="0.25">
      <c r="A29"/>
      <c r="B29"/>
      <c r="C29"/>
      <c r="D29"/>
      <c r="E29"/>
      <c r="F29"/>
      <c r="P29" s="168" t="str">
        <f>H11</f>
        <v>Sengole / Vishal</v>
      </c>
      <c r="Q29" s="18"/>
      <c r="R29" s="150">
        <v>16</v>
      </c>
      <c r="T29" s="150">
        <v>22</v>
      </c>
      <c r="V29" s="150">
        <v>13</v>
      </c>
    </row>
    <row r="30" spans="1:24" ht="36.75" customHeight="1" thickBot="1" x14ac:dyDescent="0.4">
      <c r="A30"/>
      <c r="B30" s="84"/>
      <c r="C30" s="85"/>
      <c r="D30"/>
      <c r="E30"/>
      <c r="F30"/>
      <c r="P30" s="169"/>
      <c r="Q30" s="18"/>
      <c r="R30" s="151"/>
      <c r="T30" s="151"/>
      <c r="V30" s="151"/>
      <c r="X30" s="17" t="s">
        <v>23</v>
      </c>
    </row>
    <row r="31" spans="1:24" ht="12.75" customHeight="1" x14ac:dyDescent="0.2">
      <c r="A31"/>
      <c r="B31"/>
      <c r="C31"/>
      <c r="D31"/>
      <c r="E31"/>
      <c r="F31"/>
      <c r="P31" s="169"/>
      <c r="Q31" s="18"/>
      <c r="R31" s="151"/>
      <c r="T31" s="151"/>
      <c r="V31" s="151"/>
    </row>
    <row r="32" spans="1:24" ht="13.5" customHeight="1" thickBot="1" x14ac:dyDescent="0.25">
      <c r="A32"/>
      <c r="B32"/>
      <c r="C32"/>
      <c r="D32"/>
      <c r="E32"/>
      <c r="F32"/>
      <c r="P32" s="170"/>
      <c r="Q32" s="18"/>
      <c r="R32" s="152"/>
      <c r="T32" s="152"/>
      <c r="V32" s="152"/>
      <c r="X32" s="174" t="str">
        <f>P36</f>
        <v>Rafay / Asim</v>
      </c>
    </row>
    <row r="33" spans="1:24" ht="12.75" customHeight="1" thickBot="1" x14ac:dyDescent="0.25">
      <c r="A33"/>
      <c r="B33"/>
      <c r="C33"/>
      <c r="D33"/>
      <c r="E33"/>
      <c r="F33"/>
      <c r="Q33" s="18"/>
      <c r="X33" s="175"/>
    </row>
    <row r="34" spans="1:24" ht="12.75" customHeight="1" thickBot="1" x14ac:dyDescent="0.25">
      <c r="A34"/>
      <c r="B34"/>
      <c r="C34"/>
      <c r="D34"/>
      <c r="E34"/>
      <c r="F34"/>
      <c r="P34" s="16">
        <v>46068</v>
      </c>
      <c r="Q34" s="18"/>
      <c r="R34" s="18"/>
      <c r="S34" s="18"/>
      <c r="T34" s="18"/>
      <c r="U34" s="18"/>
      <c r="V34" s="18"/>
      <c r="W34" s="18"/>
      <c r="X34" s="175"/>
    </row>
    <row r="35" spans="1:24" ht="13.5" customHeight="1" thickBot="1" x14ac:dyDescent="0.25">
      <c r="A35"/>
      <c r="B35"/>
      <c r="C35"/>
      <c r="D35"/>
      <c r="E35"/>
      <c r="F35"/>
      <c r="Q35" s="18"/>
      <c r="X35" s="175"/>
    </row>
    <row r="36" spans="1:24" ht="13.5" customHeight="1" x14ac:dyDescent="0.2">
      <c r="A36"/>
      <c r="B36"/>
      <c r="C36"/>
      <c r="D36"/>
      <c r="E36"/>
      <c r="F36"/>
      <c r="P36" s="168" t="str">
        <f>H23</f>
        <v>Rafay / Asim</v>
      </c>
      <c r="Q36" s="18"/>
      <c r="R36" s="150">
        <v>21</v>
      </c>
      <c r="T36" s="150">
        <v>20</v>
      </c>
      <c r="V36" s="150">
        <v>21</v>
      </c>
      <c r="X36" s="176"/>
    </row>
    <row r="37" spans="1:24" ht="12.75" customHeight="1" x14ac:dyDescent="0.2">
      <c r="A37"/>
      <c r="B37"/>
      <c r="C37"/>
      <c r="D37"/>
      <c r="E37"/>
      <c r="F37"/>
      <c r="P37" s="169"/>
      <c r="Q37" s="18"/>
      <c r="R37" s="151"/>
      <c r="T37" s="151"/>
      <c r="V37" s="151"/>
    </row>
    <row r="38" spans="1:24" ht="12.75" customHeight="1" x14ac:dyDescent="0.2">
      <c r="A38"/>
      <c r="B38"/>
      <c r="C38"/>
      <c r="D38"/>
      <c r="E38"/>
      <c r="F38"/>
      <c r="P38" s="169"/>
      <c r="Q38" s="18"/>
      <c r="R38" s="151"/>
      <c r="T38" s="151"/>
      <c r="V38" s="151"/>
    </row>
    <row r="39" spans="1:24" ht="13.5" customHeight="1" thickBot="1" x14ac:dyDescent="0.25">
      <c r="A39"/>
      <c r="B39"/>
      <c r="C39"/>
      <c r="D39"/>
      <c r="E39"/>
      <c r="F39"/>
      <c r="P39" s="170"/>
      <c r="Q39" s="18"/>
      <c r="R39" s="152"/>
      <c r="T39" s="152"/>
      <c r="V39" s="152"/>
    </row>
    <row r="40" spans="1:24" x14ac:dyDescent="0.2">
      <c r="A40"/>
      <c r="B40"/>
      <c r="C40"/>
      <c r="D40"/>
      <c r="E40"/>
      <c r="F40"/>
      <c r="P40" s="18"/>
      <c r="Q40" s="18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zoomScale="110" zoomScaleNormal="110" workbookViewId="0">
      <pane ySplit="4" topLeftCell="A5" activePane="bottomLeft" state="frozen"/>
      <selection pane="bottomLeft" activeCell="H13" sqref="H13"/>
    </sheetView>
  </sheetViews>
  <sheetFormatPr defaultColWidth="14.42578125" defaultRowHeight="15" x14ac:dyDescent="0.25"/>
  <cols>
    <col min="1" max="1" width="6.5703125" style="92" customWidth="1"/>
    <col min="2" max="2" width="10.7109375" style="91" bestFit="1" customWidth="1"/>
    <col min="3" max="3" width="12.85546875" style="92" bestFit="1" customWidth="1"/>
    <col min="4" max="4" width="10.42578125" style="91" bestFit="1" customWidth="1"/>
    <col min="5" max="6" width="32.28515625" style="92" bestFit="1" customWidth="1"/>
    <col min="7" max="8" width="10" style="92" customWidth="1"/>
    <col min="9" max="9" width="10.7109375" style="92" bestFit="1" customWidth="1"/>
    <col min="10" max="10" width="12.85546875" style="92" bestFit="1" customWidth="1"/>
    <col min="11" max="11" width="10.42578125" style="92" bestFit="1" customWidth="1"/>
    <col min="12" max="13" width="30" style="92" bestFit="1" customWidth="1"/>
    <col min="14" max="28" width="16.42578125" style="92" customWidth="1"/>
    <col min="29" max="16384" width="14.42578125" style="92"/>
  </cols>
  <sheetData>
    <row r="1" spans="2:13" ht="15.75" thickBot="1" x14ac:dyDescent="0.3"/>
    <row r="2" spans="2:13" ht="19.5" thickBot="1" x14ac:dyDescent="0.35">
      <c r="B2" s="177" t="s">
        <v>129</v>
      </c>
      <c r="C2" s="178"/>
      <c r="D2" s="178"/>
      <c r="E2" s="178" t="s">
        <v>130</v>
      </c>
      <c r="F2" s="179"/>
      <c r="I2" s="177" t="s">
        <v>129</v>
      </c>
      <c r="J2" s="178"/>
      <c r="K2" s="178"/>
      <c r="L2" s="178" t="s">
        <v>130</v>
      </c>
      <c r="M2" s="179"/>
    </row>
    <row r="3" spans="2:13" ht="24" thickBot="1" x14ac:dyDescent="0.4">
      <c r="B3" s="180" t="s">
        <v>131</v>
      </c>
      <c r="C3" s="181"/>
      <c r="D3" s="181"/>
      <c r="E3" s="181"/>
      <c r="F3" s="182"/>
      <c r="I3" s="183" t="s">
        <v>132</v>
      </c>
      <c r="J3" s="184"/>
      <c r="K3" s="184"/>
      <c r="L3" s="184"/>
      <c r="M3" s="185"/>
    </row>
    <row r="4" spans="2:13" ht="23.25" x14ac:dyDescent="0.25">
      <c r="B4" s="93" t="s">
        <v>133</v>
      </c>
      <c r="C4" s="93" t="s">
        <v>134</v>
      </c>
      <c r="D4" s="93" t="s">
        <v>135</v>
      </c>
      <c r="E4" s="93" t="s">
        <v>14</v>
      </c>
      <c r="F4" s="93" t="s">
        <v>15</v>
      </c>
      <c r="I4" s="94" t="s">
        <v>133</v>
      </c>
      <c r="J4" s="95" t="s">
        <v>134</v>
      </c>
      <c r="K4" s="95" t="s">
        <v>135</v>
      </c>
      <c r="L4" s="95" t="s">
        <v>14</v>
      </c>
      <c r="M4" s="96" t="s">
        <v>15</v>
      </c>
    </row>
    <row r="5" spans="2:13" ht="23.25" x14ac:dyDescent="0.25">
      <c r="B5" s="97">
        <v>1</v>
      </c>
      <c r="C5" s="98" t="s">
        <v>136</v>
      </c>
      <c r="D5" s="99">
        <v>1</v>
      </c>
      <c r="E5" s="100" t="s">
        <v>101</v>
      </c>
      <c r="F5" s="98" t="s">
        <v>106</v>
      </c>
      <c r="I5" s="101">
        <v>1</v>
      </c>
      <c r="J5" s="102" t="s">
        <v>137</v>
      </c>
      <c r="K5" s="103" t="s">
        <v>138</v>
      </c>
      <c r="L5" s="87" t="s">
        <v>155</v>
      </c>
      <c r="M5" s="87" t="s">
        <v>128</v>
      </c>
    </row>
    <row r="6" spans="2:13" ht="23.25" x14ac:dyDescent="0.25">
      <c r="B6" s="97">
        <v>1</v>
      </c>
      <c r="C6" s="98" t="s">
        <v>139</v>
      </c>
      <c r="D6" s="99">
        <v>2</v>
      </c>
      <c r="E6" s="100" t="s">
        <v>102</v>
      </c>
      <c r="F6" s="98" t="s">
        <v>105</v>
      </c>
      <c r="I6" s="106">
        <v>1</v>
      </c>
      <c r="J6" s="98" t="s">
        <v>140</v>
      </c>
      <c r="K6" s="99" t="s">
        <v>141</v>
      </c>
      <c r="L6" s="87" t="s">
        <v>109</v>
      </c>
      <c r="M6" s="87" t="s">
        <v>112</v>
      </c>
    </row>
    <row r="7" spans="2:13" ht="23.25" x14ac:dyDescent="0.25">
      <c r="B7" s="97">
        <v>2</v>
      </c>
      <c r="C7" s="98" t="s">
        <v>136</v>
      </c>
      <c r="D7" s="99">
        <v>3</v>
      </c>
      <c r="E7" s="100" t="s">
        <v>124</v>
      </c>
      <c r="F7" s="98" t="s">
        <v>104</v>
      </c>
      <c r="I7" s="101">
        <v>2</v>
      </c>
      <c r="J7" s="102" t="s">
        <v>137</v>
      </c>
      <c r="K7" s="103" t="s">
        <v>142</v>
      </c>
      <c r="L7" s="87" t="s">
        <v>107</v>
      </c>
      <c r="M7" s="87" t="s">
        <v>110</v>
      </c>
    </row>
    <row r="8" spans="2:13" ht="23.25" x14ac:dyDescent="0.25">
      <c r="B8" s="97">
        <v>2</v>
      </c>
      <c r="C8" s="98" t="s">
        <v>139</v>
      </c>
      <c r="D8" s="99">
        <v>4</v>
      </c>
      <c r="E8" s="100" t="s">
        <v>100</v>
      </c>
      <c r="F8" s="98" t="s">
        <v>106</v>
      </c>
      <c r="I8" s="106">
        <v>2</v>
      </c>
      <c r="J8" s="98" t="s">
        <v>140</v>
      </c>
      <c r="K8" s="99" t="s">
        <v>143</v>
      </c>
      <c r="L8" s="87" t="s">
        <v>155</v>
      </c>
      <c r="M8" s="87" t="s">
        <v>112</v>
      </c>
    </row>
    <row r="9" spans="2:13" ht="23.25" x14ac:dyDescent="0.25">
      <c r="B9" s="97">
        <v>3</v>
      </c>
      <c r="C9" s="98" t="s">
        <v>136</v>
      </c>
      <c r="D9" s="99">
        <v>5</v>
      </c>
      <c r="E9" s="100" t="s">
        <v>101</v>
      </c>
      <c r="F9" s="98" t="s">
        <v>104</v>
      </c>
      <c r="I9" s="101">
        <v>3</v>
      </c>
      <c r="J9" s="102" t="s">
        <v>137</v>
      </c>
      <c r="K9" s="103" t="s">
        <v>144</v>
      </c>
      <c r="L9" s="87" t="s">
        <v>128</v>
      </c>
      <c r="M9" s="87" t="s">
        <v>110</v>
      </c>
    </row>
    <row r="10" spans="2:13" ht="23.25" x14ac:dyDescent="0.25">
      <c r="B10" s="97">
        <v>3</v>
      </c>
      <c r="C10" s="98" t="s">
        <v>139</v>
      </c>
      <c r="D10" s="99">
        <v>6</v>
      </c>
      <c r="E10" s="100" t="s">
        <v>102</v>
      </c>
      <c r="F10" s="98" t="s">
        <v>124</v>
      </c>
      <c r="I10" s="106">
        <v>3</v>
      </c>
      <c r="J10" s="98" t="s">
        <v>140</v>
      </c>
      <c r="K10" s="99" t="s">
        <v>145</v>
      </c>
      <c r="L10" s="87" t="s">
        <v>107</v>
      </c>
      <c r="M10" s="87" t="s">
        <v>109</v>
      </c>
    </row>
    <row r="11" spans="2:13" ht="23.25" x14ac:dyDescent="0.25">
      <c r="B11" s="97">
        <v>4</v>
      </c>
      <c r="C11" s="98" t="s">
        <v>136</v>
      </c>
      <c r="D11" s="99">
        <v>7</v>
      </c>
      <c r="E11" s="100" t="s">
        <v>100</v>
      </c>
      <c r="F11" s="98" t="s">
        <v>105</v>
      </c>
      <c r="I11" s="101">
        <v>4</v>
      </c>
      <c r="J11" s="102" t="s">
        <v>137</v>
      </c>
      <c r="K11" s="103" t="s">
        <v>146</v>
      </c>
      <c r="L11" s="87" t="s">
        <v>155</v>
      </c>
      <c r="M11" s="87" t="s">
        <v>110</v>
      </c>
    </row>
    <row r="12" spans="2:13" ht="23.25" x14ac:dyDescent="0.25">
      <c r="B12" s="97">
        <v>4</v>
      </c>
      <c r="C12" s="98" t="s">
        <v>139</v>
      </c>
      <c r="D12" s="99">
        <v>8</v>
      </c>
      <c r="E12" s="100" t="s">
        <v>106</v>
      </c>
      <c r="F12" s="98" t="s">
        <v>104</v>
      </c>
      <c r="I12" s="106">
        <v>4</v>
      </c>
      <c r="J12" s="98" t="s">
        <v>140</v>
      </c>
      <c r="K12" s="99" t="s">
        <v>147</v>
      </c>
      <c r="L12" s="87" t="s">
        <v>112</v>
      </c>
      <c r="M12" s="87" t="s">
        <v>107</v>
      </c>
    </row>
    <row r="13" spans="2:13" ht="23.25" x14ac:dyDescent="0.25">
      <c r="B13" s="97">
        <v>5</v>
      </c>
      <c r="C13" s="98" t="s">
        <v>136</v>
      </c>
      <c r="D13" s="99">
        <v>9</v>
      </c>
      <c r="E13" s="100" t="s">
        <v>101</v>
      </c>
      <c r="F13" s="98" t="s">
        <v>102</v>
      </c>
      <c r="I13" s="101">
        <v>5</v>
      </c>
      <c r="J13" s="102" t="s">
        <v>137</v>
      </c>
      <c r="K13" s="103" t="s">
        <v>148</v>
      </c>
      <c r="L13" s="87" t="s">
        <v>128</v>
      </c>
      <c r="M13" s="87" t="s">
        <v>109</v>
      </c>
    </row>
    <row r="14" spans="2:13" ht="23.25" x14ac:dyDescent="0.25">
      <c r="B14" s="97">
        <v>5</v>
      </c>
      <c r="C14" s="98" t="s">
        <v>139</v>
      </c>
      <c r="D14" s="99">
        <v>10</v>
      </c>
      <c r="E14" s="100" t="s">
        <v>100</v>
      </c>
      <c r="F14" s="98" t="s">
        <v>104</v>
      </c>
      <c r="I14" s="106">
        <v>5</v>
      </c>
      <c r="J14" s="98" t="s">
        <v>140</v>
      </c>
      <c r="K14" s="99" t="s">
        <v>149</v>
      </c>
      <c r="L14" s="87" t="s">
        <v>155</v>
      </c>
      <c r="M14" s="87" t="s">
        <v>107</v>
      </c>
    </row>
    <row r="15" spans="2:13" ht="23.25" x14ac:dyDescent="0.25">
      <c r="B15" s="97">
        <v>6</v>
      </c>
      <c r="C15" s="98" t="s">
        <v>136</v>
      </c>
      <c r="D15" s="99">
        <v>11</v>
      </c>
      <c r="E15" s="100" t="s">
        <v>105</v>
      </c>
      <c r="F15" s="98" t="s">
        <v>124</v>
      </c>
      <c r="I15" s="101">
        <v>6</v>
      </c>
      <c r="J15" s="102" t="s">
        <v>137</v>
      </c>
      <c r="K15" s="103" t="s">
        <v>150</v>
      </c>
      <c r="L15" s="87" t="s">
        <v>110</v>
      </c>
      <c r="M15" s="87" t="s">
        <v>109</v>
      </c>
    </row>
    <row r="16" spans="2:13" ht="23.25" x14ac:dyDescent="0.25">
      <c r="B16" s="97">
        <v>6</v>
      </c>
      <c r="C16" s="98" t="s">
        <v>139</v>
      </c>
      <c r="D16" s="99">
        <v>12</v>
      </c>
      <c r="E16" s="100" t="s">
        <v>106</v>
      </c>
      <c r="F16" s="98" t="s">
        <v>102</v>
      </c>
      <c r="I16" s="106">
        <v>6</v>
      </c>
      <c r="J16" s="98" t="s">
        <v>140</v>
      </c>
      <c r="K16" s="99" t="s">
        <v>151</v>
      </c>
      <c r="L16" s="87" t="s">
        <v>112</v>
      </c>
      <c r="M16" s="87" t="s">
        <v>128</v>
      </c>
    </row>
    <row r="17" spans="2:13" ht="23.25" x14ac:dyDescent="0.25">
      <c r="B17" s="97">
        <v>7</v>
      </c>
      <c r="C17" s="98" t="s">
        <v>136</v>
      </c>
      <c r="D17" s="99">
        <v>13</v>
      </c>
      <c r="E17" s="100" t="s">
        <v>100</v>
      </c>
      <c r="F17" s="98" t="s">
        <v>124</v>
      </c>
      <c r="I17" s="101">
        <v>7</v>
      </c>
      <c r="J17" s="102" t="s">
        <v>137</v>
      </c>
      <c r="K17" s="103" t="s">
        <v>152</v>
      </c>
      <c r="L17" s="87" t="s">
        <v>155</v>
      </c>
      <c r="M17" s="87" t="s">
        <v>109</v>
      </c>
    </row>
    <row r="18" spans="2:13" ht="23.25" x14ac:dyDescent="0.25">
      <c r="B18" s="97">
        <v>7</v>
      </c>
      <c r="C18" s="98" t="s">
        <v>139</v>
      </c>
      <c r="D18" s="99">
        <v>14</v>
      </c>
      <c r="E18" s="100" t="s">
        <v>104</v>
      </c>
      <c r="F18" s="98" t="s">
        <v>102</v>
      </c>
      <c r="I18" s="106">
        <v>7</v>
      </c>
      <c r="J18" s="98" t="s">
        <v>140</v>
      </c>
      <c r="K18" s="99" t="s">
        <v>153</v>
      </c>
      <c r="L18" s="87" t="s">
        <v>107</v>
      </c>
      <c r="M18" s="87" t="s">
        <v>128</v>
      </c>
    </row>
    <row r="19" spans="2:13" ht="23.25" x14ac:dyDescent="0.25">
      <c r="B19" s="97">
        <v>8</v>
      </c>
      <c r="C19" s="98" t="s">
        <v>136</v>
      </c>
      <c r="D19" s="99">
        <v>15</v>
      </c>
      <c r="E19" s="100" t="s">
        <v>105</v>
      </c>
      <c r="F19" s="98" t="s">
        <v>101</v>
      </c>
      <c r="I19" s="101">
        <v>8</v>
      </c>
      <c r="J19" s="102" t="s">
        <v>137</v>
      </c>
      <c r="K19" s="103" t="s">
        <v>154</v>
      </c>
      <c r="L19" s="87" t="s">
        <v>110</v>
      </c>
      <c r="M19" s="87" t="s">
        <v>112</v>
      </c>
    </row>
    <row r="20" spans="2:13" ht="23.25" x14ac:dyDescent="0.25">
      <c r="B20" s="97">
        <v>8</v>
      </c>
      <c r="C20" s="98" t="s">
        <v>139</v>
      </c>
      <c r="D20" s="99">
        <v>16</v>
      </c>
      <c r="E20" s="100" t="s">
        <v>100</v>
      </c>
      <c r="F20" s="98" t="s">
        <v>102</v>
      </c>
      <c r="I20" s="106"/>
      <c r="J20" s="98"/>
      <c r="K20" s="99"/>
      <c r="L20" s="104"/>
      <c r="M20" s="104"/>
    </row>
    <row r="21" spans="2:13" ht="23.25" x14ac:dyDescent="0.25">
      <c r="B21" s="97">
        <v>9</v>
      </c>
      <c r="C21" s="98" t="s">
        <v>136</v>
      </c>
      <c r="D21" s="99">
        <v>17</v>
      </c>
      <c r="E21" s="100" t="s">
        <v>124</v>
      </c>
      <c r="F21" s="98" t="s">
        <v>101</v>
      </c>
      <c r="I21" s="101"/>
      <c r="J21" s="102"/>
      <c r="K21" s="103"/>
      <c r="L21" s="104"/>
      <c r="M21" s="104"/>
    </row>
    <row r="22" spans="2:13" ht="23.25" x14ac:dyDescent="0.25">
      <c r="B22" s="97">
        <v>9</v>
      </c>
      <c r="C22" s="98" t="s">
        <v>139</v>
      </c>
      <c r="D22" s="99">
        <v>18</v>
      </c>
      <c r="E22" s="100" t="s">
        <v>105</v>
      </c>
      <c r="F22" s="98" t="s">
        <v>106</v>
      </c>
      <c r="I22" s="106"/>
      <c r="J22" s="98"/>
      <c r="K22" s="99"/>
      <c r="L22" s="104"/>
      <c r="M22" s="104"/>
    </row>
    <row r="23" spans="2:13" ht="23.25" x14ac:dyDescent="0.25">
      <c r="B23" s="97">
        <v>10</v>
      </c>
      <c r="C23" s="98" t="s">
        <v>136</v>
      </c>
      <c r="D23" s="99">
        <v>19</v>
      </c>
      <c r="E23" s="100" t="s">
        <v>100</v>
      </c>
      <c r="F23" s="98" t="s">
        <v>101</v>
      </c>
      <c r="I23" s="101"/>
      <c r="J23" s="102"/>
      <c r="K23" s="103"/>
      <c r="L23" s="104"/>
      <c r="M23" s="104"/>
    </row>
    <row r="24" spans="2:13" ht="23.25" x14ac:dyDescent="0.25">
      <c r="B24" s="97">
        <v>10</v>
      </c>
      <c r="C24" s="98" t="s">
        <v>139</v>
      </c>
      <c r="D24" s="99">
        <v>20</v>
      </c>
      <c r="E24" s="100" t="s">
        <v>124</v>
      </c>
      <c r="F24" s="98" t="s">
        <v>106</v>
      </c>
      <c r="I24" s="106"/>
      <c r="J24" s="98"/>
      <c r="K24" s="99"/>
      <c r="L24" s="104"/>
      <c r="M24" s="105"/>
    </row>
    <row r="25" spans="2:13" ht="23.25" x14ac:dyDescent="0.25">
      <c r="B25" s="97">
        <v>11</v>
      </c>
      <c r="C25" s="98" t="s">
        <v>136</v>
      </c>
      <c r="D25" s="99">
        <v>21</v>
      </c>
      <c r="E25" s="100" t="s">
        <v>104</v>
      </c>
      <c r="F25" s="98" t="s">
        <v>105</v>
      </c>
      <c r="I25" s="101"/>
      <c r="J25" s="102"/>
      <c r="K25" s="103"/>
      <c r="L25" s="104"/>
      <c r="M25" s="104"/>
    </row>
  </sheetData>
  <mergeCells count="6">
    <mergeCell ref="B2:D2"/>
    <mergeCell ref="E2:F2"/>
    <mergeCell ref="I2:K2"/>
    <mergeCell ref="L2:M2"/>
    <mergeCell ref="B3:F3"/>
    <mergeCell ref="I3:M3"/>
  </mergeCells>
  <conditionalFormatting sqref="E5:F25">
    <cfRule type="containsText" dxfId="127" priority="151" operator="containsText" text="Suraj">
      <formula>NOT(ISERROR(SEARCH("Suraj",E5)))</formula>
    </cfRule>
    <cfRule type="containsText" dxfId="126" priority="152" operator="containsText" text="Alty">
      <formula>NOT(ISERROR(SEARCH("Alty",E5)))</formula>
    </cfRule>
    <cfRule type="containsText" dxfId="125" priority="153" operator="containsText" text="Santosh">
      <formula>NOT(ISERROR(SEARCH("Santosh",E5)))</formula>
    </cfRule>
    <cfRule type="containsText" dxfId="124" priority="154" operator="containsText" text="Sandip">
      <formula>NOT(ISERROR(SEARCH("Sandip",E5)))</formula>
    </cfRule>
    <cfRule type="containsText" dxfId="123" priority="155" operator="containsText" text="Faiyaz">
      <formula>NOT(ISERROR(SEARCH("Faiyaz",E5)))</formula>
    </cfRule>
    <cfRule type="containsText" dxfId="122" priority="156" operator="containsText" text="Atul">
      <formula>NOT(ISERROR(SEARCH("Atul",E5)))</formula>
    </cfRule>
    <cfRule type="containsText" dxfId="121" priority="157" operator="containsText" text="Vivek">
      <formula>NOT(ISERROR(SEARCH("Vivek",E5)))</formula>
    </cfRule>
  </conditionalFormatting>
  <conditionalFormatting sqref="L20:L25">
    <cfRule type="containsText" dxfId="120" priority="144" operator="containsText" text="Suraj">
      <formula>NOT(ISERROR(SEARCH("Suraj",L20)))</formula>
    </cfRule>
    <cfRule type="containsText" dxfId="119" priority="145" operator="containsText" text="Alty">
      <formula>NOT(ISERROR(SEARCH("Alty",L20)))</formula>
    </cfRule>
    <cfRule type="containsText" dxfId="118" priority="146" operator="containsText" text="Santosh">
      <formula>NOT(ISERROR(SEARCH("Santosh",L20)))</formula>
    </cfRule>
    <cfRule type="containsText" dxfId="117" priority="147" operator="containsText" text="Sandip">
      <formula>NOT(ISERROR(SEARCH("Sandip",L20)))</formula>
    </cfRule>
    <cfRule type="containsText" dxfId="116" priority="148" operator="containsText" text="Faiyaz">
      <formula>NOT(ISERROR(SEARCH("Faiyaz",L20)))</formula>
    </cfRule>
    <cfRule type="containsText" dxfId="115" priority="149" operator="containsText" text="Atul">
      <formula>NOT(ISERROR(SEARCH("Atul",L20)))</formula>
    </cfRule>
    <cfRule type="containsText" dxfId="114" priority="150" operator="containsText" text="Vivek">
      <formula>NOT(ISERROR(SEARCH("Vivek",L20)))</formula>
    </cfRule>
  </conditionalFormatting>
  <conditionalFormatting sqref="L20:L25">
    <cfRule type="containsText" dxfId="113" priority="139" operator="containsText" text="Mansoor">
      <formula>NOT(ISERROR(SEARCH("Mansoor",L20)))</formula>
    </cfRule>
    <cfRule type="containsText" dxfId="112" priority="140" operator="containsText" text="Rahul">
      <formula>NOT(ISERROR(SEARCH("Rahul",L20)))</formula>
    </cfRule>
    <cfRule type="containsText" dxfId="111" priority="141" operator="containsText" text="Dhawal">
      <formula>NOT(ISERROR(SEARCH("Dhawal",L20)))</formula>
    </cfRule>
    <cfRule type="containsText" dxfId="110" priority="142" operator="containsText" text="Purvaiz">
      <formula>NOT(ISERROR(SEARCH("Purvaiz",L20)))</formula>
    </cfRule>
    <cfRule type="containsText" dxfId="109" priority="143" operator="containsText" text="Shiva">
      <formula>NOT(ISERROR(SEARCH("Shiva",L20)))</formula>
    </cfRule>
  </conditionalFormatting>
  <conditionalFormatting sqref="L20:L25">
    <cfRule type="containsText" dxfId="108" priority="126" operator="containsText" text="Rafay">
      <formula>NOT(ISERROR(SEARCH("Rafay",L20)))</formula>
    </cfRule>
  </conditionalFormatting>
  <conditionalFormatting sqref="M20:M24">
    <cfRule type="containsText" dxfId="107" priority="119" operator="containsText" text="Suraj">
      <formula>NOT(ISERROR(SEARCH("Suraj",M20)))</formula>
    </cfRule>
    <cfRule type="containsText" dxfId="106" priority="120" operator="containsText" text="Alty">
      <formula>NOT(ISERROR(SEARCH("Alty",M20)))</formula>
    </cfRule>
    <cfRule type="containsText" dxfId="105" priority="121" operator="containsText" text="Santosh">
      <formula>NOT(ISERROR(SEARCH("Santosh",M20)))</formula>
    </cfRule>
    <cfRule type="containsText" dxfId="104" priority="122" operator="containsText" text="Sandip">
      <formula>NOT(ISERROR(SEARCH("Sandip",M20)))</formula>
    </cfRule>
    <cfRule type="containsText" dxfId="103" priority="123" operator="containsText" text="Faiyaz">
      <formula>NOT(ISERROR(SEARCH("Faiyaz",M20)))</formula>
    </cfRule>
    <cfRule type="containsText" dxfId="102" priority="124" operator="containsText" text="Atul">
      <formula>NOT(ISERROR(SEARCH("Atul",M20)))</formula>
    </cfRule>
    <cfRule type="containsText" dxfId="101" priority="125" operator="containsText" text="Vivek">
      <formula>NOT(ISERROR(SEARCH("Vivek",M20)))</formula>
    </cfRule>
  </conditionalFormatting>
  <conditionalFormatting sqref="M20:M24">
    <cfRule type="containsText" dxfId="100" priority="114" operator="containsText" text="Mansoor">
      <formula>NOT(ISERROR(SEARCH("Mansoor",M20)))</formula>
    </cfRule>
    <cfRule type="containsText" dxfId="99" priority="115" operator="containsText" text="Rahul">
      <formula>NOT(ISERROR(SEARCH("Rahul",M20)))</formula>
    </cfRule>
    <cfRule type="containsText" dxfId="98" priority="116" operator="containsText" text="Dhawal">
      <formula>NOT(ISERROR(SEARCH("Dhawal",M20)))</formula>
    </cfRule>
    <cfRule type="containsText" dxfId="97" priority="117" operator="containsText" text="Purvaiz">
      <formula>NOT(ISERROR(SEARCH("Purvaiz",M20)))</formula>
    </cfRule>
    <cfRule type="containsText" dxfId="96" priority="118" operator="containsText" text="Shiva">
      <formula>NOT(ISERROR(SEARCH("Shiva",M20)))</formula>
    </cfRule>
  </conditionalFormatting>
  <conditionalFormatting sqref="M25">
    <cfRule type="containsText" dxfId="95" priority="107" operator="containsText" text="Suraj">
      <formula>NOT(ISERROR(SEARCH("Suraj",M25)))</formula>
    </cfRule>
    <cfRule type="containsText" dxfId="94" priority="108" operator="containsText" text="Alty">
      <formula>NOT(ISERROR(SEARCH("Alty",M25)))</formula>
    </cfRule>
    <cfRule type="containsText" dxfId="93" priority="109" operator="containsText" text="Santosh">
      <formula>NOT(ISERROR(SEARCH("Santosh",M25)))</formula>
    </cfRule>
    <cfRule type="containsText" dxfId="92" priority="110" operator="containsText" text="Sandip">
      <formula>NOT(ISERROR(SEARCH("Sandip",M25)))</formula>
    </cfRule>
    <cfRule type="containsText" dxfId="91" priority="111" operator="containsText" text="Faiyaz">
      <formula>NOT(ISERROR(SEARCH("Faiyaz",M25)))</formula>
    </cfRule>
    <cfRule type="containsText" dxfId="90" priority="112" operator="containsText" text="Atul">
      <formula>NOT(ISERROR(SEARCH("Atul",M25)))</formula>
    </cfRule>
    <cfRule type="containsText" dxfId="89" priority="113" operator="containsText" text="Vivek">
      <formula>NOT(ISERROR(SEARCH("Vivek",M25)))</formula>
    </cfRule>
  </conditionalFormatting>
  <conditionalFormatting sqref="M25">
    <cfRule type="containsText" dxfId="88" priority="102" operator="containsText" text="Mansoor">
      <formula>NOT(ISERROR(SEARCH("Mansoor",M25)))</formula>
    </cfRule>
    <cfRule type="containsText" dxfId="87" priority="103" operator="containsText" text="Rahul">
      <formula>NOT(ISERROR(SEARCH("Rahul",M25)))</formula>
    </cfRule>
    <cfRule type="containsText" dxfId="86" priority="104" operator="containsText" text="Dhawal">
      <formula>NOT(ISERROR(SEARCH("Dhawal",M25)))</formula>
    </cfRule>
    <cfRule type="containsText" dxfId="85" priority="105" operator="containsText" text="Purvaiz">
      <formula>NOT(ISERROR(SEARCH("Purvaiz",M25)))</formula>
    </cfRule>
    <cfRule type="containsText" dxfId="84" priority="106" operator="containsText" text="Shiva">
      <formula>NOT(ISERROR(SEARCH("Shiva",M25)))</formula>
    </cfRule>
  </conditionalFormatting>
  <conditionalFormatting sqref="M20:M25">
    <cfRule type="containsText" dxfId="83" priority="101" operator="containsText" text="Rafay">
      <formula>NOT(ISERROR(SEARCH("Rafay",M20)))</formula>
    </cfRule>
  </conditionalFormatting>
  <conditionalFormatting sqref="L5:L19">
    <cfRule type="containsText" dxfId="82" priority="68" operator="containsText" text="Suraj">
      <formula>NOT(ISERROR(SEARCH("Suraj",L5)))</formula>
    </cfRule>
    <cfRule type="containsText" dxfId="81" priority="69" operator="containsText" text="Alty">
      <formula>NOT(ISERROR(SEARCH("Alty",L5)))</formula>
    </cfRule>
    <cfRule type="containsText" dxfId="80" priority="70" operator="containsText" text="Santosh">
      <formula>NOT(ISERROR(SEARCH("Santosh",L5)))</formula>
    </cfRule>
    <cfRule type="containsText" dxfId="79" priority="71" operator="containsText" text="Sandip">
      <formula>NOT(ISERROR(SEARCH("Sandip",L5)))</formula>
    </cfRule>
    <cfRule type="containsText" dxfId="78" priority="72" operator="containsText" text="Faiyaz">
      <formula>NOT(ISERROR(SEARCH("Faiyaz",L5)))</formula>
    </cfRule>
    <cfRule type="containsText" dxfId="77" priority="73" operator="containsText" text="Atul">
      <formula>NOT(ISERROR(SEARCH("Atul",L5)))</formula>
    </cfRule>
    <cfRule type="containsText" dxfId="76" priority="74" operator="containsText" text="Vivek">
      <formula>NOT(ISERROR(SEARCH("Vivek",L5)))</formula>
    </cfRule>
  </conditionalFormatting>
  <conditionalFormatting sqref="L5:L19">
    <cfRule type="containsText" dxfId="75" priority="63" operator="containsText" text="Mansoor">
      <formula>NOT(ISERROR(SEARCH("Mansoor",L5)))</formula>
    </cfRule>
    <cfRule type="containsText" dxfId="74" priority="64" operator="containsText" text="Rahul">
      <formula>NOT(ISERROR(SEARCH("Rahul",L5)))</formula>
    </cfRule>
    <cfRule type="containsText" dxfId="73" priority="65" operator="containsText" text="Dhawal">
      <formula>NOT(ISERROR(SEARCH("Dhawal",L5)))</formula>
    </cfRule>
    <cfRule type="containsText" dxfId="72" priority="66" operator="containsText" text="Purvaiz">
      <formula>NOT(ISERROR(SEARCH("Purvaiz",L5)))</formula>
    </cfRule>
    <cfRule type="containsText" dxfId="71" priority="67" operator="containsText" text="Shiva">
      <formula>NOT(ISERROR(SEARCH("Shiva",L5)))</formula>
    </cfRule>
  </conditionalFormatting>
  <conditionalFormatting sqref="L5">
    <cfRule type="containsText" dxfId="70" priority="56" operator="containsText" text="Suraj">
      <formula>NOT(ISERROR(SEARCH("Suraj",L5)))</formula>
    </cfRule>
    <cfRule type="containsText" dxfId="69" priority="57" operator="containsText" text="Alty">
      <formula>NOT(ISERROR(SEARCH("Alty",L5)))</formula>
    </cfRule>
    <cfRule type="containsText" dxfId="68" priority="58" operator="containsText" text="Santosh">
      <formula>NOT(ISERROR(SEARCH("Santosh",L5)))</formula>
    </cfRule>
    <cfRule type="containsText" dxfId="67" priority="59" operator="containsText" text="Sandip">
      <formula>NOT(ISERROR(SEARCH("Sandip",L5)))</formula>
    </cfRule>
    <cfRule type="containsText" dxfId="66" priority="60" operator="containsText" text="Faiyaz">
      <formula>NOT(ISERROR(SEARCH("Faiyaz",L5)))</formula>
    </cfRule>
    <cfRule type="containsText" dxfId="65" priority="61" operator="containsText" text="Atul">
      <formula>NOT(ISERROR(SEARCH("Atul",L5)))</formula>
    </cfRule>
    <cfRule type="containsText" dxfId="64" priority="62" operator="containsText" text="Vivek">
      <formula>NOT(ISERROR(SEARCH("Vivek",L5)))</formula>
    </cfRule>
  </conditionalFormatting>
  <conditionalFormatting sqref="L5">
    <cfRule type="containsText" dxfId="63" priority="51" operator="containsText" text="Mansoor">
      <formula>NOT(ISERROR(SEARCH("Mansoor",L5)))</formula>
    </cfRule>
    <cfRule type="containsText" dxfId="62" priority="52" operator="containsText" text="Rahul">
      <formula>NOT(ISERROR(SEARCH("Rahul",L5)))</formula>
    </cfRule>
    <cfRule type="containsText" dxfId="61" priority="53" operator="containsText" text="Dhawal">
      <formula>NOT(ISERROR(SEARCH("Dhawal",L5)))</formula>
    </cfRule>
    <cfRule type="containsText" dxfId="60" priority="54" operator="containsText" text="Purvaiz">
      <formula>NOT(ISERROR(SEARCH("Purvaiz",L5)))</formula>
    </cfRule>
    <cfRule type="containsText" dxfId="59" priority="55" operator="containsText" text="Shiva">
      <formula>NOT(ISERROR(SEARCH("Shiva",L5)))</formula>
    </cfRule>
  </conditionalFormatting>
  <conditionalFormatting sqref="L5:L19">
    <cfRule type="containsText" dxfId="58" priority="50" operator="containsText" text="Rafay">
      <formula>NOT(ISERROR(SEARCH("Rafay",L5)))</formula>
    </cfRule>
  </conditionalFormatting>
  <conditionalFormatting sqref="L5">
    <cfRule type="containsText" dxfId="57" priority="43" operator="containsText" text="Suraj">
      <formula>NOT(ISERROR(SEARCH("Suraj",L5)))</formula>
    </cfRule>
    <cfRule type="containsText" dxfId="56" priority="44" operator="containsText" text="Alty">
      <formula>NOT(ISERROR(SEARCH("Alty",L5)))</formula>
    </cfRule>
    <cfRule type="containsText" dxfId="55" priority="45" operator="containsText" text="Santosh">
      <formula>NOT(ISERROR(SEARCH("Santosh",L5)))</formula>
    </cfRule>
    <cfRule type="containsText" dxfId="54" priority="46" operator="containsText" text="Sandip">
      <formula>NOT(ISERROR(SEARCH("Sandip",L5)))</formula>
    </cfRule>
    <cfRule type="containsText" dxfId="53" priority="47" operator="containsText" text="Faiyaz">
      <formula>NOT(ISERROR(SEARCH("Faiyaz",L5)))</formula>
    </cfRule>
    <cfRule type="containsText" dxfId="52" priority="48" operator="containsText" text="Atul">
      <formula>NOT(ISERROR(SEARCH("Atul",L5)))</formula>
    </cfRule>
    <cfRule type="containsText" dxfId="51" priority="49" operator="containsText" text="Vivek">
      <formula>NOT(ISERROR(SEARCH("Vivek",L5)))</formula>
    </cfRule>
  </conditionalFormatting>
  <conditionalFormatting sqref="L5">
    <cfRule type="containsText" dxfId="50" priority="38" operator="containsText" text="Mansoor">
      <formula>NOT(ISERROR(SEARCH("Mansoor",L5)))</formula>
    </cfRule>
    <cfRule type="containsText" dxfId="49" priority="39" operator="containsText" text="Rahul">
      <formula>NOT(ISERROR(SEARCH("Rahul",L5)))</formula>
    </cfRule>
    <cfRule type="containsText" dxfId="48" priority="40" operator="containsText" text="Dhawal">
      <formula>NOT(ISERROR(SEARCH("Dhawal",L5)))</formula>
    </cfRule>
    <cfRule type="containsText" dxfId="47" priority="41" operator="containsText" text="Purvaiz">
      <formula>NOT(ISERROR(SEARCH("Purvaiz",L5)))</formula>
    </cfRule>
    <cfRule type="containsText" dxfId="46" priority="42" operator="containsText" text="Shiva">
      <formula>NOT(ISERROR(SEARCH("Shiva",L5)))</formula>
    </cfRule>
  </conditionalFormatting>
  <conditionalFormatting sqref="M5:M19">
    <cfRule type="containsText" dxfId="45" priority="31" operator="containsText" text="Suraj">
      <formula>NOT(ISERROR(SEARCH("Suraj",M5)))</formula>
    </cfRule>
    <cfRule type="containsText" dxfId="44" priority="32" operator="containsText" text="Alty">
      <formula>NOT(ISERROR(SEARCH("Alty",M5)))</formula>
    </cfRule>
    <cfRule type="containsText" dxfId="43" priority="33" operator="containsText" text="Santosh">
      <formula>NOT(ISERROR(SEARCH("Santosh",M5)))</formula>
    </cfRule>
    <cfRule type="containsText" dxfId="42" priority="34" operator="containsText" text="Sandip">
      <formula>NOT(ISERROR(SEARCH("Sandip",M5)))</formula>
    </cfRule>
    <cfRule type="containsText" dxfId="41" priority="35" operator="containsText" text="Faiyaz">
      <formula>NOT(ISERROR(SEARCH("Faiyaz",M5)))</formula>
    </cfRule>
    <cfRule type="containsText" dxfId="40" priority="36" operator="containsText" text="Atul">
      <formula>NOT(ISERROR(SEARCH("Atul",M5)))</formula>
    </cfRule>
    <cfRule type="containsText" dxfId="39" priority="37" operator="containsText" text="Vivek">
      <formula>NOT(ISERROR(SEARCH("Vivek",M5)))</formula>
    </cfRule>
  </conditionalFormatting>
  <conditionalFormatting sqref="M5:M19">
    <cfRule type="containsText" dxfId="38" priority="26" operator="containsText" text="Mansoor">
      <formula>NOT(ISERROR(SEARCH("Mansoor",M5)))</formula>
    </cfRule>
    <cfRule type="containsText" dxfId="37" priority="27" operator="containsText" text="Rahul">
      <formula>NOT(ISERROR(SEARCH("Rahul",M5)))</formula>
    </cfRule>
    <cfRule type="containsText" dxfId="36" priority="28" operator="containsText" text="Dhawal">
      <formula>NOT(ISERROR(SEARCH("Dhawal",M5)))</formula>
    </cfRule>
    <cfRule type="containsText" dxfId="35" priority="29" operator="containsText" text="Purvaiz">
      <formula>NOT(ISERROR(SEARCH("Purvaiz",M5)))</formula>
    </cfRule>
    <cfRule type="containsText" dxfId="34" priority="30" operator="containsText" text="Shiva">
      <formula>NOT(ISERROR(SEARCH("Shiva",M5)))</formula>
    </cfRule>
  </conditionalFormatting>
  <conditionalFormatting sqref="M5:M19">
    <cfRule type="containsText" dxfId="33" priority="25" operator="containsText" text="Rafay">
      <formula>NOT(ISERROR(SEARCH("Rafay",M5)))</formula>
    </cfRule>
  </conditionalFormatting>
  <conditionalFormatting sqref="M5:M19">
    <cfRule type="containsText" dxfId="32" priority="18" operator="containsText" text="Suraj">
      <formula>NOT(ISERROR(SEARCH("Suraj",M5)))</formula>
    </cfRule>
    <cfRule type="containsText" dxfId="31" priority="19" operator="containsText" text="Alty">
      <formula>NOT(ISERROR(SEARCH("Alty",M5)))</formula>
    </cfRule>
    <cfRule type="containsText" dxfId="30" priority="20" operator="containsText" text="Santosh">
      <formula>NOT(ISERROR(SEARCH("Santosh",M5)))</formula>
    </cfRule>
    <cfRule type="containsText" dxfId="29" priority="21" operator="containsText" text="Sandip">
      <formula>NOT(ISERROR(SEARCH("Sandip",M5)))</formula>
    </cfRule>
    <cfRule type="containsText" dxfId="28" priority="22" operator="containsText" text="Faiyaz">
      <formula>NOT(ISERROR(SEARCH("Faiyaz",M5)))</formula>
    </cfRule>
    <cfRule type="containsText" dxfId="27" priority="23" operator="containsText" text="Atul">
      <formula>NOT(ISERROR(SEARCH("Atul",M5)))</formula>
    </cfRule>
    <cfRule type="containsText" dxfId="26" priority="24" operator="containsText" text="Vivek">
      <formula>NOT(ISERROR(SEARCH("Vivek",M5)))</formula>
    </cfRule>
  </conditionalFormatting>
  <conditionalFormatting sqref="M5:M19">
    <cfRule type="containsText" dxfId="25" priority="13" operator="containsText" text="Mansoor">
      <formula>NOT(ISERROR(SEARCH("Mansoor",M5)))</formula>
    </cfRule>
    <cfRule type="containsText" dxfId="24" priority="14" operator="containsText" text="Rahul">
      <formula>NOT(ISERROR(SEARCH("Rahul",M5)))</formula>
    </cfRule>
    <cfRule type="containsText" dxfId="23" priority="15" operator="containsText" text="Dhawal">
      <formula>NOT(ISERROR(SEARCH("Dhawal",M5)))</formula>
    </cfRule>
    <cfRule type="containsText" dxfId="22" priority="16" operator="containsText" text="Purvaiz">
      <formula>NOT(ISERROR(SEARCH("Purvaiz",M5)))</formula>
    </cfRule>
    <cfRule type="containsText" dxfId="21" priority="17" operator="containsText" text="Shiva">
      <formula>NOT(ISERROR(SEARCH("Shiva",M5)))</formula>
    </cfRule>
  </conditionalFormatting>
  <conditionalFormatting sqref="M5:M19">
    <cfRule type="containsText" dxfId="20" priority="6" operator="containsText" text="Suraj">
      <formula>NOT(ISERROR(SEARCH("Suraj",M5)))</formula>
    </cfRule>
    <cfRule type="containsText" dxfId="19" priority="7" operator="containsText" text="Alty">
      <formula>NOT(ISERROR(SEARCH("Alty",M5)))</formula>
    </cfRule>
    <cfRule type="containsText" dxfId="18" priority="8" operator="containsText" text="Santosh">
      <formula>NOT(ISERROR(SEARCH("Santosh",M5)))</formula>
    </cfRule>
    <cfRule type="containsText" dxfId="17" priority="9" operator="containsText" text="Sandip">
      <formula>NOT(ISERROR(SEARCH("Sandip",M5)))</formula>
    </cfRule>
    <cfRule type="containsText" dxfId="16" priority="10" operator="containsText" text="Faiyaz">
      <formula>NOT(ISERROR(SEARCH("Faiyaz",M5)))</formula>
    </cfRule>
    <cfRule type="containsText" dxfId="15" priority="11" operator="containsText" text="Atul">
      <formula>NOT(ISERROR(SEARCH("Atul",M5)))</formula>
    </cfRule>
    <cfRule type="containsText" dxfId="14" priority="12" operator="containsText" text="Vivek">
      <formula>NOT(ISERROR(SEARCH("Vivek",M5)))</formula>
    </cfRule>
  </conditionalFormatting>
  <conditionalFormatting sqref="M5:M19">
    <cfRule type="containsText" dxfId="13" priority="1" operator="containsText" text="Mansoor">
      <formula>NOT(ISERROR(SEARCH("Mansoor",M5)))</formula>
    </cfRule>
    <cfRule type="containsText" dxfId="12" priority="2" operator="containsText" text="Rahul">
      <formula>NOT(ISERROR(SEARCH("Rahul",M5)))</formula>
    </cfRule>
    <cfRule type="containsText" dxfId="11" priority="3" operator="containsText" text="Dhawal">
      <formula>NOT(ISERROR(SEARCH("Dhawal",M5)))</formula>
    </cfRule>
    <cfRule type="containsText" dxfId="10" priority="4" operator="containsText" text="Purvaiz">
      <formula>NOT(ISERROR(SEARCH("Purvaiz",M5)))</formula>
    </cfRule>
    <cfRule type="containsText" dxfId="9" priority="5" operator="containsText" text="Shiva">
      <formula>NOT(ISERROR(SEARCH("Shiva",M5)))</formula>
    </cfRule>
  </conditionalFormatting>
  <dataValidations count="2">
    <dataValidation allowBlank="1" showDropDown="1" sqref="C5:C25 F5:F25"/>
    <dataValidation type="custom" allowBlank="1" showDropDown="1" sqref="B5:B25 I20:I25">
      <formula1>AND(ISNUMBER(B5),(NOT(OR(NOT(ISERROR(DATEVALUE(B5))), AND(ISNUMBER(B5), LEFT(CELL("format", B5))="D")))))</formula1>
    </dataValidation>
  </dataValidations>
  <pageMargins left="0.7" right="0.7" top="0.75" bottom="0.75" header="0" footer="0"/>
  <pageSetup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52"/>
      <c r="I9" s="53" t="s">
        <v>45</v>
      </c>
      <c r="J9" s="54"/>
      <c r="K9" s="49"/>
      <c r="L9" s="55" t="s">
        <v>25</v>
      </c>
    </row>
    <row r="10" spans="8:12" ht="20.25" x14ac:dyDescent="0.3">
      <c r="H10" s="56">
        <v>1</v>
      </c>
      <c r="I10" s="43" t="s">
        <v>33</v>
      </c>
      <c r="J10" s="57"/>
      <c r="K10" s="4">
        <v>15</v>
      </c>
      <c r="L10" s="58" t="s">
        <v>31</v>
      </c>
    </row>
    <row r="11" spans="8:12" ht="20.25" x14ac:dyDescent="0.3">
      <c r="H11" s="56">
        <v>2</v>
      </c>
      <c r="I11" s="43" t="s">
        <v>64</v>
      </c>
      <c r="J11" s="57"/>
      <c r="K11" s="4">
        <v>16</v>
      </c>
      <c r="L11" s="58" t="s">
        <v>35</v>
      </c>
    </row>
    <row r="12" spans="8:12" ht="20.25" x14ac:dyDescent="0.3">
      <c r="H12" s="56">
        <v>3</v>
      </c>
      <c r="I12" s="43" t="s">
        <v>65</v>
      </c>
      <c r="J12" s="57"/>
      <c r="K12" s="4">
        <v>17</v>
      </c>
      <c r="L12" s="58" t="s">
        <v>68</v>
      </c>
    </row>
    <row r="13" spans="8:12" ht="20.25" x14ac:dyDescent="0.3">
      <c r="H13" s="56">
        <v>4</v>
      </c>
      <c r="I13" s="43" t="s">
        <v>32</v>
      </c>
      <c r="J13" s="57"/>
      <c r="K13" s="4">
        <v>18</v>
      </c>
      <c r="L13" s="58" t="s">
        <v>39</v>
      </c>
    </row>
    <row r="14" spans="8:12" ht="20.25" x14ac:dyDescent="0.3">
      <c r="H14" s="56">
        <v>5</v>
      </c>
      <c r="I14" s="43" t="s">
        <v>34</v>
      </c>
      <c r="J14" s="57"/>
      <c r="K14" s="4">
        <v>19</v>
      </c>
      <c r="L14" s="58" t="s">
        <v>66</v>
      </c>
    </row>
    <row r="15" spans="8:12" ht="20.25" x14ac:dyDescent="0.3">
      <c r="H15" s="56">
        <v>6</v>
      </c>
      <c r="I15" s="43" t="s">
        <v>67</v>
      </c>
      <c r="J15" s="57"/>
      <c r="K15" s="4">
        <v>20</v>
      </c>
      <c r="L15" s="58" t="s">
        <v>71</v>
      </c>
    </row>
    <row r="16" spans="8:12" ht="20.25" x14ac:dyDescent="0.3">
      <c r="H16" s="56">
        <v>7</v>
      </c>
      <c r="I16" s="43" t="s">
        <v>29</v>
      </c>
      <c r="J16" s="57"/>
      <c r="K16" s="4">
        <v>21</v>
      </c>
      <c r="L16" s="58" t="s">
        <v>37</v>
      </c>
    </row>
    <row r="17" spans="8:12" ht="20.25" x14ac:dyDescent="0.3">
      <c r="H17" s="56">
        <v>8</v>
      </c>
      <c r="I17" s="43" t="s">
        <v>69</v>
      </c>
      <c r="J17" s="57"/>
      <c r="K17" s="4">
        <v>22</v>
      </c>
      <c r="L17" s="58" t="s">
        <v>28</v>
      </c>
    </row>
    <row r="18" spans="8:12" ht="20.25" x14ac:dyDescent="0.3">
      <c r="H18" s="56">
        <v>9</v>
      </c>
      <c r="I18" s="43" t="s">
        <v>30</v>
      </c>
      <c r="J18" s="57"/>
      <c r="K18" s="4">
        <v>23</v>
      </c>
      <c r="L18" s="59" t="s">
        <v>74</v>
      </c>
    </row>
    <row r="19" spans="8:12" ht="20.25" x14ac:dyDescent="0.3">
      <c r="H19" s="56">
        <v>10</v>
      </c>
      <c r="I19" s="43" t="s">
        <v>38</v>
      </c>
      <c r="J19" s="57"/>
      <c r="K19" s="4">
        <v>24</v>
      </c>
      <c r="L19" s="59" t="s">
        <v>70</v>
      </c>
    </row>
    <row r="20" spans="8:12" ht="20.25" x14ac:dyDescent="0.3">
      <c r="H20" s="56">
        <v>11</v>
      </c>
      <c r="I20" s="43" t="s">
        <v>72</v>
      </c>
      <c r="J20" s="57"/>
      <c r="K20" s="4">
        <v>25</v>
      </c>
      <c r="L20" s="58" t="s">
        <v>75</v>
      </c>
    </row>
    <row r="21" spans="8:12" ht="20.25" x14ac:dyDescent="0.3">
      <c r="H21" s="56">
        <v>12</v>
      </c>
      <c r="I21" s="43" t="s">
        <v>73</v>
      </c>
      <c r="J21" s="57"/>
      <c r="K21" s="4">
        <v>26</v>
      </c>
      <c r="L21" s="59" t="s">
        <v>41</v>
      </c>
    </row>
    <row r="22" spans="8:12" ht="20.25" x14ac:dyDescent="0.3">
      <c r="H22" s="56">
        <v>13</v>
      </c>
      <c r="I22" s="44" t="s">
        <v>40</v>
      </c>
      <c r="J22" s="57"/>
      <c r="K22" s="4">
        <v>27</v>
      </c>
      <c r="L22" s="59" t="s">
        <v>76</v>
      </c>
    </row>
    <row r="23" spans="8:12" ht="21" thickBot="1" x14ac:dyDescent="0.35">
      <c r="H23" s="60">
        <v>14</v>
      </c>
      <c r="I23" s="61" t="s">
        <v>77</v>
      </c>
      <c r="J23" s="62"/>
      <c r="K23" s="50">
        <v>28</v>
      </c>
      <c r="L23" s="63" t="s">
        <v>36</v>
      </c>
    </row>
  </sheetData>
  <sortState ref="F9:G23">
    <sortCondition ref="G9:G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Dates</vt:lpstr>
      <vt:lpstr>Pool A</vt:lpstr>
      <vt:lpstr>Pool B</vt:lpstr>
      <vt:lpstr>Pool A - Knockouts</vt:lpstr>
      <vt:lpstr>Pool B - Knockouts</vt:lpstr>
      <vt:lpstr>Schedule of Play</vt:lpstr>
      <vt:lpstr>Sheet2</vt:lpstr>
      <vt:lpstr>Dates!Criteria</vt:lpstr>
      <vt:lpstr>'Pool A'!POINTS_TABLE</vt:lpstr>
      <vt:lpstr>'Pool B'!POINTS_TABLE</vt:lpstr>
      <vt:lpstr>POOL_B</vt:lpstr>
      <vt:lpstr>'Pool A'!Print_Area</vt:lpstr>
      <vt:lpstr>'Pool B'!Print_Area</vt:lpstr>
      <vt:lpstr>'Pool A'!TEAMS_B</vt:lpstr>
      <vt:lpstr>'Pool B'!TEAMS_B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2026-06-22T21:45:18Z</dcterms:modified>
</cp:coreProperties>
</file>