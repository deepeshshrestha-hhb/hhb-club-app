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22393d3a424cfc66/badminton_club_app/tournaments/"/>
    </mc:Choice>
  </mc:AlternateContent>
  <xr:revisionPtr revIDLastSave="1" documentId="11_8D59C21404038A501558D848F125DC8CF433DC2A" xr6:coauthVersionLast="47" xr6:coauthVersionMax="47" xr10:uidLastSave="{B2D7F89A-C9F4-472E-AC01-2C9DCE07A57E}"/>
  <bookViews>
    <workbookView xWindow="-120" yWindow="-120" windowWidth="29040" windowHeight="15720" xr2:uid="{00000000-000D-0000-FFFF-FFFF00000000}"/>
  </bookViews>
  <sheets>
    <sheet name="Dates" sheetId="1" r:id="rId1"/>
    <sheet name="Group A" sheetId="2" r:id="rId2"/>
    <sheet name="Availability" sheetId="7" r:id="rId3"/>
    <sheet name="Group B" sheetId="6" r:id="rId4"/>
    <sheet name="Knockouts" sheetId="4" r:id="rId5"/>
  </sheets>
  <definedNames>
    <definedName name="_xlnm._FilterDatabase" localSheetId="1" hidden="1">'Group A'!$A$2:$G$23</definedName>
    <definedName name="_xlnm._FilterDatabase" localSheetId="3" hidden="1">'Group B'!$A$2:$G$23</definedName>
    <definedName name="POINTS_TABLE" localSheetId="3">'Group B'!$K$1:$R$8</definedName>
    <definedName name="POINTS_TABLE">'Group A'!$K$1:$R$8</definedName>
    <definedName name="_xlnm.Print_Area" localSheetId="1">'Group A'!$A$1:$G$23</definedName>
    <definedName name="_xlnm.Print_Area" localSheetId="3">'Group B'!$A$1:$G$23</definedName>
    <definedName name="TEAMS_A">'Group A'!$J$2:$K$8</definedName>
    <definedName name="TEAMS_B">'Group B'!$J$2:$K$8</definedName>
  </definedNames>
  <calcPr calcId="181029"/>
</workbook>
</file>

<file path=xl/calcChain.xml><?xml version="1.0" encoding="utf-8"?>
<calcChain xmlns="http://schemas.openxmlformats.org/spreadsheetml/2006/main">
  <c r="B21" i="4" l="1"/>
  <c r="J17" i="4" s="1"/>
  <c r="R21" i="4" s="1"/>
  <c r="B15" i="4"/>
  <c r="B9" i="4"/>
  <c r="B3" i="4"/>
  <c r="G6" i="7"/>
  <c r="G5" i="7"/>
  <c r="I5" i="7" s="1"/>
  <c r="G4" i="7"/>
  <c r="I4" i="7" s="1"/>
  <c r="G3" i="7"/>
  <c r="I3" i="7" s="1"/>
  <c r="G2" i="7"/>
  <c r="I2" i="7" s="1"/>
  <c r="G20" i="2" l="1"/>
  <c r="G4" i="2"/>
  <c r="G14" i="2"/>
  <c r="G6" i="2"/>
  <c r="G12" i="2"/>
  <c r="G23" i="2"/>
  <c r="G7" i="2"/>
  <c r="G22" i="2"/>
  <c r="G5" i="2"/>
  <c r="G21" i="2"/>
  <c r="G3" i="2"/>
  <c r="G11" i="2"/>
  <c r="G10" i="2"/>
  <c r="G17" i="2"/>
  <c r="G16" i="2"/>
  <c r="G9" i="2"/>
  <c r="G15" i="2"/>
  <c r="G18" i="2"/>
  <c r="G13" i="2"/>
  <c r="G19" i="2"/>
  <c r="G8" i="2"/>
  <c r="G4" i="6"/>
  <c r="G6" i="6"/>
  <c r="G19" i="6"/>
  <c r="G15" i="6"/>
  <c r="G20" i="6"/>
  <c r="G10" i="6"/>
  <c r="G8" i="6"/>
  <c r="G16" i="6"/>
  <c r="G22" i="6"/>
  <c r="G18" i="6"/>
  <c r="G12" i="6"/>
  <c r="G11" i="6"/>
  <c r="G14" i="6"/>
  <c r="G17" i="6"/>
  <c r="G13" i="6"/>
  <c r="G5" i="6"/>
  <c r="G9" i="6"/>
  <c r="G23" i="6"/>
  <c r="G21" i="6"/>
  <c r="G7" i="6"/>
  <c r="G3" i="6"/>
  <c r="G24" i="6"/>
  <c r="H23" i="6"/>
  <c r="H22" i="6"/>
  <c r="H21" i="6"/>
  <c r="H20" i="6"/>
  <c r="H19" i="6"/>
  <c r="H18" i="6"/>
  <c r="H17" i="6"/>
  <c r="H16" i="6"/>
  <c r="H15" i="6"/>
  <c r="H14" i="6"/>
  <c r="H13" i="6"/>
  <c r="H12" i="6"/>
  <c r="H11" i="6"/>
  <c r="S10" i="6"/>
  <c r="H10" i="6"/>
  <c r="H9" i="6"/>
  <c r="Q6" i="6"/>
  <c r="P6" i="6"/>
  <c r="L6" i="6"/>
  <c r="H8" i="6"/>
  <c r="Q4" i="6"/>
  <c r="P4" i="6"/>
  <c r="L4" i="6"/>
  <c r="H7" i="6"/>
  <c r="Q5" i="6"/>
  <c r="P5" i="6"/>
  <c r="L5" i="6"/>
  <c r="H6" i="6"/>
  <c r="Q2" i="6"/>
  <c r="P2" i="6"/>
  <c r="L2" i="6"/>
  <c r="H5" i="6"/>
  <c r="Q3" i="6"/>
  <c r="P3" i="6"/>
  <c r="L3" i="6"/>
  <c r="H4" i="6"/>
  <c r="Q8" i="6"/>
  <c r="P8" i="6"/>
  <c r="L8" i="6"/>
  <c r="H3" i="6"/>
  <c r="Q7" i="6"/>
  <c r="P7" i="6"/>
  <c r="L7" i="6"/>
  <c r="M7" i="6" l="1"/>
  <c r="O7" i="6" s="1"/>
  <c r="M11" i="6"/>
  <c r="S6" i="6"/>
  <c r="S3" i="6"/>
  <c r="S8" i="6"/>
  <c r="T8" i="6" s="1"/>
  <c r="R7" i="6"/>
  <c r="T10" i="6"/>
  <c r="S4" i="6"/>
  <c r="S5" i="6"/>
  <c r="R3" i="6"/>
  <c r="S2" i="6"/>
  <c r="R5" i="6"/>
  <c r="S7" i="6"/>
  <c r="T7" i="6" s="1"/>
  <c r="R6" i="6"/>
  <c r="S9" i="6"/>
  <c r="T9" i="6" s="1"/>
  <c r="R8" i="6"/>
  <c r="M3" i="6"/>
  <c r="O3" i="6" s="1"/>
  <c r="R2" i="6"/>
  <c r="M5" i="6"/>
  <c r="O5" i="6" s="1"/>
  <c r="R4" i="6"/>
  <c r="M6" i="6"/>
  <c r="O6" i="6" s="1"/>
  <c r="M8" i="6"/>
  <c r="O8" i="6" s="1"/>
  <c r="M2" i="6"/>
  <c r="O2" i="6" s="1"/>
  <c r="M4" i="6"/>
  <c r="O4" i="6" s="1"/>
  <c r="F4" i="1"/>
  <c r="F5" i="1" s="1"/>
  <c r="F6" i="1" s="1"/>
  <c r="F7" i="1" s="1"/>
  <c r="T5" i="6" l="1"/>
  <c r="T3" i="6"/>
  <c r="N7" i="6"/>
  <c r="T4" i="6"/>
  <c r="T2" i="6"/>
  <c r="T6" i="6"/>
  <c r="N2" i="6"/>
  <c r="N5" i="6"/>
  <c r="N4" i="6"/>
  <c r="N8" i="6"/>
  <c r="N6" i="6"/>
  <c r="N3" i="6"/>
  <c r="J5" i="4"/>
  <c r="R11" i="4" s="1"/>
  <c r="J27" i="4"/>
  <c r="R30" i="4" s="1"/>
  <c r="T12" i="6" l="1"/>
  <c r="H4" i="2"/>
  <c r="H5" i="2"/>
  <c r="H6" i="2"/>
  <c r="H7" i="2"/>
  <c r="H8" i="2"/>
  <c r="H9" i="2"/>
  <c r="H10" i="2"/>
  <c r="H11" i="2"/>
  <c r="H12" i="2"/>
  <c r="H13" i="2"/>
  <c r="H14" i="2"/>
  <c r="H15" i="2"/>
  <c r="H16" i="2"/>
  <c r="H17" i="2"/>
  <c r="H18" i="2"/>
  <c r="H19" i="2"/>
  <c r="H20" i="2"/>
  <c r="H21" i="2"/>
  <c r="H22" i="2"/>
  <c r="H23" i="2"/>
  <c r="H3" i="2"/>
  <c r="M11" i="2" l="1"/>
  <c r="Q4" i="2"/>
  <c r="P4" i="2"/>
  <c r="L4" i="2"/>
  <c r="Q7" i="2" l="1"/>
  <c r="Q6" i="2"/>
  <c r="Q5" i="2"/>
  <c r="Q2" i="2"/>
  <c r="Q3" i="2"/>
  <c r="Q8" i="2"/>
  <c r="P7" i="2"/>
  <c r="P6" i="2"/>
  <c r="P5" i="2"/>
  <c r="P2" i="2"/>
  <c r="P3" i="2"/>
  <c r="P8" i="2"/>
  <c r="L7" i="2"/>
  <c r="L6" i="2"/>
  <c r="L5" i="2"/>
  <c r="L2" i="2"/>
  <c r="L3" i="2"/>
  <c r="L8" i="2"/>
  <c r="R2" i="2" l="1"/>
  <c r="S9" i="2"/>
  <c r="T9" i="2" s="1"/>
  <c r="S2" i="2"/>
  <c r="S7" i="2"/>
  <c r="T7" i="2" s="1"/>
  <c r="S5" i="2"/>
  <c r="T5" i="2" s="1"/>
  <c r="S10" i="2"/>
  <c r="T10" i="2" s="1"/>
  <c r="S8" i="2"/>
  <c r="T8" i="2" s="1"/>
  <c r="S4" i="2"/>
  <c r="T4" i="2" s="1"/>
  <c r="S3" i="2"/>
  <c r="T3" i="2" s="1"/>
  <c r="S6" i="2"/>
  <c r="T6" i="2" s="1"/>
  <c r="T2" i="2"/>
  <c r="T12" i="2" l="1"/>
  <c r="G24" i="2"/>
  <c r="M4" i="2" l="1"/>
  <c r="O4" i="2" s="1"/>
  <c r="M6" i="2"/>
  <c r="M2" i="2"/>
  <c r="N2" i="2" s="1"/>
  <c r="M8" i="2"/>
  <c r="O8" i="2" s="1"/>
  <c r="M7" i="2"/>
  <c r="O7" i="2" s="1"/>
  <c r="M5" i="2"/>
  <c r="O5" i="2" s="1"/>
  <c r="M3" i="2"/>
  <c r="O3" i="2" s="1"/>
  <c r="R8" i="2"/>
  <c r="R6" i="2"/>
  <c r="R7" i="2"/>
  <c r="R5" i="2"/>
  <c r="R4" i="2"/>
  <c r="R3" i="2"/>
  <c r="N4" i="2" l="1"/>
  <c r="N5" i="2"/>
  <c r="O2" i="2"/>
  <c r="N7" i="2"/>
  <c r="N3" i="2"/>
  <c r="N8" i="2"/>
  <c r="O6" i="2"/>
  <c r="N6" i="2"/>
</calcChain>
</file>

<file path=xl/sharedStrings.xml><?xml version="1.0" encoding="utf-8"?>
<sst xmlns="http://schemas.openxmlformats.org/spreadsheetml/2006/main" count="246" uniqueCount="114">
  <si>
    <t>Kickoff</t>
  </si>
  <si>
    <t>Group Games finish by</t>
  </si>
  <si>
    <t>Score</t>
  </si>
  <si>
    <t>Winner</t>
  </si>
  <si>
    <t>Table</t>
  </si>
  <si>
    <t>Played</t>
  </si>
  <si>
    <t>Won</t>
  </si>
  <si>
    <t>Lost</t>
  </si>
  <si>
    <t>Points</t>
  </si>
  <si>
    <t>NPD</t>
  </si>
  <si>
    <t>PA</t>
  </si>
  <si>
    <t>PF</t>
  </si>
  <si>
    <t>Important Dates</t>
  </si>
  <si>
    <t>Date</t>
  </si>
  <si>
    <t>No.</t>
  </si>
  <si>
    <t>MATCHES COMPLETED</t>
  </si>
  <si>
    <t>Total</t>
  </si>
  <si>
    <t>Average</t>
  </si>
  <si>
    <t>Grp Avg</t>
  </si>
  <si>
    <t>Finals</t>
  </si>
  <si>
    <t>Midpoint Check</t>
  </si>
  <si>
    <t>Semi Finals</t>
  </si>
  <si>
    <t>Team 1</t>
  </si>
  <si>
    <t>Team 2</t>
  </si>
  <si>
    <t>Margin</t>
  </si>
  <si>
    <t>Set1</t>
  </si>
  <si>
    <t>Set2</t>
  </si>
  <si>
    <t>Set3</t>
  </si>
  <si>
    <t>Semi-Finalists</t>
  </si>
  <si>
    <t>Finalists</t>
  </si>
  <si>
    <t>Runner Up</t>
  </si>
  <si>
    <t>Third Place - Players</t>
  </si>
  <si>
    <t>Third</t>
  </si>
  <si>
    <t>Tousif</t>
  </si>
  <si>
    <t>Jalal</t>
  </si>
  <si>
    <t>Purveiz</t>
  </si>
  <si>
    <t>Rahul</t>
  </si>
  <si>
    <t>Vasu</t>
  </si>
  <si>
    <t>Shiju</t>
  </si>
  <si>
    <t>Nasim</t>
  </si>
  <si>
    <t>Sengole</t>
  </si>
  <si>
    <t>Asim</t>
  </si>
  <si>
    <t>Mansoor</t>
  </si>
  <si>
    <t>Usman</t>
  </si>
  <si>
    <t>Samir</t>
  </si>
  <si>
    <t>Iain</t>
  </si>
  <si>
    <t>Zaheer</t>
  </si>
  <si>
    <t>Altamash</t>
  </si>
  <si>
    <t>Santosh</t>
  </si>
  <si>
    <t>Kartik</t>
  </si>
  <si>
    <t>Faiyaz</t>
  </si>
  <si>
    <t>Rukhsar</t>
  </si>
  <si>
    <t>Deepak</t>
  </si>
  <si>
    <t>Nawaz</t>
  </si>
  <si>
    <t>Shoaib</t>
  </si>
  <si>
    <t>Deepesh</t>
  </si>
  <si>
    <t>Thomas</t>
  </si>
  <si>
    <t>Joe</t>
  </si>
  <si>
    <t>Vishal</t>
  </si>
  <si>
    <t>Sandip</t>
  </si>
  <si>
    <t>RULES</t>
  </si>
  <si>
    <t>Match will be scored on the normal basis of 21 points with a difference of 2 points after the 20-20 tie</t>
  </si>
  <si>
    <t xml:space="preserve">Winner gets 2 Match Points </t>
  </si>
  <si>
    <t>Top two teams from each group get to the semi-finals. Semis to be played as A1 vB2 and A2 vs B1</t>
  </si>
  <si>
    <t>If teams are tied on points during qualifying stages Net Score Difference will be taken into account, if NSD is also a tie than a tie breaker will be played 21 points between the tied teams</t>
  </si>
  <si>
    <t>Semis to be best of 3 normal 21 points</t>
  </si>
  <si>
    <t>Final best of 3 normal 21 points</t>
  </si>
  <si>
    <t>Games can be played during the week organised by the teams themselves.</t>
  </si>
  <si>
    <t>Teams when present must play all league games they can play without any reservations on that day if available</t>
  </si>
  <si>
    <t>Teams which miss any of the four Sundays due to one or both players being absent will get one negative point for each Sunday missed unless they have completed all their matches by 1st Dec</t>
  </si>
  <si>
    <t>If there are any matches not complete by 1st Dec neither team gets any points for it and each team gets 1 negative point for each game they couldn’t complete</t>
  </si>
  <si>
    <t>Pool  A</t>
  </si>
  <si>
    <t>Pool B</t>
  </si>
  <si>
    <t>14 teams will be divided into 2 groups A and B with both groups having 7 teams each.</t>
  </si>
  <si>
    <t>Each team will play all other teams in the group. (6 matches each, 21 + 21 = 42 Group matches in total)</t>
  </si>
  <si>
    <t>All qualifying games must finish by of before 1st December.</t>
  </si>
  <si>
    <t>Losing Semi-finalists will play best of 3 normal 21 point games for the 3rd position</t>
  </si>
  <si>
    <t>Kartik / Iain</t>
  </si>
  <si>
    <t>Thomas / Samir</t>
  </si>
  <si>
    <t>Vishal / Rahul</t>
  </si>
  <si>
    <t>Joe / Shiju</t>
  </si>
  <si>
    <t>Nawaz / Sengole</t>
  </si>
  <si>
    <t>Prasanna / Usman</t>
  </si>
  <si>
    <t>Prasanna</t>
  </si>
  <si>
    <t xml:space="preserve">Teams -  Group A </t>
  </si>
  <si>
    <t>Teams - Group  B</t>
  </si>
  <si>
    <t>Deepak / Vasu</t>
  </si>
  <si>
    <t>Altamash / Nasim</t>
  </si>
  <si>
    <t>Deepesh / Tousif</t>
  </si>
  <si>
    <t>Santosh / Asim</t>
  </si>
  <si>
    <t>Shoaib / Jalal</t>
  </si>
  <si>
    <t>Faiyaz / Purvaiz</t>
  </si>
  <si>
    <t>Rukhsar / Mansoor</t>
  </si>
  <si>
    <t>Sandip / Zaheer</t>
  </si>
  <si>
    <t>Group A - League Matches</t>
  </si>
  <si>
    <t>2 POINT DIFF MATCHES</t>
  </si>
  <si>
    <t>Group B - League Matches</t>
  </si>
  <si>
    <t>27th Oct</t>
  </si>
  <si>
    <t>3rd Nov</t>
  </si>
  <si>
    <t>10th Nov</t>
  </si>
  <si>
    <t>17th Nov</t>
  </si>
  <si>
    <t>1st Dec</t>
  </si>
  <si>
    <t>Available</t>
  </si>
  <si>
    <t>Total Unavailability Negative Points</t>
  </si>
  <si>
    <t>Incomplete Matches Negative Points</t>
  </si>
  <si>
    <t>Unavailable</t>
  </si>
  <si>
    <t>Total Negative</t>
  </si>
  <si>
    <t>Thomas/Samir</t>
  </si>
  <si>
    <t>A1</t>
  </si>
  <si>
    <t>B2</t>
  </si>
  <si>
    <t>A2</t>
  </si>
  <si>
    <t>B1</t>
  </si>
  <si>
    <t>FORFEIT</t>
  </si>
  <si>
    <t>HAGGIS &amp; HALEEM ANNUAL DOUBLES CLASSIC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</si>
</sst>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 ddd"/>
    <numFmt numFmtId="165" formatCode="0.0"/>
    <numFmt numFmtId="166" formatCode="ddd\,\ dd\-mmm\-yy"/>
  </numFmts>
  <fonts count="12" x14ac:knownFonts="1">
    <font>
      <sz val="10"/>
      <color theme="1"/>
      <name val="Arial"/>
      <family val="2"/>
    </font>
    <font>
      <sz val="16"/>
      <color theme="1"/>
      <name val="Arial"/>
      <family val="2"/>
    </font>
    <font>
      <b/>
      <sz val="16"/>
      <color theme="1"/>
      <name val="Arial"/>
      <family val="2"/>
    </font>
    <font>
      <b/>
      <sz val="10"/>
      <color theme="1"/>
      <name val="Arial"/>
      <family val="2"/>
    </font>
    <font>
      <sz val="11"/>
      <color theme="1"/>
      <name val="Arial"/>
      <family val="2"/>
    </font>
    <font>
      <b/>
      <sz val="12"/>
      <color theme="1"/>
      <name val="Arial"/>
      <family val="2"/>
    </font>
    <font>
      <b/>
      <sz val="14"/>
      <color theme="1"/>
      <name val="Arial"/>
      <family val="2"/>
    </font>
    <font>
      <b/>
      <sz val="18"/>
      <color theme="1"/>
      <name val="Arial"/>
      <family val="2"/>
    </font>
    <font>
      <b/>
      <sz val="26"/>
      <color theme="1"/>
      <name val="Arial"/>
      <family val="2"/>
    </font>
    <font>
      <b/>
      <sz val="20"/>
      <color theme="1"/>
      <name val="Arial"/>
      <family val="2"/>
    </font>
    <font>
      <sz val="12"/>
      <color theme="1"/>
      <name val="Arial"/>
      <family val="2"/>
    </font>
    <font>
      <sz val="14"/>
      <color theme="1"/>
      <name val="Arial"/>
      <family val="2"/>
    </font>
  </fonts>
  <fills count="14">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70C0"/>
        <bgColor indexed="64"/>
      </patternFill>
    </fill>
    <fill>
      <patternFill patternType="solid">
        <fgColor theme="5" tint="0.59999389629810485"/>
        <bgColor indexed="64"/>
      </patternFill>
    </fill>
    <fill>
      <patternFill patternType="solid">
        <fgColor theme="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1">
    <xf numFmtId="0" fontId="0" fillId="0" borderId="0"/>
  </cellStyleXfs>
  <cellXfs count="98">
    <xf numFmtId="0" fontId="0" fillId="0" borderId="0" xfId="0"/>
    <xf numFmtId="0" fontId="1" fillId="0" borderId="0" xfId="0" applyFont="1" applyAlignment="1">
      <alignment horizontal="left" indent="2"/>
    </xf>
    <xf numFmtId="0" fontId="1" fillId="0" borderId="1" xfId="0" applyFont="1" applyBorder="1"/>
    <xf numFmtId="0" fontId="1" fillId="0" borderId="1" xfId="0" applyFont="1" applyBorder="1" applyAlignment="1">
      <alignment horizontal="center"/>
    </xf>
    <xf numFmtId="0" fontId="0" fillId="0" borderId="0" xfId="0" applyAlignment="1">
      <alignment horizontal="center"/>
    </xf>
    <xf numFmtId="0" fontId="0" fillId="0" borderId="1" xfId="0" applyBorder="1"/>
    <xf numFmtId="0" fontId="1" fillId="2" borderId="0" xfId="0" applyFont="1" applyFill="1" applyAlignment="1">
      <alignment horizontal="left"/>
    </xf>
    <xf numFmtId="0" fontId="2" fillId="0" borderId="1" xfId="0" applyFont="1" applyBorder="1"/>
    <xf numFmtId="0" fontId="3" fillId="0" borderId="0" xfId="0" applyFont="1"/>
    <xf numFmtId="0" fontId="1" fillId="0" borderId="0" xfId="0" applyFont="1"/>
    <xf numFmtId="0" fontId="2" fillId="0" borderId="1" xfId="0" applyFont="1" applyBorder="1" applyAlignment="1">
      <alignment horizontal="center"/>
    </xf>
    <xf numFmtId="0" fontId="1" fillId="4" borderId="1" xfId="0" applyFont="1" applyFill="1" applyBorder="1"/>
    <xf numFmtId="0" fontId="1" fillId="4" borderId="1" xfId="0" applyFont="1" applyFill="1" applyBorder="1" applyAlignment="1">
      <alignment horizontal="center"/>
    </xf>
    <xf numFmtId="0" fontId="1" fillId="5" borderId="1" xfId="0" applyFont="1" applyFill="1" applyBorder="1" applyAlignment="1">
      <alignment horizontal="center"/>
    </xf>
    <xf numFmtId="0" fontId="1" fillId="6" borderId="1" xfId="0" applyFont="1" applyFill="1" applyBorder="1" applyAlignment="1">
      <alignment horizontal="center"/>
    </xf>
    <xf numFmtId="0" fontId="1" fillId="7" borderId="1" xfId="0" applyFont="1" applyFill="1" applyBorder="1"/>
    <xf numFmtId="0" fontId="1" fillId="7" borderId="1" xfId="0" applyFont="1" applyFill="1" applyBorder="1" applyAlignment="1">
      <alignment horizontal="center"/>
    </xf>
    <xf numFmtId="0" fontId="1" fillId="8" borderId="1" xfId="0" applyFont="1" applyFill="1" applyBorder="1" applyAlignment="1">
      <alignment horizontal="center"/>
    </xf>
    <xf numFmtId="164" fontId="1" fillId="8" borderId="1" xfId="0" applyNumberFormat="1" applyFont="1" applyFill="1" applyBorder="1"/>
    <xf numFmtId="164" fontId="1" fillId="4" borderId="1" xfId="0" applyNumberFormat="1" applyFont="1" applyFill="1" applyBorder="1"/>
    <xf numFmtId="164" fontId="1" fillId="5" borderId="1" xfId="0" applyNumberFormat="1" applyFont="1" applyFill="1" applyBorder="1"/>
    <xf numFmtId="164" fontId="1" fillId="6" borderId="1" xfId="0" applyNumberFormat="1" applyFont="1" applyFill="1" applyBorder="1"/>
    <xf numFmtId="164" fontId="1" fillId="7" borderId="1" xfId="0" applyNumberFormat="1" applyFont="1" applyFill="1" applyBorder="1"/>
    <xf numFmtId="0" fontId="1" fillId="9" borderId="1" xfId="0" applyFont="1" applyFill="1" applyBorder="1"/>
    <xf numFmtId="0" fontId="1" fillId="9" borderId="1" xfId="0" applyFont="1" applyFill="1" applyBorder="1" applyAlignment="1">
      <alignment horizontal="center"/>
    </xf>
    <xf numFmtId="0" fontId="1" fillId="9" borderId="3" xfId="0" applyFont="1" applyFill="1" applyBorder="1" applyAlignment="1">
      <alignment horizontal="center"/>
    </xf>
    <xf numFmtId="164" fontId="1" fillId="10" borderId="1" xfId="0" applyNumberFormat="1" applyFont="1" applyFill="1" applyBorder="1"/>
    <xf numFmtId="0" fontId="1" fillId="10" borderId="1" xfId="0" applyFont="1" applyFill="1" applyBorder="1" applyAlignment="1">
      <alignment horizontal="center"/>
    </xf>
    <xf numFmtId="0" fontId="2" fillId="0" borderId="5" xfId="0" applyFont="1" applyBorder="1"/>
    <xf numFmtId="165" fontId="1" fillId="0" borderId="1" xfId="0" applyNumberFormat="1" applyFont="1" applyBorder="1" applyAlignment="1">
      <alignment horizontal="center"/>
    </xf>
    <xf numFmtId="165" fontId="1" fillId="0" borderId="1" xfId="0" applyNumberFormat="1" applyFont="1" applyBorder="1"/>
    <xf numFmtId="164" fontId="1" fillId="2" borderId="1" xfId="0" applyNumberFormat="1" applyFont="1" applyFill="1" applyBorder="1"/>
    <xf numFmtId="0" fontId="4" fillId="0" borderId="5" xfId="0" applyFont="1" applyBorder="1" applyAlignment="1">
      <alignment horizontal="center"/>
    </xf>
    <xf numFmtId="0" fontId="0" fillId="11" borderId="0" xfId="0" applyFill="1"/>
    <xf numFmtId="0" fontId="0" fillId="3" borderId="0" xfId="0" applyFill="1"/>
    <xf numFmtId="166" fontId="3" fillId="0" borderId="12" xfId="0" applyNumberFormat="1" applyFont="1" applyBorder="1" applyAlignment="1">
      <alignment horizontal="center"/>
    </xf>
    <xf numFmtId="0" fontId="7" fillId="0" borderId="0" xfId="0" applyFont="1"/>
    <xf numFmtId="0" fontId="0" fillId="12" borderId="0" xfId="0" applyFill="1"/>
    <xf numFmtId="0" fontId="1" fillId="0" borderId="4" xfId="0" applyFont="1" applyBorder="1" applyAlignment="1">
      <alignment horizontal="center"/>
    </xf>
    <xf numFmtId="0" fontId="1" fillId="0" borderId="3" xfId="0" applyFont="1" applyBorder="1" applyAlignment="1">
      <alignment horizontal="center"/>
    </xf>
    <xf numFmtId="0" fontId="10" fillId="0" borderId="1" xfId="0" applyFont="1" applyBorder="1" applyAlignment="1">
      <alignment horizontal="left" indent="2"/>
    </xf>
    <xf numFmtId="0" fontId="10" fillId="0" borderId="1" xfId="0" applyFont="1" applyBorder="1" applyAlignment="1">
      <alignment horizontal="left" wrapText="1" indent="2"/>
    </xf>
    <xf numFmtId="0" fontId="10" fillId="0" borderId="3" xfId="0" applyFont="1" applyBorder="1" applyAlignment="1">
      <alignment horizontal="left" indent="2"/>
    </xf>
    <xf numFmtId="0" fontId="2" fillId="0" borderId="0" xfId="0" applyFont="1"/>
    <xf numFmtId="0" fontId="11" fillId="0" borderId="1" xfId="0" applyFont="1" applyBorder="1"/>
    <xf numFmtId="0" fontId="6" fillId="0" borderId="1" xfId="0" applyFont="1" applyBorder="1" applyAlignment="1">
      <alignment horizontal="left"/>
    </xf>
    <xf numFmtId="0" fontId="6" fillId="2" borderId="0" xfId="0" applyFont="1" applyFill="1" applyAlignment="1">
      <alignment horizontal="left"/>
    </xf>
    <xf numFmtId="0" fontId="11" fillId="2" borderId="0" xfId="0" applyFont="1" applyFill="1" applyAlignment="1">
      <alignment horizontal="left"/>
    </xf>
    <xf numFmtId="164" fontId="6" fillId="0" borderId="1" xfId="0" applyNumberFormat="1" applyFont="1" applyBorder="1" applyAlignment="1">
      <alignment horizontal="left"/>
    </xf>
    <xf numFmtId="0" fontId="11" fillId="0" borderId="0" xfId="0" applyFont="1" applyAlignment="1">
      <alignment horizontal="left"/>
    </xf>
    <xf numFmtId="0" fontId="11" fillId="0" borderId="0" xfId="0" applyFont="1" applyAlignment="1">
      <alignment horizontal="left" indent="2"/>
    </xf>
    <xf numFmtId="0" fontId="1" fillId="13" borderId="0" xfId="0" applyFont="1" applyFill="1" applyAlignment="1">
      <alignment horizontal="left"/>
    </xf>
    <xf numFmtId="0" fontId="5" fillId="0" borderId="1" xfId="0" applyFont="1" applyBorder="1"/>
    <xf numFmtId="0" fontId="10" fillId="2" borderId="0" xfId="0" applyFont="1" applyFill="1" applyAlignment="1">
      <alignment horizontal="left"/>
    </xf>
    <xf numFmtId="0" fontId="6" fillId="0" borderId="1" xfId="0" applyFont="1" applyBorder="1" applyAlignment="1">
      <alignment horizontal="left" wrapText="1"/>
    </xf>
    <xf numFmtId="0" fontId="6" fillId="0" borderId="1" xfId="0" applyFont="1" applyBorder="1"/>
    <xf numFmtId="0" fontId="1" fillId="8" borderId="3" xfId="0" applyFont="1" applyFill="1" applyBorder="1" applyAlignment="1">
      <alignment horizontal="center"/>
    </xf>
    <xf numFmtId="0" fontId="2" fillId="0" borderId="2" xfId="0" applyFont="1" applyBorder="1"/>
    <xf numFmtId="0" fontId="2" fillId="0" borderId="4" xfId="0" applyFont="1" applyBorder="1"/>
    <xf numFmtId="0" fontId="2" fillId="0" borderId="3" xfId="0" applyFont="1" applyBorder="1"/>
    <xf numFmtId="0" fontId="1" fillId="5" borderId="3" xfId="0" applyFont="1" applyFill="1" applyBorder="1" applyAlignment="1">
      <alignment horizontal="center"/>
    </xf>
    <xf numFmtId="0" fontId="6" fillId="0" borderId="1" xfId="0" applyFont="1" applyBorder="1" applyAlignment="1">
      <alignment horizontal="center" wrapText="1"/>
    </xf>
    <xf numFmtId="0" fontId="11" fillId="0" borderId="1" xfId="0" applyFont="1" applyBorder="1" applyAlignment="1">
      <alignment horizontal="center"/>
    </xf>
    <xf numFmtId="0" fontId="6" fillId="0" borderId="1" xfId="0" applyFont="1" applyBorder="1" applyAlignment="1">
      <alignment horizontal="center"/>
    </xf>
    <xf numFmtId="0" fontId="2" fillId="0" borderId="0" xfId="0" applyFont="1" applyAlignment="1">
      <alignment horizontal="left"/>
    </xf>
    <xf numFmtId="0" fontId="2" fillId="0" borderId="1" xfId="0" applyFont="1" applyBorder="1" applyAlignment="1">
      <alignment horizontal="left"/>
    </xf>
    <xf numFmtId="0" fontId="1" fillId="0" borderId="2" xfId="0" applyFont="1" applyBorder="1" applyAlignment="1">
      <alignment horizontal="center"/>
    </xf>
    <xf numFmtId="0" fontId="1" fillId="0" borderId="4" xfId="0" applyFont="1" applyBorder="1" applyAlignment="1">
      <alignment horizontal="center"/>
    </xf>
    <xf numFmtId="0" fontId="1" fillId="0" borderId="3" xfId="0" applyFont="1" applyBorder="1" applyAlignment="1">
      <alignment horizontal="center"/>
    </xf>
    <xf numFmtId="0" fontId="1" fillId="0" borderId="1" xfId="0" applyFont="1" applyBorder="1" applyAlignment="1">
      <alignment horizontal="center"/>
    </xf>
    <xf numFmtId="0" fontId="2" fillId="0" borderId="2" xfId="0" applyFont="1" applyBorder="1" applyAlignment="1">
      <alignment horizontal="center"/>
    </xf>
    <xf numFmtId="0" fontId="2" fillId="0" borderId="4" xfId="0" applyFont="1" applyBorder="1" applyAlignment="1">
      <alignment horizontal="center"/>
    </xf>
    <xf numFmtId="0" fontId="2" fillId="0" borderId="3" xfId="0" applyFont="1" applyBorder="1" applyAlignment="1">
      <alignment horizontal="center"/>
    </xf>
    <xf numFmtId="0" fontId="5" fillId="0" borderId="6" xfId="0" applyFont="1" applyBorder="1" applyAlignment="1">
      <alignment horizontal="center" vertical="center"/>
    </xf>
    <xf numFmtId="0" fontId="5" fillId="0" borderId="10" xfId="0" applyFont="1" applyBorder="1" applyAlignment="1">
      <alignment horizontal="center" vertical="center"/>
    </xf>
    <xf numFmtId="0" fontId="5" fillId="0" borderId="7" xfId="0" applyFont="1" applyBorder="1" applyAlignment="1">
      <alignment horizontal="center" vertical="center"/>
    </xf>
    <xf numFmtId="0" fontId="0" fillId="0" borderId="6" xfId="0" applyBorder="1" applyAlignment="1">
      <alignment horizontal="center"/>
    </xf>
    <xf numFmtId="0" fontId="0" fillId="0" borderId="10" xfId="0" applyBorder="1" applyAlignment="1">
      <alignment horizontal="center"/>
    </xf>
    <xf numFmtId="0" fontId="0" fillId="0" borderId="7" xfId="0" applyBorder="1" applyAlignment="1">
      <alignment horizontal="center"/>
    </xf>
    <xf numFmtId="0" fontId="5" fillId="0" borderId="15" xfId="0" applyFont="1" applyBorder="1" applyAlignment="1">
      <alignment horizontal="center"/>
    </xf>
    <xf numFmtId="0" fontId="5" fillId="0" borderId="16" xfId="0" applyFont="1" applyBorder="1" applyAlignment="1">
      <alignment horizontal="center"/>
    </xf>
    <xf numFmtId="0" fontId="5" fillId="0" borderId="17" xfId="0" applyFont="1" applyBorder="1" applyAlignment="1">
      <alignment horizontal="center"/>
    </xf>
    <xf numFmtId="0" fontId="0" fillId="0" borderId="6" xfId="0" applyBorder="1" applyAlignment="1">
      <alignment horizontal="center" vertical="center"/>
    </xf>
    <xf numFmtId="0" fontId="0" fillId="0" borderId="10" xfId="0" applyBorder="1" applyAlignment="1">
      <alignment horizontal="center" vertical="center"/>
    </xf>
    <xf numFmtId="0" fontId="0" fillId="0" borderId="7" xfId="0" applyBorder="1" applyAlignment="1">
      <alignment horizontal="center" vertic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1" xfId="0" applyFont="1" applyBorder="1" applyAlignment="1">
      <alignment horizontal="center"/>
    </xf>
    <xf numFmtId="0" fontId="6" fillId="0" borderId="1" xfId="0" applyFont="1" applyBorder="1" applyAlignment="1">
      <alignment horizontal="center" wrapText="1"/>
    </xf>
    <xf numFmtId="0" fontId="8" fillId="0" borderId="13" xfId="0" applyFont="1" applyBorder="1" applyAlignment="1">
      <alignment horizontal="center" vertical="center" wrapText="1"/>
    </xf>
    <xf numFmtId="0" fontId="8" fillId="0" borderId="5" xfId="0" applyFont="1" applyBorder="1" applyAlignment="1">
      <alignment horizontal="center" vertical="center" wrapText="1"/>
    </xf>
    <xf numFmtId="0" fontId="8" fillId="0" borderId="14" xfId="0" applyFont="1" applyBorder="1" applyAlignment="1">
      <alignment horizontal="center" vertical="center" wrapText="1"/>
    </xf>
    <xf numFmtId="0" fontId="9" fillId="0" borderId="13" xfId="0" applyFont="1" applyBorder="1" applyAlignment="1">
      <alignment horizontal="center" vertical="center"/>
    </xf>
    <xf numFmtId="0" fontId="9" fillId="0" borderId="5" xfId="0" applyFont="1" applyBorder="1" applyAlignment="1">
      <alignment horizontal="center" vertical="center"/>
    </xf>
    <xf numFmtId="0" fontId="9" fillId="0" borderId="14" xfId="0" applyFont="1" applyBorder="1" applyAlignment="1">
      <alignment horizontal="center" vertical="center"/>
    </xf>
    <xf numFmtId="0" fontId="2" fillId="0" borderId="13" xfId="0" applyFont="1" applyBorder="1" applyAlignment="1">
      <alignment horizontal="center" vertical="center"/>
    </xf>
    <xf numFmtId="0" fontId="2" fillId="0" borderId="5" xfId="0" applyFont="1" applyBorder="1" applyAlignment="1">
      <alignment horizontal="center" vertical="center"/>
    </xf>
    <xf numFmtId="0" fontId="2" fillId="0" borderId="14" xfId="0" applyFont="1" applyBorder="1" applyAlignment="1">
      <alignment horizontal="center" vertical="center"/>
    </xf>
  </cellXfs>
  <cellStyles count="1">
    <cellStyle name="Normal" xfId="0" builtinId="0"/>
  </cellStyles>
  <dxfs count="10">
    <dxf>
      <font>
        <b/>
        <i val="0"/>
      </font>
      <fill>
        <patternFill>
          <bgColor theme="8" tint="0.39994506668294322"/>
        </patternFill>
      </fill>
    </dxf>
    <dxf>
      <font>
        <b/>
        <i val="0"/>
      </font>
      <fill>
        <patternFill>
          <bgColor theme="8" tint="0.39994506668294322"/>
        </patternFill>
      </fill>
    </dxf>
    <dxf>
      <font>
        <b/>
        <i val="0"/>
      </font>
      <fill>
        <patternFill>
          <bgColor theme="8" tint="0.39994506668294322"/>
        </patternFill>
      </fill>
    </dxf>
    <dxf>
      <font>
        <b/>
        <i val="0"/>
      </font>
      <fill>
        <patternFill>
          <bgColor theme="8" tint="0.39994506668294322"/>
        </patternFill>
      </fill>
    </dxf>
    <dxf>
      <font>
        <color rgb="FF006100"/>
      </font>
      <fill>
        <patternFill>
          <bgColor rgb="FFC6EFCE"/>
        </patternFill>
      </fill>
    </dxf>
    <dxf>
      <font>
        <color rgb="FF9C0006"/>
      </font>
      <fill>
        <patternFill>
          <bgColor rgb="FFFFC7CE"/>
        </patternFill>
      </fill>
    </dxf>
    <dxf>
      <font>
        <b/>
        <i val="0"/>
      </font>
      <fill>
        <patternFill>
          <bgColor theme="8" tint="0.39994506668294322"/>
        </patternFill>
      </fill>
    </dxf>
    <dxf>
      <font>
        <b/>
        <i val="0"/>
      </font>
      <fill>
        <patternFill>
          <bgColor theme="8" tint="0.39994506668294322"/>
        </patternFill>
      </fill>
    </dxf>
    <dxf>
      <font>
        <b/>
        <i val="0"/>
      </font>
      <fill>
        <patternFill>
          <bgColor theme="8" tint="0.39994506668294322"/>
        </patternFill>
      </fill>
    </dxf>
    <dxf>
      <font>
        <b/>
        <i val="0"/>
      </font>
      <fill>
        <patternFill>
          <bgColor theme="8" tint="0.39994506668294322"/>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6"/>
  <sheetViews>
    <sheetView tabSelected="1" workbookViewId="0">
      <selection activeCell="B2" sqref="B2"/>
    </sheetView>
  </sheetViews>
  <sheetFormatPr defaultRowHeight="20.25" x14ac:dyDescent="0.3"/>
  <cols>
    <col min="1" max="1" width="4.7109375" style="9" bestFit="1" customWidth="1"/>
    <col min="2" max="2" width="24.140625" style="1" customWidth="1"/>
    <col min="3" max="3" width="4.42578125" style="1" customWidth="1"/>
    <col min="4" max="4" width="26.85546875" style="1" customWidth="1"/>
    <col min="5" max="5" width="35.140625" style="1" bestFit="1" customWidth="1"/>
    <col min="6" max="6" width="19.140625" style="1" bestFit="1" customWidth="1"/>
    <col min="7" max="7" width="7.28515625" style="1" bestFit="1" customWidth="1"/>
    <col min="8" max="8" width="119" style="1" customWidth="1"/>
    <col min="9" max="9" width="21.5703125" style="1" customWidth="1"/>
    <col min="10" max="10" width="21.85546875" style="1" bestFit="1" customWidth="1"/>
    <col min="11" max="16384" width="9.140625" style="1"/>
  </cols>
  <sheetData>
    <row r="1" spans="1:9" x14ac:dyDescent="0.3">
      <c r="B1" s="64" t="s">
        <v>113</v>
      </c>
      <c r="C1" s="64"/>
      <c r="D1" s="64"/>
      <c r="E1" s="64"/>
      <c r="F1" s="64"/>
      <c r="G1" s="64"/>
    </row>
    <row r="2" spans="1:9" ht="36.75" x14ac:dyDescent="0.3">
      <c r="A2" s="44"/>
      <c r="B2" s="54" t="s">
        <v>84</v>
      </c>
      <c r="C2" s="46"/>
      <c r="D2" s="54" t="s">
        <v>85</v>
      </c>
      <c r="E2" s="63" t="s">
        <v>12</v>
      </c>
      <c r="F2" s="63"/>
      <c r="G2" s="65" t="s">
        <v>60</v>
      </c>
      <c r="H2" s="65"/>
      <c r="I2" s="43"/>
    </row>
    <row r="3" spans="1:9" x14ac:dyDescent="0.3">
      <c r="A3" s="44">
        <v>1</v>
      </c>
      <c r="B3" s="44" t="s">
        <v>77</v>
      </c>
      <c r="C3" s="47"/>
      <c r="D3" s="44" t="s">
        <v>87</v>
      </c>
      <c r="E3" s="45" t="s">
        <v>0</v>
      </c>
      <c r="F3" s="48">
        <v>43765</v>
      </c>
      <c r="G3" s="42">
        <v>1</v>
      </c>
      <c r="H3" s="41" t="s">
        <v>73</v>
      </c>
    </row>
    <row r="4" spans="1:9" x14ac:dyDescent="0.3">
      <c r="A4" s="44">
        <v>2</v>
      </c>
      <c r="B4" s="44" t="s">
        <v>78</v>
      </c>
      <c r="C4" s="47"/>
      <c r="D4" s="44" t="s">
        <v>88</v>
      </c>
      <c r="E4" s="45" t="s">
        <v>20</v>
      </c>
      <c r="F4" s="48">
        <f>F3+(3*7)</f>
        <v>43786</v>
      </c>
      <c r="G4" s="42">
        <v>2</v>
      </c>
      <c r="H4" s="41" t="s">
        <v>74</v>
      </c>
    </row>
    <row r="5" spans="1:9" x14ac:dyDescent="0.3">
      <c r="A5" s="44">
        <v>3</v>
      </c>
      <c r="B5" s="44" t="s">
        <v>79</v>
      </c>
      <c r="C5" s="47"/>
      <c r="D5" s="44" t="s">
        <v>89</v>
      </c>
      <c r="E5" s="45" t="s">
        <v>1</v>
      </c>
      <c r="F5" s="48">
        <f>F4+(7*2)</f>
        <v>43800</v>
      </c>
      <c r="G5" s="42">
        <v>3</v>
      </c>
      <c r="H5" s="41" t="s">
        <v>61</v>
      </c>
    </row>
    <row r="6" spans="1:9" x14ac:dyDescent="0.3">
      <c r="A6" s="44">
        <v>4</v>
      </c>
      <c r="B6" s="44" t="s">
        <v>80</v>
      </c>
      <c r="C6" s="47"/>
      <c r="D6" s="44" t="s">
        <v>90</v>
      </c>
      <c r="E6" s="45" t="s">
        <v>21</v>
      </c>
      <c r="F6" s="48">
        <f>F5+7</f>
        <v>43807</v>
      </c>
      <c r="G6" s="42">
        <v>4</v>
      </c>
      <c r="H6" s="41" t="s">
        <v>62</v>
      </c>
    </row>
    <row r="7" spans="1:9" x14ac:dyDescent="0.3">
      <c r="A7" s="44">
        <v>5</v>
      </c>
      <c r="B7" s="44" t="s">
        <v>81</v>
      </c>
      <c r="C7" s="47"/>
      <c r="D7" s="44" t="s">
        <v>91</v>
      </c>
      <c r="E7" s="45" t="s">
        <v>19</v>
      </c>
      <c r="F7" s="48">
        <f>F6+7</f>
        <v>43814</v>
      </c>
      <c r="G7" s="42">
        <v>5</v>
      </c>
      <c r="H7" s="41" t="s">
        <v>63</v>
      </c>
    </row>
    <row r="8" spans="1:9" ht="31.5" x14ac:dyDescent="0.3">
      <c r="A8" s="44">
        <v>6</v>
      </c>
      <c r="B8" s="44" t="s">
        <v>82</v>
      </c>
      <c r="C8" s="47"/>
      <c r="D8" s="44" t="s">
        <v>92</v>
      </c>
      <c r="E8" s="49"/>
      <c r="F8" s="49"/>
      <c r="G8" s="40">
        <v>6</v>
      </c>
      <c r="H8" s="41" t="s">
        <v>64</v>
      </c>
    </row>
    <row r="9" spans="1:9" x14ac:dyDescent="0.3">
      <c r="A9" s="44">
        <v>7</v>
      </c>
      <c r="B9" s="44" t="s">
        <v>86</v>
      </c>
      <c r="C9" s="47"/>
      <c r="D9" s="44" t="s">
        <v>93</v>
      </c>
      <c r="E9" s="49"/>
      <c r="F9" s="49"/>
      <c r="G9" s="40">
        <v>7</v>
      </c>
      <c r="H9" s="41" t="s">
        <v>65</v>
      </c>
    </row>
    <row r="10" spans="1:9" x14ac:dyDescent="0.3">
      <c r="E10" s="49"/>
      <c r="F10" s="49"/>
      <c r="G10" s="40">
        <v>8</v>
      </c>
      <c r="H10" s="41" t="s">
        <v>66</v>
      </c>
    </row>
    <row r="11" spans="1:9" x14ac:dyDescent="0.3">
      <c r="A11" s="5"/>
      <c r="B11" s="52" t="s">
        <v>71</v>
      </c>
      <c r="C11" s="53"/>
      <c r="D11" s="52" t="s">
        <v>72</v>
      </c>
      <c r="E11" s="50"/>
      <c r="F11" s="50"/>
      <c r="G11" s="40">
        <v>9</v>
      </c>
      <c r="H11" s="41" t="s">
        <v>76</v>
      </c>
    </row>
    <row r="12" spans="1:9" x14ac:dyDescent="0.3">
      <c r="A12" s="5">
        <v>1</v>
      </c>
      <c r="B12" s="5" t="s">
        <v>47</v>
      </c>
      <c r="C12" s="6"/>
      <c r="D12" s="5" t="s">
        <v>33</v>
      </c>
      <c r="E12" s="50"/>
      <c r="F12" s="50"/>
      <c r="G12" s="40">
        <v>10</v>
      </c>
      <c r="H12" s="41" t="s">
        <v>75</v>
      </c>
    </row>
    <row r="13" spans="1:9" x14ac:dyDescent="0.3">
      <c r="A13" s="5">
        <v>2</v>
      </c>
      <c r="B13" s="5" t="s">
        <v>48</v>
      </c>
      <c r="C13" s="6"/>
      <c r="D13" s="5" t="s">
        <v>34</v>
      </c>
      <c r="E13" s="50"/>
      <c r="F13" s="50"/>
      <c r="G13" s="40">
        <v>11</v>
      </c>
      <c r="H13" s="41" t="s">
        <v>67</v>
      </c>
    </row>
    <row r="14" spans="1:9" ht="31.5" x14ac:dyDescent="0.3">
      <c r="A14" s="5">
        <v>3</v>
      </c>
      <c r="B14" s="5" t="s">
        <v>49</v>
      </c>
      <c r="C14" s="6"/>
      <c r="D14" s="5" t="s">
        <v>35</v>
      </c>
      <c r="E14" s="50"/>
      <c r="F14" s="50"/>
      <c r="G14" s="40">
        <v>12</v>
      </c>
      <c r="H14" s="41" t="s">
        <v>69</v>
      </c>
    </row>
    <row r="15" spans="1:9" ht="21" customHeight="1" x14ac:dyDescent="0.3">
      <c r="A15" s="5">
        <v>4</v>
      </c>
      <c r="B15" s="5" t="s">
        <v>50</v>
      </c>
      <c r="C15" s="6"/>
      <c r="D15" s="5" t="s">
        <v>36</v>
      </c>
      <c r="E15" s="50"/>
      <c r="F15" s="50"/>
      <c r="G15" s="40">
        <v>13</v>
      </c>
      <c r="H15" s="41" t="s">
        <v>68</v>
      </c>
    </row>
    <row r="16" spans="1:9" ht="31.5" x14ac:dyDescent="0.3">
      <c r="A16" s="5">
        <v>5</v>
      </c>
      <c r="B16" s="5" t="s">
        <v>51</v>
      </c>
      <c r="C16" s="6"/>
      <c r="D16" s="5" t="s">
        <v>37</v>
      </c>
      <c r="E16" s="50"/>
      <c r="F16" s="50"/>
      <c r="G16" s="40">
        <v>14</v>
      </c>
      <c r="H16" s="41" t="s">
        <v>70</v>
      </c>
    </row>
    <row r="17" spans="1:4" x14ac:dyDescent="0.3">
      <c r="A17" s="5">
        <v>6</v>
      </c>
      <c r="B17" s="5" t="s">
        <v>83</v>
      </c>
      <c r="C17" s="6"/>
      <c r="D17" s="5" t="s">
        <v>38</v>
      </c>
    </row>
    <row r="18" spans="1:4" x14ac:dyDescent="0.3">
      <c r="A18" s="5">
        <v>7</v>
      </c>
      <c r="B18" s="5" t="s">
        <v>52</v>
      </c>
      <c r="C18" s="6"/>
      <c r="D18" s="5" t="s">
        <v>39</v>
      </c>
    </row>
    <row r="19" spans="1:4" x14ac:dyDescent="0.3">
      <c r="A19" s="5">
        <v>8</v>
      </c>
      <c r="B19" s="5" t="s">
        <v>53</v>
      </c>
      <c r="C19" s="6"/>
      <c r="D19" s="5" t="s">
        <v>40</v>
      </c>
    </row>
    <row r="20" spans="1:4" x14ac:dyDescent="0.3">
      <c r="A20" s="5">
        <v>9</v>
      </c>
      <c r="B20" s="5" t="s">
        <v>54</v>
      </c>
      <c r="C20" s="6"/>
      <c r="D20" s="5" t="s">
        <v>41</v>
      </c>
    </row>
    <row r="21" spans="1:4" x14ac:dyDescent="0.3">
      <c r="A21" s="5">
        <v>10</v>
      </c>
      <c r="B21" s="5" t="s">
        <v>55</v>
      </c>
      <c r="C21" s="6"/>
      <c r="D21" s="5" t="s">
        <v>42</v>
      </c>
    </row>
    <row r="22" spans="1:4" x14ac:dyDescent="0.3">
      <c r="A22" s="5">
        <v>11</v>
      </c>
      <c r="B22" s="5" t="s">
        <v>56</v>
      </c>
      <c r="C22" s="6"/>
      <c r="D22" s="5" t="s">
        <v>43</v>
      </c>
    </row>
    <row r="23" spans="1:4" x14ac:dyDescent="0.3">
      <c r="A23" s="5">
        <v>12</v>
      </c>
      <c r="B23" s="5" t="s">
        <v>57</v>
      </c>
      <c r="C23" s="6"/>
      <c r="D23" s="5" t="s">
        <v>44</v>
      </c>
    </row>
    <row r="24" spans="1:4" x14ac:dyDescent="0.3">
      <c r="A24" s="5">
        <v>13</v>
      </c>
      <c r="B24" s="5" t="s">
        <v>58</v>
      </c>
      <c r="C24" s="6"/>
      <c r="D24" s="5" t="s">
        <v>45</v>
      </c>
    </row>
    <row r="25" spans="1:4" x14ac:dyDescent="0.3">
      <c r="A25" s="5">
        <v>14</v>
      </c>
      <c r="B25" s="5" t="s">
        <v>59</v>
      </c>
      <c r="C25" s="6"/>
      <c r="D25" s="5" t="s">
        <v>46</v>
      </c>
    </row>
    <row r="26" spans="1:4" x14ac:dyDescent="0.3">
      <c r="C26" s="6"/>
      <c r="D26" s="51"/>
    </row>
  </sheetData>
  <mergeCells count="3">
    <mergeCell ref="E2:F2"/>
    <mergeCell ref="B1:G1"/>
    <mergeCell ref="G2:H2"/>
  </mergeCells>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24"/>
  <sheetViews>
    <sheetView zoomScale="85" zoomScaleNormal="85" workbookViewId="0">
      <selection activeCell="D40" sqref="D40"/>
    </sheetView>
  </sheetViews>
  <sheetFormatPr defaultRowHeight="12.75" x14ac:dyDescent="0.2"/>
  <cols>
    <col min="1" max="1" width="6" bestFit="1" customWidth="1"/>
    <col min="2" max="2" width="18.85546875" bestFit="1" customWidth="1"/>
    <col min="3" max="3" width="24.42578125" bestFit="1" customWidth="1"/>
    <col min="4" max="4" width="9.28515625" style="4" bestFit="1" customWidth="1"/>
    <col min="5" max="5" width="25.85546875" bestFit="1" customWidth="1"/>
    <col min="6" max="6" width="9.28515625" style="4" bestFit="1" customWidth="1"/>
    <col min="7" max="7" width="27" bestFit="1" customWidth="1"/>
    <col min="8" max="8" width="7.28515625" hidden="1" customWidth="1"/>
    <col min="10" max="10" width="6.42578125" bestFit="1" customWidth="1"/>
    <col min="11" max="11" width="24.7109375" bestFit="1" customWidth="1"/>
    <col min="12" max="12" width="11.5703125" bestFit="1" customWidth="1"/>
    <col min="13" max="13" width="7.5703125" bestFit="1" customWidth="1"/>
    <col min="14" max="14" width="7.140625" bestFit="1" customWidth="1"/>
    <col min="15" max="15" width="9.7109375" bestFit="1" customWidth="1"/>
    <col min="16" max="16" width="9.85546875" customWidth="1"/>
    <col min="17" max="17" width="6.42578125" bestFit="1" customWidth="1"/>
    <col min="18" max="18" width="7.42578125" bestFit="1" customWidth="1"/>
    <col min="19" max="19" width="0" hidden="1" customWidth="1"/>
    <col min="20" max="20" width="13.5703125" hidden="1" customWidth="1"/>
  </cols>
  <sheetData>
    <row r="1" spans="1:20" ht="20.25" x14ac:dyDescent="0.3">
      <c r="A1" s="57" t="s">
        <v>94</v>
      </c>
      <c r="B1" s="26"/>
      <c r="C1" s="58"/>
      <c r="D1" s="58"/>
      <c r="E1" s="59"/>
      <c r="F1" s="3"/>
      <c r="G1" s="2"/>
      <c r="J1" s="5"/>
      <c r="K1" s="7" t="s">
        <v>4</v>
      </c>
      <c r="L1" s="7" t="s">
        <v>5</v>
      </c>
      <c r="M1" s="7" t="s">
        <v>6</v>
      </c>
      <c r="N1" s="7" t="s">
        <v>7</v>
      </c>
      <c r="O1" s="7" t="s">
        <v>8</v>
      </c>
      <c r="P1" s="7" t="s">
        <v>11</v>
      </c>
      <c r="Q1" s="7" t="s">
        <v>10</v>
      </c>
      <c r="R1" s="7" t="s">
        <v>9</v>
      </c>
      <c r="S1" s="28" t="s">
        <v>16</v>
      </c>
      <c r="T1" s="28" t="s">
        <v>17</v>
      </c>
    </row>
    <row r="2" spans="1:20" ht="20.25" x14ac:dyDescent="0.3">
      <c r="A2" s="7" t="s">
        <v>14</v>
      </c>
      <c r="B2" s="7" t="s">
        <v>13</v>
      </c>
      <c r="C2" s="7" t="s">
        <v>22</v>
      </c>
      <c r="D2" s="10" t="s">
        <v>2</v>
      </c>
      <c r="E2" s="7" t="s">
        <v>23</v>
      </c>
      <c r="F2" s="10" t="s">
        <v>2</v>
      </c>
      <c r="G2" s="7" t="s">
        <v>3</v>
      </c>
      <c r="H2" s="32" t="s">
        <v>24</v>
      </c>
      <c r="J2" s="2">
        <v>1</v>
      </c>
      <c r="K2" s="55" t="s">
        <v>82</v>
      </c>
      <c r="L2" s="2">
        <f t="shared" ref="L2:L8" si="0">SUMPRODUCT(--($D$3:$D$23&gt;0),--($C$3:$C$23=$K2))+SUMPRODUCT(--($F$3:$F$23&gt;0),--($E$3:$E$23=$K2))</f>
        <v>6</v>
      </c>
      <c r="M2" s="2">
        <f t="shared" ref="M2:M8" si="1">COUNTIF($G$3:$G$23,$K2)</f>
        <v>5</v>
      </c>
      <c r="N2" s="2">
        <f t="shared" ref="N2:N8" si="2">L2-M2</f>
        <v>1</v>
      </c>
      <c r="O2" s="2">
        <f t="shared" ref="O2:O8" si="3">2*M2</f>
        <v>10</v>
      </c>
      <c r="P2" s="3">
        <f t="shared" ref="P2:P8" si="4">SUMIF($C$3:$C$23,$K2,$D$3:$D$23)+SUMIF($E$3:$E$23,$K2,$F$3:$F$23)</f>
        <v>125</v>
      </c>
      <c r="Q2" s="3">
        <f t="shared" ref="Q2:Q8" si="5">SUMIF($C$3:$C$23,$K2,$F$3:$F$23)+SUMIF($E$3:$E$23,$K2,$D$3:$D$23)</f>
        <v>98</v>
      </c>
      <c r="R2" s="3">
        <f t="shared" ref="R2:R8" si="6">P2-Q2</f>
        <v>27</v>
      </c>
      <c r="S2" s="3">
        <f>SUM(P2:Q2)</f>
        <v>223</v>
      </c>
      <c r="T2" s="29">
        <f>S2/L2</f>
        <v>37.166666666666664</v>
      </c>
    </row>
    <row r="3" spans="1:20" ht="20.25" x14ac:dyDescent="0.3">
      <c r="A3" s="23">
        <v>1</v>
      </c>
      <c r="B3" s="20">
        <v>43772</v>
      </c>
      <c r="C3" s="55" t="s">
        <v>79</v>
      </c>
      <c r="D3" s="16">
        <v>21</v>
      </c>
      <c r="E3" s="55" t="s">
        <v>80</v>
      </c>
      <c r="F3" s="16">
        <v>17</v>
      </c>
      <c r="G3" s="15" t="str">
        <f t="shared" ref="G3:G23" si="7">IF($D3&gt;0,IF($D3&gt;$F3,$C3,$E3),"")</f>
        <v>Vishal / Rahul</v>
      </c>
      <c r="H3">
        <f t="shared" ref="H3:H23" si="8">ABS(D3-F3)</f>
        <v>4</v>
      </c>
      <c r="J3" s="2">
        <v>2</v>
      </c>
      <c r="K3" s="55" t="s">
        <v>80</v>
      </c>
      <c r="L3" s="2">
        <f t="shared" si="0"/>
        <v>6</v>
      </c>
      <c r="M3" s="2">
        <f t="shared" si="1"/>
        <v>4</v>
      </c>
      <c r="N3" s="2">
        <f t="shared" si="2"/>
        <v>2</v>
      </c>
      <c r="O3" s="2">
        <f t="shared" si="3"/>
        <v>8</v>
      </c>
      <c r="P3" s="3">
        <f t="shared" si="4"/>
        <v>125</v>
      </c>
      <c r="Q3" s="3">
        <f t="shared" si="5"/>
        <v>122</v>
      </c>
      <c r="R3" s="3">
        <f t="shared" si="6"/>
        <v>3</v>
      </c>
      <c r="S3" s="3">
        <f t="shared" ref="S3:S8" si="9">SUM(P3:Q3)</f>
        <v>247</v>
      </c>
      <c r="T3" s="29">
        <f t="shared" ref="T3:T8" si="10">S3/L3</f>
        <v>41.166666666666664</v>
      </c>
    </row>
    <row r="4" spans="1:20" ht="20.25" x14ac:dyDescent="0.3">
      <c r="A4" s="11">
        <v>2</v>
      </c>
      <c r="B4" s="18">
        <v>43779</v>
      </c>
      <c r="C4" s="55" t="s">
        <v>77</v>
      </c>
      <c r="D4" s="24">
        <v>29</v>
      </c>
      <c r="E4" s="55" t="s">
        <v>80</v>
      </c>
      <c r="F4" s="24">
        <v>31</v>
      </c>
      <c r="G4" s="15" t="str">
        <f t="shared" si="7"/>
        <v>Joe / Shiju</v>
      </c>
      <c r="H4">
        <f t="shared" si="8"/>
        <v>2</v>
      </c>
      <c r="J4" s="2">
        <v>3</v>
      </c>
      <c r="K4" s="55" t="s">
        <v>77</v>
      </c>
      <c r="L4" s="2">
        <f t="shared" si="0"/>
        <v>5</v>
      </c>
      <c r="M4" s="2">
        <f t="shared" si="1"/>
        <v>3</v>
      </c>
      <c r="N4" s="2">
        <f t="shared" si="2"/>
        <v>2</v>
      </c>
      <c r="O4" s="2">
        <f t="shared" si="3"/>
        <v>6</v>
      </c>
      <c r="P4" s="3">
        <f t="shared" si="4"/>
        <v>112</v>
      </c>
      <c r="Q4" s="3">
        <f t="shared" si="5"/>
        <v>94</v>
      </c>
      <c r="R4" s="3">
        <f t="shared" si="6"/>
        <v>18</v>
      </c>
      <c r="S4" s="3">
        <f t="shared" si="9"/>
        <v>206</v>
      </c>
      <c r="T4" s="29">
        <f t="shared" si="10"/>
        <v>41.2</v>
      </c>
    </row>
    <row r="5" spans="1:20" ht="20.25" x14ac:dyDescent="0.3">
      <c r="A5" s="23">
        <v>3</v>
      </c>
      <c r="B5" s="26">
        <v>43779</v>
      </c>
      <c r="C5" s="55" t="s">
        <v>78</v>
      </c>
      <c r="D5" s="14">
        <v>20</v>
      </c>
      <c r="E5" s="55" t="s">
        <v>82</v>
      </c>
      <c r="F5" s="14">
        <v>22</v>
      </c>
      <c r="G5" s="15" t="str">
        <f t="shared" si="7"/>
        <v>Prasanna / Usman</v>
      </c>
      <c r="H5">
        <f t="shared" si="8"/>
        <v>2</v>
      </c>
      <c r="J5" s="2">
        <v>4</v>
      </c>
      <c r="K5" s="55" t="s">
        <v>79</v>
      </c>
      <c r="L5" s="2">
        <f t="shared" si="0"/>
        <v>4</v>
      </c>
      <c r="M5" s="2">
        <f t="shared" si="1"/>
        <v>3</v>
      </c>
      <c r="N5" s="2">
        <f t="shared" si="2"/>
        <v>1</v>
      </c>
      <c r="O5" s="2">
        <f t="shared" si="3"/>
        <v>6</v>
      </c>
      <c r="P5" s="3">
        <f t="shared" si="4"/>
        <v>75</v>
      </c>
      <c r="Q5" s="3">
        <f t="shared" si="5"/>
        <v>60</v>
      </c>
      <c r="R5" s="3">
        <f t="shared" si="6"/>
        <v>15</v>
      </c>
      <c r="S5" s="3">
        <f t="shared" si="9"/>
        <v>135</v>
      </c>
      <c r="T5" s="29">
        <f t="shared" si="10"/>
        <v>33.75</v>
      </c>
    </row>
    <row r="6" spans="1:20" ht="20.25" x14ac:dyDescent="0.3">
      <c r="A6" s="11">
        <v>4</v>
      </c>
      <c r="B6" s="31">
        <v>43779</v>
      </c>
      <c r="C6" s="55" t="s">
        <v>77</v>
      </c>
      <c r="D6" s="17">
        <v>20</v>
      </c>
      <c r="E6" s="55" t="s">
        <v>82</v>
      </c>
      <c r="F6" s="56">
        <v>22</v>
      </c>
      <c r="G6" s="15" t="str">
        <f t="shared" si="7"/>
        <v>Prasanna / Usman</v>
      </c>
      <c r="H6">
        <f t="shared" si="8"/>
        <v>2</v>
      </c>
      <c r="J6" s="2">
        <v>5</v>
      </c>
      <c r="K6" s="55" t="s">
        <v>81</v>
      </c>
      <c r="L6" s="2">
        <f t="shared" si="0"/>
        <v>5</v>
      </c>
      <c r="M6" s="2">
        <f t="shared" si="1"/>
        <v>1</v>
      </c>
      <c r="N6" s="2">
        <f t="shared" si="2"/>
        <v>4</v>
      </c>
      <c r="O6" s="2">
        <f t="shared" si="3"/>
        <v>2</v>
      </c>
      <c r="P6" s="3">
        <f t="shared" si="4"/>
        <v>83</v>
      </c>
      <c r="Q6" s="3">
        <f t="shared" si="5"/>
        <v>98</v>
      </c>
      <c r="R6" s="3">
        <f t="shared" si="6"/>
        <v>-15</v>
      </c>
      <c r="S6" s="3">
        <f t="shared" si="9"/>
        <v>181</v>
      </c>
      <c r="T6" s="29">
        <f t="shared" si="10"/>
        <v>36.200000000000003</v>
      </c>
    </row>
    <row r="7" spans="1:20" ht="20.25" x14ac:dyDescent="0.3">
      <c r="A7" s="23">
        <v>5</v>
      </c>
      <c r="B7" s="21">
        <v>43779</v>
      </c>
      <c r="C7" s="55" t="s">
        <v>78</v>
      </c>
      <c r="D7" s="14">
        <v>24</v>
      </c>
      <c r="E7" s="55" t="s">
        <v>80</v>
      </c>
      <c r="F7" s="14">
        <v>26</v>
      </c>
      <c r="G7" s="15" t="str">
        <f t="shared" si="7"/>
        <v>Joe / Shiju</v>
      </c>
      <c r="H7">
        <f t="shared" si="8"/>
        <v>2</v>
      </c>
      <c r="J7" s="2">
        <v>6</v>
      </c>
      <c r="K7" s="55" t="s">
        <v>86</v>
      </c>
      <c r="L7" s="2">
        <f t="shared" si="0"/>
        <v>5</v>
      </c>
      <c r="M7" s="2">
        <f t="shared" si="1"/>
        <v>1</v>
      </c>
      <c r="N7" s="2">
        <f t="shared" si="2"/>
        <v>4</v>
      </c>
      <c r="O7" s="2">
        <f t="shared" si="3"/>
        <v>2</v>
      </c>
      <c r="P7" s="3">
        <f t="shared" si="4"/>
        <v>69</v>
      </c>
      <c r="Q7" s="3">
        <f t="shared" si="5"/>
        <v>102</v>
      </c>
      <c r="R7" s="3">
        <f t="shared" si="6"/>
        <v>-33</v>
      </c>
      <c r="S7" s="3">
        <f t="shared" si="9"/>
        <v>171</v>
      </c>
      <c r="T7" s="29">
        <f t="shared" si="10"/>
        <v>34.200000000000003</v>
      </c>
    </row>
    <row r="8" spans="1:20" ht="20.25" x14ac:dyDescent="0.3">
      <c r="A8" s="11">
        <v>6</v>
      </c>
      <c r="B8" s="18">
        <v>43779</v>
      </c>
      <c r="C8" s="55" t="s">
        <v>77</v>
      </c>
      <c r="D8" s="12">
        <v>21</v>
      </c>
      <c r="E8" s="55" t="s">
        <v>78</v>
      </c>
      <c r="F8" s="12">
        <v>10</v>
      </c>
      <c r="G8" s="15" t="str">
        <f t="shared" si="7"/>
        <v>Kartik / Iain</v>
      </c>
      <c r="H8">
        <f t="shared" si="8"/>
        <v>11</v>
      </c>
      <c r="J8" s="2">
        <v>7</v>
      </c>
      <c r="K8" s="55" t="s">
        <v>78</v>
      </c>
      <c r="L8" s="2">
        <f t="shared" si="0"/>
        <v>3</v>
      </c>
      <c r="M8" s="2">
        <f t="shared" si="1"/>
        <v>0</v>
      </c>
      <c r="N8" s="2">
        <f t="shared" si="2"/>
        <v>3</v>
      </c>
      <c r="O8" s="2">
        <f t="shared" si="3"/>
        <v>0</v>
      </c>
      <c r="P8" s="3">
        <f t="shared" si="4"/>
        <v>54</v>
      </c>
      <c r="Q8" s="3">
        <f t="shared" si="5"/>
        <v>69</v>
      </c>
      <c r="R8" s="3">
        <f t="shared" si="6"/>
        <v>-15</v>
      </c>
      <c r="S8" s="3">
        <f t="shared" si="9"/>
        <v>123</v>
      </c>
      <c r="T8" s="29">
        <f t="shared" si="10"/>
        <v>41</v>
      </c>
    </row>
    <row r="9" spans="1:20" ht="20.25" x14ac:dyDescent="0.3">
      <c r="A9" s="23">
        <v>7</v>
      </c>
      <c r="B9" s="21">
        <v>43779</v>
      </c>
      <c r="C9" s="55" t="s">
        <v>80</v>
      </c>
      <c r="D9" s="14">
        <v>9</v>
      </c>
      <c r="E9" s="55" t="s">
        <v>82</v>
      </c>
      <c r="F9" s="14">
        <v>21</v>
      </c>
      <c r="G9" s="15" t="str">
        <f t="shared" si="7"/>
        <v>Prasanna / Usman</v>
      </c>
      <c r="H9">
        <f t="shared" si="8"/>
        <v>12</v>
      </c>
      <c r="S9" s="3" t="e">
        <f>SUM(#REF!)</f>
        <v>#REF!</v>
      </c>
      <c r="T9" s="29" t="e">
        <f>S9/#REF!</f>
        <v>#REF!</v>
      </c>
    </row>
    <row r="10" spans="1:20" ht="20.25" x14ac:dyDescent="0.3">
      <c r="A10" s="11">
        <v>8</v>
      </c>
      <c r="B10" s="20">
        <v>43786</v>
      </c>
      <c r="C10" s="55" t="s">
        <v>79</v>
      </c>
      <c r="D10" s="13">
        <v>12</v>
      </c>
      <c r="E10" s="55" t="s">
        <v>82</v>
      </c>
      <c r="F10" s="60">
        <v>21</v>
      </c>
      <c r="G10" s="15" t="str">
        <f t="shared" si="7"/>
        <v>Prasanna / Usman</v>
      </c>
      <c r="H10">
        <f t="shared" si="8"/>
        <v>9</v>
      </c>
      <c r="S10" s="3" t="e">
        <f>SUM(#REF!)</f>
        <v>#REF!</v>
      </c>
      <c r="T10" s="29" t="e">
        <f>S10/#REF!</f>
        <v>#REF!</v>
      </c>
    </row>
    <row r="11" spans="1:20" ht="20.25" x14ac:dyDescent="0.3">
      <c r="A11" s="23">
        <v>9</v>
      </c>
      <c r="B11" s="20">
        <v>43786</v>
      </c>
      <c r="C11" s="55" t="s">
        <v>79</v>
      </c>
      <c r="D11" s="24">
        <v>21</v>
      </c>
      <c r="E11" s="55" t="s">
        <v>81</v>
      </c>
      <c r="F11" s="24">
        <v>15</v>
      </c>
      <c r="G11" s="15" t="str">
        <f t="shared" si="7"/>
        <v>Vishal / Rahul</v>
      </c>
      <c r="H11">
        <f t="shared" si="8"/>
        <v>6</v>
      </c>
      <c r="K11" s="69" t="s">
        <v>95</v>
      </c>
      <c r="L11" s="69"/>
      <c r="M11" s="7">
        <f>COUNTIF(H3:H23,2)</f>
        <v>4</v>
      </c>
    </row>
    <row r="12" spans="1:20" ht="20.25" x14ac:dyDescent="0.3">
      <c r="A12" s="11">
        <v>10</v>
      </c>
      <c r="B12" s="21">
        <v>43793</v>
      </c>
      <c r="C12" s="55" t="s">
        <v>77</v>
      </c>
      <c r="D12" s="14">
        <v>21</v>
      </c>
      <c r="E12" s="55" t="s">
        <v>86</v>
      </c>
      <c r="F12" s="14">
        <v>13</v>
      </c>
      <c r="G12" s="15" t="str">
        <f t="shared" si="7"/>
        <v>Kartik / Iain</v>
      </c>
      <c r="H12">
        <f t="shared" si="8"/>
        <v>8</v>
      </c>
      <c r="S12" s="8" t="s">
        <v>18</v>
      </c>
      <c r="T12" s="30" t="e">
        <f>AVERAGE(T2:T10)</f>
        <v>#REF!</v>
      </c>
    </row>
    <row r="13" spans="1:20" ht="20.25" x14ac:dyDescent="0.3">
      <c r="A13" s="23">
        <v>11</v>
      </c>
      <c r="B13" s="18">
        <v>43793</v>
      </c>
      <c r="C13" s="55" t="s">
        <v>81</v>
      </c>
      <c r="D13" s="24">
        <v>21</v>
      </c>
      <c r="E13" s="55" t="s">
        <v>86</v>
      </c>
      <c r="F13" s="24">
        <v>14</v>
      </c>
      <c r="G13" s="15" t="str">
        <f t="shared" si="7"/>
        <v>Nawaz / Sengole</v>
      </c>
      <c r="H13">
        <f t="shared" si="8"/>
        <v>7</v>
      </c>
    </row>
    <row r="14" spans="1:20" ht="20.25" x14ac:dyDescent="0.3">
      <c r="A14" s="11">
        <v>12</v>
      </c>
      <c r="B14" s="18">
        <v>43793</v>
      </c>
      <c r="C14" s="55" t="s">
        <v>77</v>
      </c>
      <c r="D14" s="24">
        <v>21</v>
      </c>
      <c r="E14" s="55" t="s">
        <v>81</v>
      </c>
      <c r="F14" s="24">
        <v>18</v>
      </c>
      <c r="G14" s="15" t="str">
        <f t="shared" si="7"/>
        <v>Kartik / Iain</v>
      </c>
      <c r="H14">
        <f t="shared" si="8"/>
        <v>3</v>
      </c>
    </row>
    <row r="15" spans="1:20" ht="20.25" x14ac:dyDescent="0.3">
      <c r="A15" s="23">
        <v>13</v>
      </c>
      <c r="B15" s="19">
        <v>43800</v>
      </c>
      <c r="C15" s="55" t="s">
        <v>80</v>
      </c>
      <c r="D15" s="12">
        <v>21</v>
      </c>
      <c r="E15" s="55" t="s">
        <v>86</v>
      </c>
      <c r="F15" s="12">
        <v>14</v>
      </c>
      <c r="G15" s="15" t="str">
        <f t="shared" si="7"/>
        <v>Joe / Shiju</v>
      </c>
      <c r="H15">
        <f t="shared" si="8"/>
        <v>7</v>
      </c>
    </row>
    <row r="16" spans="1:20" ht="20.25" x14ac:dyDescent="0.3">
      <c r="A16" s="11">
        <v>14</v>
      </c>
      <c r="B16" s="26">
        <v>43800</v>
      </c>
      <c r="C16" s="55" t="s">
        <v>80</v>
      </c>
      <c r="D16" s="24">
        <v>21</v>
      </c>
      <c r="E16" s="55" t="s">
        <v>81</v>
      </c>
      <c r="F16" s="24">
        <v>13</v>
      </c>
      <c r="G16" s="15" t="str">
        <f t="shared" si="7"/>
        <v>Joe / Shiju</v>
      </c>
      <c r="H16">
        <f t="shared" si="8"/>
        <v>8</v>
      </c>
    </row>
    <row r="17" spans="1:8" ht="20.25" x14ac:dyDescent="0.3">
      <c r="A17" s="23">
        <v>15</v>
      </c>
      <c r="B17" s="20">
        <v>43800</v>
      </c>
      <c r="C17" s="55" t="s">
        <v>79</v>
      </c>
      <c r="D17" s="17">
        <v>21</v>
      </c>
      <c r="E17" s="55" t="s">
        <v>86</v>
      </c>
      <c r="F17" s="17">
        <v>7</v>
      </c>
      <c r="G17" s="15" t="str">
        <f t="shared" si="7"/>
        <v>Vishal / Rahul</v>
      </c>
      <c r="H17">
        <f t="shared" si="8"/>
        <v>14</v>
      </c>
    </row>
    <row r="18" spans="1:8" ht="20.25" x14ac:dyDescent="0.3">
      <c r="A18" s="11">
        <v>16</v>
      </c>
      <c r="B18" s="21">
        <v>43800</v>
      </c>
      <c r="C18" s="55" t="s">
        <v>81</v>
      </c>
      <c r="D18" s="24">
        <v>16</v>
      </c>
      <c r="E18" s="55" t="s">
        <v>82</v>
      </c>
      <c r="F18" s="24">
        <v>21</v>
      </c>
      <c r="G18" s="15" t="str">
        <f t="shared" si="7"/>
        <v>Prasanna / Usman</v>
      </c>
      <c r="H18">
        <f t="shared" si="8"/>
        <v>5</v>
      </c>
    </row>
    <row r="19" spans="1:8" ht="20.25" x14ac:dyDescent="0.3">
      <c r="A19" s="23">
        <v>17</v>
      </c>
      <c r="B19" s="26">
        <v>43800</v>
      </c>
      <c r="C19" s="55" t="s">
        <v>82</v>
      </c>
      <c r="D19" s="27">
        <v>18</v>
      </c>
      <c r="E19" s="55" t="s">
        <v>86</v>
      </c>
      <c r="F19" s="27">
        <v>21</v>
      </c>
      <c r="G19" s="15" t="str">
        <f t="shared" si="7"/>
        <v>Deepak / Vasu</v>
      </c>
      <c r="H19">
        <f t="shared" si="8"/>
        <v>3</v>
      </c>
    </row>
    <row r="20" spans="1:8" ht="20.25" x14ac:dyDescent="0.3">
      <c r="A20" s="11">
        <v>18</v>
      </c>
      <c r="B20" s="18"/>
      <c r="C20" s="55" t="s">
        <v>77</v>
      </c>
      <c r="D20" s="24"/>
      <c r="E20" s="55" t="s">
        <v>79</v>
      </c>
      <c r="F20" s="24"/>
      <c r="G20" s="15" t="str">
        <f t="shared" si="7"/>
        <v/>
      </c>
      <c r="H20">
        <f t="shared" si="8"/>
        <v>0</v>
      </c>
    </row>
    <row r="21" spans="1:8" ht="20.25" x14ac:dyDescent="0.3">
      <c r="A21" s="23">
        <v>19</v>
      </c>
      <c r="B21" s="22"/>
      <c r="C21" s="55" t="s">
        <v>78</v>
      </c>
      <c r="D21" s="16"/>
      <c r="E21" s="55" t="s">
        <v>86</v>
      </c>
      <c r="F21" s="16"/>
      <c r="G21" s="15" t="str">
        <f t="shared" si="7"/>
        <v/>
      </c>
      <c r="H21">
        <f t="shared" si="8"/>
        <v>0</v>
      </c>
    </row>
    <row r="22" spans="1:8" ht="20.25" x14ac:dyDescent="0.3">
      <c r="A22" s="11">
        <v>20</v>
      </c>
      <c r="B22" s="20"/>
      <c r="C22" s="55" t="s">
        <v>78</v>
      </c>
      <c r="D22" s="13"/>
      <c r="E22" s="55" t="s">
        <v>81</v>
      </c>
      <c r="F22" s="13"/>
      <c r="G22" s="15" t="str">
        <f t="shared" si="7"/>
        <v/>
      </c>
      <c r="H22">
        <f t="shared" si="8"/>
        <v>0</v>
      </c>
    </row>
    <row r="23" spans="1:8" ht="20.25" x14ac:dyDescent="0.3">
      <c r="A23" s="23">
        <v>21</v>
      </c>
      <c r="B23" s="18"/>
      <c r="C23" s="55" t="s">
        <v>78</v>
      </c>
      <c r="D23" s="17"/>
      <c r="E23" s="55" t="s">
        <v>79</v>
      </c>
      <c r="F23" s="17"/>
      <c r="G23" s="15" t="str">
        <f t="shared" si="7"/>
        <v/>
      </c>
      <c r="H23">
        <f t="shared" si="8"/>
        <v>0</v>
      </c>
    </row>
    <row r="24" spans="1:8" ht="20.25" x14ac:dyDescent="0.3">
      <c r="C24" s="66" t="s">
        <v>15</v>
      </c>
      <c r="D24" s="67"/>
      <c r="E24" s="67"/>
      <c r="F24" s="68"/>
      <c r="G24" s="2">
        <f>COUNTA(F3:F23)</f>
        <v>17</v>
      </c>
    </row>
  </sheetData>
  <sortState xmlns:xlrd2="http://schemas.microsoft.com/office/spreadsheetml/2017/richdata2" ref="K2:R8">
    <sortCondition descending="1" ref="O2:O8"/>
    <sortCondition descending="1" ref="R2:R8"/>
  </sortState>
  <mergeCells count="2">
    <mergeCell ref="C24:F24"/>
    <mergeCell ref="K11:L11"/>
  </mergeCells>
  <conditionalFormatting sqref="S2:S8 S10">
    <cfRule type="top10" dxfId="9" priority="12" rank="1"/>
  </conditionalFormatting>
  <conditionalFormatting sqref="T2:T8 T10">
    <cfRule type="top10" dxfId="8" priority="14" rank="1"/>
  </conditionalFormatting>
  <conditionalFormatting sqref="S9">
    <cfRule type="top10" dxfId="7" priority="8" rank="1"/>
  </conditionalFormatting>
  <conditionalFormatting sqref="T9">
    <cfRule type="top10" dxfId="6" priority="9" rank="1"/>
  </conditionalFormatting>
  <conditionalFormatting sqref="B1">
    <cfRule type="colorScale" priority="4">
      <colorScale>
        <cfvo type="min"/>
        <cfvo type="percentile" val="50"/>
        <cfvo type="max"/>
        <color rgb="FFF8696B"/>
        <color rgb="FFFCFCFF"/>
        <color rgb="FF63BE7B"/>
      </colorScale>
    </cfRule>
  </conditionalFormatting>
  <conditionalFormatting sqref="B1">
    <cfRule type="colorScale" priority="3">
      <colorScale>
        <cfvo type="min"/>
        <cfvo type="percentile" val="50"/>
        <cfvo type="max"/>
        <color rgb="FF63BE7B"/>
        <color rgb="FFFFEB84"/>
        <color rgb="FFF8696B"/>
      </colorScale>
    </cfRule>
  </conditionalFormatting>
  <conditionalFormatting sqref="D3:D23 F3:F23 A3:B23">
    <cfRule type="colorScale" priority="2">
      <colorScale>
        <cfvo type="min"/>
        <cfvo type="percentile" val="50"/>
        <cfvo type="max"/>
        <color rgb="FF63BE7B"/>
        <color rgb="FFFFEB84"/>
        <color rgb="FFF8696B"/>
      </colorScale>
    </cfRule>
  </conditionalFormatting>
  <conditionalFormatting sqref="B3:B23">
    <cfRule type="colorScale" priority="16">
      <colorScale>
        <cfvo type="min"/>
        <cfvo type="percentile" val="50"/>
        <cfvo type="max"/>
        <color rgb="FF63BE7B"/>
        <color rgb="FFFFEB84"/>
        <color rgb="FFF8696B"/>
      </colorScale>
    </cfRule>
  </conditionalFormatting>
  <conditionalFormatting sqref="G3:G23">
    <cfRule type="colorScale" priority="1">
      <colorScale>
        <cfvo type="min"/>
        <cfvo type="percentile" val="50"/>
        <cfvo type="max"/>
        <color rgb="FFF8696B"/>
        <color rgb="FFFCFCFF"/>
        <color rgb="FF63BE7B"/>
      </colorScale>
    </cfRule>
  </conditionalFormatting>
  <pageMargins left="0.9055118110236221" right="0.31496062992125984" top="0.74803149606299213" bottom="0.74803149606299213" header="0.31496062992125984" footer="0.31496062992125984"/>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6"/>
  <sheetViews>
    <sheetView workbookViewId="0">
      <selection activeCell="C23" sqref="C21:D23"/>
    </sheetView>
  </sheetViews>
  <sheetFormatPr defaultRowHeight="12.75" x14ac:dyDescent="0.2"/>
  <cols>
    <col min="1" max="1" width="25.140625" bestFit="1" customWidth="1"/>
    <col min="2" max="2" width="12.28515625" bestFit="1" customWidth="1"/>
    <col min="3" max="3" width="12.140625" bestFit="1" customWidth="1"/>
    <col min="4" max="4" width="12.85546875" bestFit="1" customWidth="1"/>
    <col min="5" max="5" width="15.140625" bestFit="1" customWidth="1"/>
    <col min="6" max="6" width="12.140625" bestFit="1" customWidth="1"/>
    <col min="7" max="7" width="26.85546875" bestFit="1" customWidth="1"/>
    <col min="8" max="8" width="28.42578125" bestFit="1" customWidth="1"/>
    <col min="9" max="9" width="12.7109375" bestFit="1" customWidth="1"/>
  </cols>
  <sheetData>
    <row r="1" spans="1:9" ht="39.75" customHeight="1" x14ac:dyDescent="0.25">
      <c r="A1" s="44"/>
      <c r="B1" s="55" t="s">
        <v>97</v>
      </c>
      <c r="C1" s="55" t="s">
        <v>98</v>
      </c>
      <c r="D1" s="55" t="s">
        <v>99</v>
      </c>
      <c r="E1" s="55" t="s">
        <v>100</v>
      </c>
      <c r="F1" s="55" t="s">
        <v>101</v>
      </c>
      <c r="G1" s="61" t="s">
        <v>103</v>
      </c>
      <c r="H1" s="61" t="s">
        <v>104</v>
      </c>
      <c r="I1" s="61" t="s">
        <v>106</v>
      </c>
    </row>
    <row r="2" spans="1:9" ht="20.25" x14ac:dyDescent="0.3">
      <c r="A2" s="7" t="s">
        <v>77</v>
      </c>
      <c r="B2" s="44"/>
      <c r="C2" s="44"/>
      <c r="D2" s="44" t="s">
        <v>102</v>
      </c>
      <c r="E2" s="44"/>
      <c r="F2" s="44"/>
      <c r="G2" s="62">
        <f>-COUNTIF(B2:F2,"Unavailable")</f>
        <v>0</v>
      </c>
      <c r="H2" s="62"/>
      <c r="I2" s="44">
        <f>SUM(G2:H2)</f>
        <v>0</v>
      </c>
    </row>
    <row r="3" spans="1:9" ht="20.25" x14ac:dyDescent="0.3">
      <c r="A3" s="7" t="s">
        <v>79</v>
      </c>
      <c r="B3" s="44" t="s">
        <v>102</v>
      </c>
      <c r="C3" s="44" t="s">
        <v>102</v>
      </c>
      <c r="D3" s="44" t="s">
        <v>102</v>
      </c>
      <c r="E3" s="44" t="s">
        <v>105</v>
      </c>
      <c r="F3" s="44" t="s">
        <v>102</v>
      </c>
      <c r="G3" s="62">
        <f t="shared" ref="G3:G6" si="0">-COUNTIF(B3:F3,"Unavailable")</f>
        <v>-1</v>
      </c>
      <c r="H3" s="62">
        <v>-2</v>
      </c>
      <c r="I3" s="44">
        <f>SUM(G3:H3)</f>
        <v>-3</v>
      </c>
    </row>
    <row r="4" spans="1:9" ht="20.25" x14ac:dyDescent="0.3">
      <c r="A4" s="7" t="s">
        <v>86</v>
      </c>
      <c r="B4" s="44"/>
      <c r="C4" s="44"/>
      <c r="D4" s="44"/>
      <c r="E4" s="44"/>
      <c r="F4" s="44"/>
      <c r="G4" s="62">
        <f t="shared" si="0"/>
        <v>0</v>
      </c>
      <c r="H4" s="62"/>
      <c r="I4" s="44">
        <f>SUM(G4:H4)</f>
        <v>0</v>
      </c>
    </row>
    <row r="5" spans="1:9" ht="20.25" x14ac:dyDescent="0.3">
      <c r="A5" s="7" t="s">
        <v>81</v>
      </c>
      <c r="B5" s="44"/>
      <c r="C5" s="44"/>
      <c r="D5" s="44"/>
      <c r="E5" s="44"/>
      <c r="F5" s="44"/>
      <c r="G5" s="62">
        <f t="shared" si="0"/>
        <v>0</v>
      </c>
      <c r="H5" s="62"/>
      <c r="I5" s="44">
        <f>SUM(G5:H5)</f>
        <v>0</v>
      </c>
    </row>
    <row r="6" spans="1:9" ht="20.25" x14ac:dyDescent="0.3">
      <c r="A6" s="28" t="s">
        <v>107</v>
      </c>
      <c r="B6" s="5"/>
      <c r="C6" s="5"/>
      <c r="D6" s="5"/>
      <c r="E6" s="5"/>
      <c r="F6" s="5"/>
      <c r="G6" s="62">
        <f t="shared" si="0"/>
        <v>0</v>
      </c>
      <c r="H6" s="5"/>
      <c r="I6" s="5"/>
    </row>
  </sheetData>
  <conditionalFormatting sqref="B2:F5">
    <cfRule type="cellIs" dxfId="5" priority="2" operator="equal">
      <formula>"Unavailable"</formula>
    </cfRule>
    <cfRule type="cellIs" dxfId="4" priority="1" operator="equal">
      <formula>"Available"</formula>
    </cfRule>
  </conditionalFormatting>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T24"/>
  <sheetViews>
    <sheetView zoomScale="85" zoomScaleNormal="85" workbookViewId="0">
      <selection activeCell="N23" sqref="N23"/>
    </sheetView>
  </sheetViews>
  <sheetFormatPr defaultRowHeight="12.75" x14ac:dyDescent="0.2"/>
  <cols>
    <col min="1" max="1" width="6" bestFit="1" customWidth="1"/>
    <col min="2" max="2" width="18.85546875" bestFit="1" customWidth="1"/>
    <col min="3" max="3" width="24.42578125" bestFit="1" customWidth="1"/>
    <col min="4" max="4" width="10" style="4" bestFit="1" customWidth="1"/>
    <col min="5" max="5" width="24.42578125" bestFit="1" customWidth="1"/>
    <col min="6" max="6" width="10" style="4" bestFit="1" customWidth="1"/>
    <col min="7" max="7" width="26.42578125" customWidth="1"/>
    <col min="8" max="8" width="2.7109375" hidden="1" customWidth="1"/>
    <col min="10" max="10" width="6.42578125" bestFit="1" customWidth="1"/>
    <col min="11" max="11" width="24.7109375" bestFit="1" customWidth="1"/>
    <col min="12" max="12" width="11.5703125" bestFit="1" customWidth="1"/>
    <col min="13" max="13" width="7.5703125" bestFit="1" customWidth="1"/>
    <col min="14" max="14" width="7.140625" bestFit="1" customWidth="1"/>
    <col min="15" max="15" width="9.7109375" bestFit="1" customWidth="1"/>
    <col min="16" max="17" width="6.42578125" bestFit="1" customWidth="1"/>
    <col min="18" max="18" width="7.42578125" bestFit="1" customWidth="1"/>
    <col min="19" max="19" width="0" hidden="1" customWidth="1"/>
    <col min="20" max="20" width="13.5703125" hidden="1" customWidth="1"/>
  </cols>
  <sheetData>
    <row r="1" spans="1:20" ht="20.25" x14ac:dyDescent="0.3">
      <c r="A1" s="70" t="s">
        <v>96</v>
      </c>
      <c r="B1" s="71"/>
      <c r="C1" s="71"/>
      <c r="D1" s="71"/>
      <c r="E1" s="72"/>
      <c r="F1" s="3"/>
      <c r="G1" s="2"/>
      <c r="J1" s="5"/>
      <c r="K1" s="7" t="s">
        <v>4</v>
      </c>
      <c r="L1" s="7" t="s">
        <v>5</v>
      </c>
      <c r="M1" s="7" t="s">
        <v>6</v>
      </c>
      <c r="N1" s="7" t="s">
        <v>7</v>
      </c>
      <c r="O1" s="7" t="s">
        <v>8</v>
      </c>
      <c r="P1" s="7" t="s">
        <v>11</v>
      </c>
      <c r="Q1" s="7" t="s">
        <v>10</v>
      </c>
      <c r="R1" s="7" t="s">
        <v>9</v>
      </c>
      <c r="S1" s="28" t="s">
        <v>16</v>
      </c>
      <c r="T1" s="28" t="s">
        <v>17</v>
      </c>
    </row>
    <row r="2" spans="1:20" ht="20.25" x14ac:dyDescent="0.3">
      <c r="A2" s="7" t="s">
        <v>14</v>
      </c>
      <c r="B2" s="7" t="s">
        <v>13</v>
      </c>
      <c r="C2" s="7" t="s">
        <v>22</v>
      </c>
      <c r="D2" s="10" t="s">
        <v>2</v>
      </c>
      <c r="E2" s="7" t="s">
        <v>23</v>
      </c>
      <c r="F2" s="10" t="s">
        <v>2</v>
      </c>
      <c r="G2" s="7" t="s">
        <v>3</v>
      </c>
      <c r="H2" s="32" t="s">
        <v>24</v>
      </c>
      <c r="J2" s="2">
        <v>1</v>
      </c>
      <c r="K2" s="55" t="s">
        <v>90</v>
      </c>
      <c r="L2" s="2">
        <f t="shared" ref="L2:L8" si="0">SUMPRODUCT(--($D$3:$D$23&gt;0),--($C$3:$C$23=$K2))+SUMPRODUCT(--($F$3:$F$23&gt;0),--($E$3:$E$23=$K2))</f>
        <v>6</v>
      </c>
      <c r="M2" s="2">
        <f t="shared" ref="M2:M8" si="1">COUNTIF($G$3:$G$23,$K2)</f>
        <v>4</v>
      </c>
      <c r="N2" s="2">
        <f t="shared" ref="N2:N8" si="2">L2-M2</f>
        <v>2</v>
      </c>
      <c r="O2" s="2">
        <f t="shared" ref="O2:O8" si="3">2*M2</f>
        <v>8</v>
      </c>
      <c r="P2" s="3">
        <f t="shared" ref="P2:P8" si="4">SUMIF($C$3:$C$23,$K2,$D$3:$D$23)+SUMIF($E$3:$E$23,$K2,$F$3:$F$23)</f>
        <v>113</v>
      </c>
      <c r="Q2" s="3">
        <f t="shared" ref="Q2:Q8" si="5">SUMIF($C$3:$C$23,$K2,$F$3:$F$23)+SUMIF($E$3:$E$23,$K2,$D$3:$D$23)</f>
        <v>93</v>
      </c>
      <c r="R2" s="3">
        <f t="shared" ref="R2:R8" si="6">P2-Q2</f>
        <v>20</v>
      </c>
      <c r="S2" s="3">
        <f>SUM(P2:Q2)</f>
        <v>206</v>
      </c>
      <c r="T2" s="29">
        <f>S2/L2</f>
        <v>34.333333333333336</v>
      </c>
    </row>
    <row r="3" spans="1:20" ht="20.25" x14ac:dyDescent="0.3">
      <c r="A3" s="11">
        <v>1</v>
      </c>
      <c r="B3" s="26">
        <v>43765</v>
      </c>
      <c r="C3" s="55" t="s">
        <v>90</v>
      </c>
      <c r="D3" s="24">
        <v>21</v>
      </c>
      <c r="E3" s="55" t="s">
        <v>91</v>
      </c>
      <c r="F3" s="24">
        <v>10</v>
      </c>
      <c r="G3" s="15" t="str">
        <f t="shared" ref="G3:G23" si="7">IF($D3&gt;0,IF($D3&gt;$F3,$C3,$E3),"")</f>
        <v>Shoaib / Jalal</v>
      </c>
      <c r="H3">
        <f>ABS(D3-F3)</f>
        <v>11</v>
      </c>
      <c r="J3" s="2">
        <v>2</v>
      </c>
      <c r="K3" s="55" t="s">
        <v>89</v>
      </c>
      <c r="L3" s="2">
        <f t="shared" si="0"/>
        <v>6</v>
      </c>
      <c r="M3" s="2">
        <f t="shared" si="1"/>
        <v>4</v>
      </c>
      <c r="N3" s="2">
        <f t="shared" si="2"/>
        <v>2</v>
      </c>
      <c r="O3" s="2">
        <f t="shared" si="3"/>
        <v>8</v>
      </c>
      <c r="P3" s="3">
        <f t="shared" si="4"/>
        <v>116</v>
      </c>
      <c r="Q3" s="3">
        <f t="shared" si="5"/>
        <v>103</v>
      </c>
      <c r="R3" s="3">
        <f t="shared" si="6"/>
        <v>13</v>
      </c>
      <c r="S3" s="3">
        <f>SUM(P3:Q3)</f>
        <v>219</v>
      </c>
      <c r="T3" s="29">
        <f t="shared" ref="T3:T8" si="8">S3/L3</f>
        <v>36.5</v>
      </c>
    </row>
    <row r="4" spans="1:20" ht="20.25" x14ac:dyDescent="0.3">
      <c r="A4" s="23">
        <v>2</v>
      </c>
      <c r="B4" s="21">
        <v>43765</v>
      </c>
      <c r="C4" s="55" t="s">
        <v>90</v>
      </c>
      <c r="D4" s="14">
        <v>21</v>
      </c>
      <c r="E4" s="55" t="s">
        <v>92</v>
      </c>
      <c r="F4" s="14">
        <v>10</v>
      </c>
      <c r="G4" s="15" t="str">
        <f t="shared" si="7"/>
        <v>Shoaib / Jalal</v>
      </c>
      <c r="H4">
        <f t="shared" ref="H4:H23" si="9">ABS(D4-F4)</f>
        <v>11</v>
      </c>
      <c r="J4" s="2">
        <v>3</v>
      </c>
      <c r="K4" s="55" t="s">
        <v>92</v>
      </c>
      <c r="L4" s="2">
        <f t="shared" si="0"/>
        <v>6</v>
      </c>
      <c r="M4" s="2">
        <f t="shared" si="1"/>
        <v>4</v>
      </c>
      <c r="N4" s="2">
        <f t="shared" si="2"/>
        <v>2</v>
      </c>
      <c r="O4" s="2">
        <f t="shared" si="3"/>
        <v>8</v>
      </c>
      <c r="P4" s="3">
        <f t="shared" si="4"/>
        <v>105</v>
      </c>
      <c r="Q4" s="3">
        <f t="shared" si="5"/>
        <v>94</v>
      </c>
      <c r="R4" s="3">
        <f t="shared" si="6"/>
        <v>11</v>
      </c>
      <c r="S4" s="3">
        <f>SUM(P4:Q4)</f>
        <v>199</v>
      </c>
      <c r="T4" s="29">
        <f t="shared" si="8"/>
        <v>33.166666666666664</v>
      </c>
    </row>
    <row r="5" spans="1:20" ht="20.25" x14ac:dyDescent="0.3">
      <c r="A5" s="11">
        <v>3</v>
      </c>
      <c r="B5" s="20">
        <v>43768</v>
      </c>
      <c r="C5" s="55" t="s">
        <v>89</v>
      </c>
      <c r="D5" s="17">
        <v>21</v>
      </c>
      <c r="E5" s="55" t="s">
        <v>93</v>
      </c>
      <c r="F5" s="17">
        <v>15</v>
      </c>
      <c r="G5" s="15" t="str">
        <f t="shared" si="7"/>
        <v>Santosh / Asim</v>
      </c>
      <c r="H5">
        <f t="shared" si="9"/>
        <v>6</v>
      </c>
      <c r="J5" s="2">
        <v>4</v>
      </c>
      <c r="K5" s="55" t="s">
        <v>91</v>
      </c>
      <c r="L5" s="2">
        <f t="shared" si="0"/>
        <v>6</v>
      </c>
      <c r="M5" s="2">
        <f t="shared" si="1"/>
        <v>4</v>
      </c>
      <c r="N5" s="2">
        <f t="shared" si="2"/>
        <v>2</v>
      </c>
      <c r="O5" s="2">
        <f t="shared" si="3"/>
        <v>8</v>
      </c>
      <c r="P5" s="3">
        <f t="shared" si="4"/>
        <v>110</v>
      </c>
      <c r="Q5" s="3">
        <f t="shared" si="5"/>
        <v>103</v>
      </c>
      <c r="R5" s="3">
        <f t="shared" si="6"/>
        <v>7</v>
      </c>
      <c r="S5" s="3">
        <f>SUM(P5:Q5)</f>
        <v>213</v>
      </c>
      <c r="T5" s="29">
        <f t="shared" si="8"/>
        <v>35.5</v>
      </c>
    </row>
    <row r="6" spans="1:20" ht="20.25" x14ac:dyDescent="0.3">
      <c r="A6" s="23">
        <v>4</v>
      </c>
      <c r="B6" s="18">
        <v>43772</v>
      </c>
      <c r="C6" s="55" t="s">
        <v>87</v>
      </c>
      <c r="D6" s="24">
        <v>15</v>
      </c>
      <c r="E6" s="55" t="s">
        <v>90</v>
      </c>
      <c r="F6" s="25">
        <v>21</v>
      </c>
      <c r="G6" s="15" t="str">
        <f t="shared" si="7"/>
        <v>Shoaib / Jalal</v>
      </c>
      <c r="H6">
        <f t="shared" si="9"/>
        <v>6</v>
      </c>
      <c r="J6" s="2">
        <v>5</v>
      </c>
      <c r="K6" s="55" t="s">
        <v>93</v>
      </c>
      <c r="L6" s="2">
        <f t="shared" si="0"/>
        <v>6</v>
      </c>
      <c r="M6" s="2">
        <f t="shared" si="1"/>
        <v>3</v>
      </c>
      <c r="N6" s="2">
        <f t="shared" si="2"/>
        <v>3</v>
      </c>
      <c r="O6" s="2">
        <f t="shared" si="3"/>
        <v>6</v>
      </c>
      <c r="P6" s="3">
        <f t="shared" si="4"/>
        <v>107</v>
      </c>
      <c r="Q6" s="3">
        <f t="shared" si="5"/>
        <v>101</v>
      </c>
      <c r="R6" s="3">
        <f t="shared" si="6"/>
        <v>6</v>
      </c>
      <c r="S6" s="3">
        <f>SUM(P6:Q6)</f>
        <v>208</v>
      </c>
      <c r="T6" s="29">
        <f t="shared" si="8"/>
        <v>34.666666666666664</v>
      </c>
    </row>
    <row r="7" spans="1:20" ht="20.25" x14ac:dyDescent="0.3">
      <c r="A7" s="11">
        <v>5</v>
      </c>
      <c r="B7" s="26">
        <v>43772</v>
      </c>
      <c r="C7" s="55" t="s">
        <v>92</v>
      </c>
      <c r="D7" s="27">
        <v>11</v>
      </c>
      <c r="E7" s="55" t="s">
        <v>93</v>
      </c>
      <c r="F7" s="27">
        <v>21</v>
      </c>
      <c r="G7" s="15" t="str">
        <f t="shared" si="7"/>
        <v>Sandip / Zaheer</v>
      </c>
      <c r="H7">
        <f t="shared" si="9"/>
        <v>10</v>
      </c>
      <c r="J7" s="2">
        <v>6</v>
      </c>
      <c r="K7" s="55" t="s">
        <v>87</v>
      </c>
      <c r="L7" s="2">
        <f t="shared" si="0"/>
        <v>6</v>
      </c>
      <c r="M7" s="2">
        <f t="shared" si="1"/>
        <v>2</v>
      </c>
      <c r="N7" s="2">
        <f t="shared" si="2"/>
        <v>4</v>
      </c>
      <c r="O7" s="2">
        <f t="shared" si="3"/>
        <v>4</v>
      </c>
      <c r="P7" s="3">
        <f t="shared" si="4"/>
        <v>104</v>
      </c>
      <c r="Q7" s="3">
        <f t="shared" si="5"/>
        <v>121</v>
      </c>
      <c r="R7" s="3">
        <f t="shared" si="6"/>
        <v>-17</v>
      </c>
      <c r="S7" s="3">
        <f t="shared" ref="S7:S8" si="10">SUM(P7:Q7)</f>
        <v>225</v>
      </c>
      <c r="T7" s="29">
        <f t="shared" si="8"/>
        <v>37.5</v>
      </c>
    </row>
    <row r="8" spans="1:20" ht="20.25" x14ac:dyDescent="0.3">
      <c r="A8" s="23">
        <v>6</v>
      </c>
      <c r="B8" s="21">
        <v>43772</v>
      </c>
      <c r="C8" s="55" t="s">
        <v>87</v>
      </c>
      <c r="D8" s="14">
        <v>21</v>
      </c>
      <c r="E8" s="55" t="s">
        <v>93</v>
      </c>
      <c r="F8" s="14">
        <v>15</v>
      </c>
      <c r="G8" s="15" t="str">
        <f t="shared" si="7"/>
        <v>Altamash / Nasim</v>
      </c>
      <c r="H8">
        <f t="shared" si="9"/>
        <v>6</v>
      </c>
      <c r="J8" s="2">
        <v>7</v>
      </c>
      <c r="K8" s="55" t="s">
        <v>88</v>
      </c>
      <c r="L8" s="2">
        <f t="shared" si="0"/>
        <v>6</v>
      </c>
      <c r="M8" s="2">
        <f t="shared" si="1"/>
        <v>0</v>
      </c>
      <c r="N8" s="2">
        <f t="shared" si="2"/>
        <v>6</v>
      </c>
      <c r="O8" s="2">
        <f t="shared" si="3"/>
        <v>0</v>
      </c>
      <c r="P8" s="3">
        <f t="shared" si="4"/>
        <v>86</v>
      </c>
      <c r="Q8" s="3">
        <f t="shared" si="5"/>
        <v>126</v>
      </c>
      <c r="R8" s="3">
        <f t="shared" si="6"/>
        <v>-40</v>
      </c>
      <c r="S8" s="3">
        <f t="shared" si="10"/>
        <v>212</v>
      </c>
      <c r="T8" s="29">
        <f t="shared" si="8"/>
        <v>35.333333333333336</v>
      </c>
    </row>
    <row r="9" spans="1:20" ht="20.25" x14ac:dyDescent="0.3">
      <c r="A9" s="11">
        <v>7</v>
      </c>
      <c r="B9" s="19">
        <v>43772</v>
      </c>
      <c r="C9" s="55" t="s">
        <v>90</v>
      </c>
      <c r="D9" s="12">
        <v>17</v>
      </c>
      <c r="E9" s="55" t="s">
        <v>93</v>
      </c>
      <c r="F9" s="12">
        <v>21</v>
      </c>
      <c r="G9" s="15" t="str">
        <f t="shared" si="7"/>
        <v>Sandip / Zaheer</v>
      </c>
      <c r="H9">
        <f t="shared" si="9"/>
        <v>4</v>
      </c>
      <c r="S9" s="3" t="e">
        <f>SUM(#REF!)</f>
        <v>#REF!</v>
      </c>
      <c r="T9" s="29" t="e">
        <f>S9/#REF!</f>
        <v>#REF!</v>
      </c>
    </row>
    <row r="10" spans="1:20" ht="20.25" x14ac:dyDescent="0.3">
      <c r="A10" s="23">
        <v>8</v>
      </c>
      <c r="B10" s="31">
        <v>43772</v>
      </c>
      <c r="C10" s="55" t="s">
        <v>87</v>
      </c>
      <c r="D10" s="17">
        <v>11</v>
      </c>
      <c r="E10" s="55" t="s">
        <v>92</v>
      </c>
      <c r="F10" s="56">
        <v>21</v>
      </c>
      <c r="G10" s="15" t="str">
        <f t="shared" si="7"/>
        <v>Rukhsar / Mansoor</v>
      </c>
      <c r="H10">
        <f t="shared" si="9"/>
        <v>10</v>
      </c>
      <c r="S10" s="3" t="e">
        <f>SUM(#REF!)</f>
        <v>#REF!</v>
      </c>
      <c r="T10" s="29" t="e">
        <f>S10/#REF!</f>
        <v>#REF!</v>
      </c>
    </row>
    <row r="11" spans="1:20" ht="20.25" x14ac:dyDescent="0.3">
      <c r="A11" s="11">
        <v>9</v>
      </c>
      <c r="B11" s="22">
        <v>43779</v>
      </c>
      <c r="C11" s="55" t="s">
        <v>88</v>
      </c>
      <c r="D11" s="16">
        <v>10</v>
      </c>
      <c r="E11" s="55" t="s">
        <v>93</v>
      </c>
      <c r="F11" s="16">
        <v>21</v>
      </c>
      <c r="G11" s="15" t="str">
        <f t="shared" si="7"/>
        <v>Sandip / Zaheer</v>
      </c>
      <c r="H11">
        <f t="shared" si="9"/>
        <v>11</v>
      </c>
      <c r="K11" s="69" t="s">
        <v>95</v>
      </c>
      <c r="L11" s="69"/>
      <c r="M11" s="7">
        <f>COUNTIF(H3:H23,2)</f>
        <v>2</v>
      </c>
    </row>
    <row r="12" spans="1:20" ht="20.25" x14ac:dyDescent="0.3">
      <c r="A12" s="23">
        <v>10</v>
      </c>
      <c r="B12" s="26">
        <v>43779</v>
      </c>
      <c r="C12" s="55" t="s">
        <v>88</v>
      </c>
      <c r="D12" s="14">
        <v>12</v>
      </c>
      <c r="E12" s="55" t="s">
        <v>92</v>
      </c>
      <c r="F12" s="14">
        <v>21</v>
      </c>
      <c r="G12" s="15" t="str">
        <f t="shared" si="7"/>
        <v>Rukhsar / Mansoor</v>
      </c>
      <c r="H12">
        <f t="shared" si="9"/>
        <v>9</v>
      </c>
      <c r="S12" s="8" t="s">
        <v>18</v>
      </c>
      <c r="T12" s="30" t="e">
        <f>AVERAGE(T2:T10)</f>
        <v>#REF!</v>
      </c>
    </row>
    <row r="13" spans="1:20" ht="20.25" x14ac:dyDescent="0.3">
      <c r="A13" s="11">
        <v>11</v>
      </c>
      <c r="B13" s="20">
        <v>43786</v>
      </c>
      <c r="C13" s="55" t="s">
        <v>89</v>
      </c>
      <c r="D13" s="13">
        <v>13</v>
      </c>
      <c r="E13" s="55" t="s">
        <v>92</v>
      </c>
      <c r="F13" s="13">
        <v>21</v>
      </c>
      <c r="G13" s="15" t="str">
        <f t="shared" si="7"/>
        <v>Rukhsar / Mansoor</v>
      </c>
      <c r="H13">
        <f t="shared" si="9"/>
        <v>8</v>
      </c>
    </row>
    <row r="14" spans="1:20" ht="20.25" x14ac:dyDescent="0.3">
      <c r="A14" s="23">
        <v>12</v>
      </c>
      <c r="B14" s="20">
        <v>43786</v>
      </c>
      <c r="C14" s="55" t="s">
        <v>89</v>
      </c>
      <c r="D14" s="16">
        <v>21</v>
      </c>
      <c r="E14" s="55" t="s">
        <v>90</v>
      </c>
      <c r="F14" s="16">
        <v>12</v>
      </c>
      <c r="G14" s="15" t="str">
        <f t="shared" si="7"/>
        <v>Santosh / Asim</v>
      </c>
      <c r="H14">
        <f t="shared" si="9"/>
        <v>9</v>
      </c>
    </row>
    <row r="15" spans="1:20" ht="20.25" x14ac:dyDescent="0.3">
      <c r="A15" s="11">
        <v>13</v>
      </c>
      <c r="B15" s="18">
        <v>43786</v>
      </c>
      <c r="C15" s="55" t="s">
        <v>87</v>
      </c>
      <c r="D15" s="24">
        <v>22</v>
      </c>
      <c r="E15" s="55" t="s">
        <v>89</v>
      </c>
      <c r="F15" s="24">
        <v>24</v>
      </c>
      <c r="G15" s="15" t="str">
        <f t="shared" si="7"/>
        <v>Santosh / Asim</v>
      </c>
      <c r="H15">
        <f t="shared" si="9"/>
        <v>2</v>
      </c>
    </row>
    <row r="16" spans="1:20" ht="20.25" x14ac:dyDescent="0.3">
      <c r="A16" s="23">
        <v>14</v>
      </c>
      <c r="B16" s="18">
        <v>43793</v>
      </c>
      <c r="C16" s="55" t="s">
        <v>88</v>
      </c>
      <c r="D16" s="17">
        <v>12</v>
      </c>
      <c r="E16" s="55" t="s">
        <v>89</v>
      </c>
      <c r="F16" s="17">
        <v>21</v>
      </c>
      <c r="G16" s="15" t="str">
        <f t="shared" si="7"/>
        <v>Santosh / Asim</v>
      </c>
      <c r="H16">
        <f t="shared" si="9"/>
        <v>9</v>
      </c>
    </row>
    <row r="17" spans="1:8" ht="20.25" x14ac:dyDescent="0.3">
      <c r="A17" s="11">
        <v>15</v>
      </c>
      <c r="B17" s="20">
        <v>43793</v>
      </c>
      <c r="C17" s="55" t="s">
        <v>89</v>
      </c>
      <c r="D17" s="24">
        <v>16</v>
      </c>
      <c r="E17" s="55" t="s">
        <v>91</v>
      </c>
      <c r="F17" s="24">
        <v>21</v>
      </c>
      <c r="G17" s="15" t="str">
        <f t="shared" si="7"/>
        <v>Faiyaz / Purvaiz</v>
      </c>
      <c r="H17">
        <f t="shared" si="9"/>
        <v>5</v>
      </c>
    </row>
    <row r="18" spans="1:8" ht="20.25" x14ac:dyDescent="0.3">
      <c r="A18" s="23">
        <v>16</v>
      </c>
      <c r="B18" s="20">
        <v>43793</v>
      </c>
      <c r="C18" s="55" t="s">
        <v>88</v>
      </c>
      <c r="D18" s="13">
        <v>17</v>
      </c>
      <c r="E18" s="55" t="s">
        <v>91</v>
      </c>
      <c r="F18" s="13">
        <v>21</v>
      </c>
      <c r="G18" s="15" t="str">
        <f t="shared" si="7"/>
        <v>Faiyaz / Purvaiz</v>
      </c>
      <c r="H18">
        <f t="shared" si="9"/>
        <v>4</v>
      </c>
    </row>
    <row r="19" spans="1:8" ht="20.25" x14ac:dyDescent="0.3">
      <c r="A19" s="11">
        <v>17</v>
      </c>
      <c r="B19" s="18">
        <v>43793</v>
      </c>
      <c r="C19" s="55" t="s">
        <v>87</v>
      </c>
      <c r="D19" s="12">
        <v>21</v>
      </c>
      <c r="E19" s="55" t="s">
        <v>88</v>
      </c>
      <c r="F19" s="12">
        <v>19</v>
      </c>
      <c r="G19" s="15" t="str">
        <f t="shared" si="7"/>
        <v>Altamash / Nasim</v>
      </c>
      <c r="H19">
        <f t="shared" si="9"/>
        <v>2</v>
      </c>
    </row>
    <row r="20" spans="1:8" ht="20.25" x14ac:dyDescent="0.3">
      <c r="A20" s="23">
        <v>18</v>
      </c>
      <c r="B20" s="18">
        <v>43793</v>
      </c>
      <c r="C20" s="55" t="s">
        <v>87</v>
      </c>
      <c r="D20" s="24">
        <v>14</v>
      </c>
      <c r="E20" s="55" t="s">
        <v>91</v>
      </c>
      <c r="F20" s="24">
        <v>21</v>
      </c>
      <c r="G20" s="15" t="str">
        <f t="shared" si="7"/>
        <v>Faiyaz / Purvaiz</v>
      </c>
      <c r="H20">
        <f t="shared" si="9"/>
        <v>7</v>
      </c>
    </row>
    <row r="21" spans="1:8" ht="20.25" x14ac:dyDescent="0.3">
      <c r="A21" s="11">
        <v>19</v>
      </c>
      <c r="B21" s="18">
        <v>43793</v>
      </c>
      <c r="C21" s="55" t="s">
        <v>91</v>
      </c>
      <c r="D21" s="24">
        <v>21</v>
      </c>
      <c r="E21" s="55" t="s">
        <v>93</v>
      </c>
      <c r="F21" s="24">
        <v>14</v>
      </c>
      <c r="G21" s="15" t="str">
        <f t="shared" si="7"/>
        <v>Faiyaz / Purvaiz</v>
      </c>
      <c r="H21">
        <f t="shared" si="9"/>
        <v>7</v>
      </c>
    </row>
    <row r="22" spans="1:8" ht="20.25" x14ac:dyDescent="0.3">
      <c r="A22" s="23">
        <v>20</v>
      </c>
      <c r="B22" s="21">
        <v>43793</v>
      </c>
      <c r="C22" s="55" t="s">
        <v>88</v>
      </c>
      <c r="D22" s="14">
        <v>16</v>
      </c>
      <c r="E22" s="55" t="s">
        <v>90</v>
      </c>
      <c r="F22" s="14">
        <v>21</v>
      </c>
      <c r="G22" s="15" t="str">
        <f t="shared" si="7"/>
        <v>Shoaib / Jalal</v>
      </c>
      <c r="H22">
        <f t="shared" si="9"/>
        <v>5</v>
      </c>
    </row>
    <row r="23" spans="1:8" ht="20.25" x14ac:dyDescent="0.3">
      <c r="A23" s="11">
        <v>21</v>
      </c>
      <c r="B23" s="21">
        <v>43800</v>
      </c>
      <c r="C23" s="55" t="s">
        <v>91</v>
      </c>
      <c r="D23" s="24">
        <v>16</v>
      </c>
      <c r="E23" s="55" t="s">
        <v>92</v>
      </c>
      <c r="F23" s="24">
        <v>21</v>
      </c>
      <c r="G23" s="15" t="str">
        <f t="shared" si="7"/>
        <v>Rukhsar / Mansoor</v>
      </c>
      <c r="H23">
        <f t="shared" si="9"/>
        <v>5</v>
      </c>
    </row>
    <row r="24" spans="1:8" ht="20.25" x14ac:dyDescent="0.3">
      <c r="B24" s="66" t="s">
        <v>15</v>
      </c>
      <c r="C24" s="67"/>
      <c r="D24" s="67"/>
      <c r="E24" s="38"/>
      <c r="F24" s="39"/>
      <c r="G24" s="2">
        <f>COUNTA(F3:F23)</f>
        <v>21</v>
      </c>
    </row>
  </sheetData>
  <sortState xmlns:xlrd2="http://schemas.microsoft.com/office/spreadsheetml/2017/richdata2" ref="K2:R8">
    <sortCondition descending="1" ref="O2:O8"/>
    <sortCondition descending="1" ref="R2:R8"/>
  </sortState>
  <mergeCells count="3">
    <mergeCell ref="K11:L11"/>
    <mergeCell ref="B24:D24"/>
    <mergeCell ref="A1:E1"/>
  </mergeCells>
  <conditionalFormatting sqref="S2:S8 S10">
    <cfRule type="top10" dxfId="3" priority="7" rank="1"/>
  </conditionalFormatting>
  <conditionalFormatting sqref="T2:T8 T10">
    <cfRule type="top10" dxfId="2" priority="8" rank="1"/>
  </conditionalFormatting>
  <conditionalFormatting sqref="S9">
    <cfRule type="top10" dxfId="1" priority="5" rank="1"/>
  </conditionalFormatting>
  <conditionalFormatting sqref="T9">
    <cfRule type="top10" dxfId="0" priority="6" rank="1"/>
  </conditionalFormatting>
  <conditionalFormatting sqref="A3:B23 D3:D23 F3:G23">
    <cfRule type="colorScale" priority="16">
      <colorScale>
        <cfvo type="min"/>
        <cfvo type="percentile" val="50"/>
        <cfvo type="max"/>
        <color rgb="FFF8696B"/>
        <color rgb="FFFCFCFF"/>
        <color rgb="FF63BE7B"/>
      </colorScale>
    </cfRule>
  </conditionalFormatting>
  <conditionalFormatting sqref="B3:B23">
    <cfRule type="colorScale" priority="17">
      <colorScale>
        <cfvo type="min"/>
        <cfvo type="percentile" val="50"/>
        <cfvo type="max"/>
        <color rgb="FF63BE7B"/>
        <color rgb="FFFFEB84"/>
        <color rgb="FFF8696B"/>
      </colorScale>
    </cfRule>
  </conditionalFormatting>
  <pageMargins left="0.9055118110236221" right="0.31496062992125984" top="0.74803149606299213" bottom="0.74803149606299213" header="0.31496062992125984" footer="0.31496062992125984"/>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R38"/>
  <sheetViews>
    <sheetView workbookViewId="0">
      <selection activeCell="J17" sqref="J17:J21"/>
    </sheetView>
  </sheetViews>
  <sheetFormatPr defaultRowHeight="12.75" x14ac:dyDescent="0.2"/>
  <cols>
    <col min="1" max="1" width="3.7109375" customWidth="1"/>
    <col min="2" max="2" width="21.42578125" bestFit="1" customWidth="1"/>
    <col min="3" max="3" width="2.5703125" customWidth="1"/>
    <col min="4" max="4" width="5" bestFit="1" customWidth="1"/>
    <col min="5" max="5" width="3.28515625" customWidth="1"/>
    <col min="6" max="6" width="5" bestFit="1" customWidth="1"/>
    <col min="7" max="7" width="3.28515625" customWidth="1"/>
    <col min="8" max="8" width="5" bestFit="1" customWidth="1"/>
    <col min="9" max="9" width="3.28515625" customWidth="1"/>
    <col min="10" max="10" width="20.42578125" customWidth="1"/>
    <col min="11" max="11" width="2.7109375" customWidth="1"/>
    <col min="12" max="12" width="4.85546875" bestFit="1" customWidth="1"/>
    <col min="13" max="13" width="2.42578125" customWidth="1"/>
    <col min="14" max="14" width="4.85546875" bestFit="1" customWidth="1"/>
    <col min="15" max="15" width="2.42578125" customWidth="1"/>
    <col min="16" max="16" width="4.85546875" bestFit="1" customWidth="1"/>
    <col min="17" max="17" width="9" customWidth="1"/>
    <col min="18" max="18" width="26.7109375" customWidth="1"/>
  </cols>
  <sheetData>
    <row r="1" spans="1:18" x14ac:dyDescent="0.2">
      <c r="B1" s="8" t="s">
        <v>28</v>
      </c>
      <c r="D1" s="8" t="s">
        <v>25</v>
      </c>
      <c r="F1" s="8" t="s">
        <v>26</v>
      </c>
      <c r="H1" s="8" t="s">
        <v>27</v>
      </c>
      <c r="J1" s="8" t="s">
        <v>29</v>
      </c>
      <c r="L1" s="8" t="s">
        <v>25</v>
      </c>
      <c r="M1" s="8"/>
      <c r="N1" s="8" t="s">
        <v>26</v>
      </c>
      <c r="O1" s="8"/>
      <c r="P1" s="8" t="s">
        <v>27</v>
      </c>
    </row>
    <row r="2" spans="1:18" ht="13.5" thickBot="1" x14ac:dyDescent="0.25">
      <c r="B2" s="33"/>
      <c r="C2" s="33"/>
    </row>
    <row r="3" spans="1:18" x14ac:dyDescent="0.2">
      <c r="A3" t="s">
        <v>108</v>
      </c>
      <c r="B3" s="85" t="str">
        <f>'Group A'!K2</f>
        <v>Prasanna / Usman</v>
      </c>
      <c r="C3" s="33"/>
      <c r="D3" s="82">
        <v>23</v>
      </c>
      <c r="F3" s="82">
        <v>16</v>
      </c>
      <c r="H3" s="82"/>
    </row>
    <row r="4" spans="1:18" ht="13.5" thickBot="1" x14ac:dyDescent="0.25">
      <c r="B4" s="86"/>
      <c r="C4" s="33"/>
      <c r="D4" s="83"/>
      <c r="F4" s="83"/>
      <c r="H4" s="83"/>
      <c r="J4" s="34"/>
      <c r="K4" s="34"/>
    </row>
    <row r="5" spans="1:18" ht="13.5" thickBot="1" x14ac:dyDescent="0.25">
      <c r="B5" s="87"/>
      <c r="C5" s="33"/>
      <c r="D5" s="84"/>
      <c r="F5" s="84"/>
      <c r="H5" s="84"/>
      <c r="J5" s="88" t="str">
        <f>IF(D3+F3+H3&gt;0,IF(D3+F3+H3&gt;D9+F9+H9, B3,B9),"")</f>
        <v>Santosh / Asim</v>
      </c>
      <c r="K5" s="34"/>
      <c r="L5" s="73">
        <v>21</v>
      </c>
      <c r="N5" s="73">
        <v>21</v>
      </c>
      <c r="P5" s="76"/>
    </row>
    <row r="6" spans="1:18" ht="13.5" thickBot="1" x14ac:dyDescent="0.25">
      <c r="C6" s="33"/>
      <c r="J6" s="88"/>
      <c r="K6" s="34"/>
      <c r="L6" s="74"/>
      <c r="N6" s="74"/>
      <c r="P6" s="77"/>
    </row>
    <row r="7" spans="1:18" ht="17.25" customHeight="1" thickBot="1" x14ac:dyDescent="0.25">
      <c r="B7" s="35">
        <v>43856</v>
      </c>
      <c r="C7" s="33"/>
      <c r="D7" s="33"/>
      <c r="E7" s="33"/>
      <c r="F7" s="33"/>
      <c r="G7" s="33"/>
      <c r="H7" s="33"/>
      <c r="I7" s="33"/>
      <c r="J7" s="88"/>
      <c r="K7" s="34"/>
      <c r="L7" s="74"/>
      <c r="N7" s="74"/>
      <c r="P7" s="77"/>
    </row>
    <row r="8" spans="1:18" ht="13.5" thickBot="1" x14ac:dyDescent="0.25">
      <c r="C8" s="33"/>
      <c r="J8" s="88"/>
      <c r="K8" s="34"/>
      <c r="L8" s="74"/>
      <c r="N8" s="74"/>
      <c r="P8" s="77"/>
    </row>
    <row r="9" spans="1:18" ht="18" customHeight="1" thickBot="1" x14ac:dyDescent="0.4">
      <c r="A9" t="s">
        <v>109</v>
      </c>
      <c r="B9" s="79" t="str">
        <f>'Group B'!K3</f>
        <v>Santosh / Asim</v>
      </c>
      <c r="C9" s="33"/>
      <c r="D9" s="82">
        <v>25</v>
      </c>
      <c r="F9" s="82">
        <v>21</v>
      </c>
      <c r="H9" s="82"/>
      <c r="J9" s="88"/>
      <c r="K9" s="34"/>
      <c r="L9" s="75"/>
      <c r="N9" s="75"/>
      <c r="P9" s="78"/>
      <c r="R9" s="36" t="s">
        <v>3</v>
      </c>
    </row>
    <row r="10" spans="1:18" ht="12.75" customHeight="1" x14ac:dyDescent="0.2">
      <c r="B10" s="80"/>
      <c r="C10" s="33"/>
      <c r="D10" s="83"/>
      <c r="F10" s="83"/>
      <c r="H10" s="83"/>
      <c r="K10" s="34"/>
    </row>
    <row r="11" spans="1:18" ht="12.75" customHeight="1" thickBot="1" x14ac:dyDescent="0.25">
      <c r="B11" s="81"/>
      <c r="C11" s="33"/>
      <c r="D11" s="84"/>
      <c r="F11" s="84"/>
      <c r="H11" s="84"/>
      <c r="K11" s="34"/>
      <c r="R11" s="89" t="str">
        <f>IF(L5+N5+P5&gt;0,IF(L5+N5+P5&gt;L17+N17+P17, J5,J17),"")</f>
        <v>Santosh / Asim</v>
      </c>
    </row>
    <row r="12" spans="1:18" ht="12.75" customHeight="1" thickBot="1" x14ac:dyDescent="0.25">
      <c r="B12" s="33"/>
      <c r="C12" s="33"/>
      <c r="K12" s="34"/>
      <c r="R12" s="90"/>
    </row>
    <row r="13" spans="1:18" ht="12.75" customHeight="1" thickBot="1" x14ac:dyDescent="0.25">
      <c r="J13" s="35">
        <v>43863</v>
      </c>
      <c r="K13" s="34"/>
      <c r="L13" s="34"/>
      <c r="M13" s="34"/>
      <c r="N13" s="34"/>
      <c r="O13" s="34"/>
      <c r="P13" s="34"/>
      <c r="Q13" s="34"/>
      <c r="R13" s="90"/>
    </row>
    <row r="14" spans="1:18" ht="12.75" customHeight="1" thickBot="1" x14ac:dyDescent="0.25">
      <c r="B14" s="33"/>
      <c r="C14" s="33"/>
      <c r="K14" s="34"/>
      <c r="R14" s="90"/>
    </row>
    <row r="15" spans="1:18" ht="13.5" customHeight="1" x14ac:dyDescent="0.2">
      <c r="A15" t="s">
        <v>110</v>
      </c>
      <c r="B15" s="79" t="str">
        <f>'Group A'!K3</f>
        <v>Joe / Shiju</v>
      </c>
      <c r="C15" s="33"/>
      <c r="D15" s="82"/>
      <c r="F15" s="82"/>
      <c r="H15" s="82"/>
      <c r="K15" s="34"/>
      <c r="R15" s="91"/>
    </row>
    <row r="16" spans="1:18" ht="13.5" customHeight="1" thickBot="1" x14ac:dyDescent="0.25">
      <c r="B16" s="80"/>
      <c r="C16" s="33"/>
      <c r="D16" s="83"/>
      <c r="F16" s="83"/>
      <c r="H16" s="83"/>
      <c r="K16" s="34"/>
    </row>
    <row r="17" spans="1:18" ht="12.75" customHeight="1" thickBot="1" x14ac:dyDescent="0.25">
      <c r="B17" s="81"/>
      <c r="C17" s="33"/>
      <c r="D17" s="84"/>
      <c r="F17" s="84"/>
      <c r="H17" s="84"/>
      <c r="J17" s="88" t="str">
        <f>B21</f>
        <v>Shoaib / Jalal</v>
      </c>
      <c r="K17" s="34"/>
      <c r="L17" s="73">
        <v>13</v>
      </c>
      <c r="N17" s="73">
        <v>12</v>
      </c>
      <c r="P17" s="76"/>
    </row>
    <row r="18" spans="1:18" ht="13.5" customHeight="1" thickBot="1" x14ac:dyDescent="0.25">
      <c r="C18" s="33"/>
      <c r="J18" s="88"/>
      <c r="K18" s="34"/>
      <c r="L18" s="74"/>
      <c r="N18" s="74"/>
      <c r="P18" s="77"/>
    </row>
    <row r="19" spans="1:18" ht="19.5" customHeight="1" thickBot="1" x14ac:dyDescent="0.4">
      <c r="B19" s="35" t="s">
        <v>112</v>
      </c>
      <c r="C19" s="33"/>
      <c r="D19" s="33"/>
      <c r="E19" s="33"/>
      <c r="F19" s="33"/>
      <c r="G19" s="33"/>
      <c r="H19" s="33"/>
      <c r="I19" s="33"/>
      <c r="J19" s="88"/>
      <c r="K19" s="34"/>
      <c r="L19" s="74"/>
      <c r="N19" s="74"/>
      <c r="P19" s="77"/>
      <c r="R19" s="36" t="s">
        <v>30</v>
      </c>
    </row>
    <row r="20" spans="1:18" ht="13.5" customHeight="1" thickBot="1" x14ac:dyDescent="0.25">
      <c r="C20" s="33"/>
      <c r="J20" s="88"/>
      <c r="K20" s="34"/>
      <c r="L20" s="74"/>
      <c r="N20" s="74"/>
      <c r="P20" s="77"/>
    </row>
    <row r="21" spans="1:18" ht="13.5" customHeight="1" thickBot="1" x14ac:dyDescent="0.25">
      <c r="A21" t="s">
        <v>111</v>
      </c>
      <c r="B21" s="79" t="str">
        <f>'Group B'!K2</f>
        <v>Shoaib / Jalal</v>
      </c>
      <c r="C21" s="33"/>
      <c r="D21" s="82"/>
      <c r="F21" s="82"/>
      <c r="H21" s="82"/>
      <c r="J21" s="88"/>
      <c r="K21" s="34"/>
      <c r="L21" s="75"/>
      <c r="N21" s="75"/>
      <c r="P21" s="78"/>
      <c r="R21" s="92" t="str">
        <f>J17</f>
        <v>Shoaib / Jalal</v>
      </c>
    </row>
    <row r="22" spans="1:18" ht="12.75" customHeight="1" x14ac:dyDescent="0.2">
      <c r="B22" s="80"/>
      <c r="C22" s="33"/>
      <c r="D22" s="83"/>
      <c r="F22" s="83"/>
      <c r="H22" s="83"/>
      <c r="J22" s="34"/>
      <c r="K22" s="34"/>
      <c r="R22" s="93"/>
    </row>
    <row r="23" spans="1:18" ht="12.75" customHeight="1" thickBot="1" x14ac:dyDescent="0.25">
      <c r="B23" s="81"/>
      <c r="C23" s="33"/>
      <c r="D23" s="84"/>
      <c r="F23" s="84"/>
      <c r="H23" s="84"/>
      <c r="R23" s="93"/>
    </row>
    <row r="24" spans="1:18" x14ac:dyDescent="0.2">
      <c r="B24" s="33"/>
      <c r="C24" s="33"/>
      <c r="R24" s="94"/>
    </row>
    <row r="25" spans="1:18" x14ac:dyDescent="0.2">
      <c r="J25" s="8" t="s">
        <v>31</v>
      </c>
    </row>
    <row r="26" spans="1:18" ht="13.5" thickBot="1" x14ac:dyDescent="0.25">
      <c r="J26" s="37"/>
      <c r="K26" s="37"/>
    </row>
    <row r="27" spans="1:18" x14ac:dyDescent="0.2">
      <c r="J27" s="88" t="str">
        <f>IF(D3+F3+H3&gt;0,IF(D3+F3+H3&gt;D9+F9+H9, B9,B3),"")</f>
        <v>Prasanna / Usman</v>
      </c>
      <c r="K27" s="37"/>
      <c r="L27" s="73"/>
      <c r="N27" s="73"/>
      <c r="P27" s="76"/>
    </row>
    <row r="28" spans="1:18" ht="23.25" x14ac:dyDescent="0.35">
      <c r="J28" s="88"/>
      <c r="K28" s="37"/>
      <c r="L28" s="74"/>
      <c r="N28" s="74"/>
      <c r="P28" s="77"/>
      <c r="R28" s="36" t="s">
        <v>32</v>
      </c>
    </row>
    <row r="29" spans="1:18" x14ac:dyDescent="0.2">
      <c r="J29" s="88"/>
      <c r="K29" s="37"/>
      <c r="L29" s="74"/>
      <c r="N29" s="74"/>
      <c r="P29" s="77"/>
    </row>
    <row r="30" spans="1:18" ht="13.5" customHeight="1" thickBot="1" x14ac:dyDescent="0.25">
      <c r="J30" s="88"/>
      <c r="K30" s="37"/>
      <c r="L30" s="75"/>
      <c r="N30" s="75"/>
      <c r="P30" s="78"/>
      <c r="R30" s="95" t="str">
        <f>IF(L27+N27+P27&gt;0,IF(L27+N27+P27&gt;L34+N34+P34, J27,J34),"")</f>
        <v/>
      </c>
    </row>
    <row r="31" spans="1:18" ht="12.75" customHeight="1" thickBot="1" x14ac:dyDescent="0.25">
      <c r="K31" s="37"/>
      <c r="R31" s="96"/>
    </row>
    <row r="32" spans="1:18" ht="12.75" customHeight="1" thickBot="1" x14ac:dyDescent="0.25">
      <c r="J32" s="35"/>
      <c r="K32" s="37"/>
      <c r="L32" s="37"/>
      <c r="M32" s="37"/>
      <c r="N32" s="37"/>
      <c r="O32" s="37"/>
      <c r="P32" s="37"/>
      <c r="Q32" s="37"/>
      <c r="R32" s="96"/>
    </row>
    <row r="33" spans="10:18" ht="13.5" customHeight="1" thickBot="1" x14ac:dyDescent="0.25">
      <c r="K33" s="37"/>
      <c r="R33" s="96"/>
    </row>
    <row r="34" spans="10:18" ht="13.5" customHeight="1" x14ac:dyDescent="0.2">
      <c r="J34" s="63"/>
      <c r="K34" s="37"/>
      <c r="L34" s="73"/>
      <c r="N34" s="73"/>
      <c r="P34" s="76"/>
      <c r="R34" s="97"/>
    </row>
    <row r="35" spans="10:18" x14ac:dyDescent="0.2">
      <c r="J35" s="63"/>
      <c r="K35" s="37"/>
      <c r="L35" s="74"/>
      <c r="N35" s="74"/>
      <c r="P35" s="77"/>
    </row>
    <row r="36" spans="10:18" x14ac:dyDescent="0.2">
      <c r="J36" s="63"/>
      <c r="K36" s="37"/>
      <c r="L36" s="74"/>
      <c r="N36" s="74"/>
      <c r="P36" s="77"/>
    </row>
    <row r="37" spans="10:18" ht="13.5" thickBot="1" x14ac:dyDescent="0.25">
      <c r="J37" s="63"/>
      <c r="K37" s="37"/>
      <c r="L37" s="75"/>
      <c r="N37" s="75"/>
      <c r="P37" s="78"/>
    </row>
    <row r="38" spans="10:18" x14ac:dyDescent="0.2">
      <c r="J38" s="37"/>
      <c r="K38" s="37"/>
    </row>
  </sheetData>
  <mergeCells count="35">
    <mergeCell ref="J27:J30"/>
    <mergeCell ref="L27:L30"/>
    <mergeCell ref="N27:N30"/>
    <mergeCell ref="P27:P30"/>
    <mergeCell ref="R30:R34"/>
    <mergeCell ref="J34:J37"/>
    <mergeCell ref="L34:L37"/>
    <mergeCell ref="N34:N37"/>
    <mergeCell ref="P34:P37"/>
    <mergeCell ref="R11:R15"/>
    <mergeCell ref="B15:B17"/>
    <mergeCell ref="D15:D17"/>
    <mergeCell ref="F15:F17"/>
    <mergeCell ref="H15:H17"/>
    <mergeCell ref="J17:J21"/>
    <mergeCell ref="L17:L21"/>
    <mergeCell ref="N17:N21"/>
    <mergeCell ref="P17:P21"/>
    <mergeCell ref="B21:B23"/>
    <mergeCell ref="R21:R24"/>
    <mergeCell ref="D21:D23"/>
    <mergeCell ref="F21:F23"/>
    <mergeCell ref="H21:H23"/>
    <mergeCell ref="N5:N9"/>
    <mergeCell ref="P5:P9"/>
    <mergeCell ref="B9:B11"/>
    <mergeCell ref="D9:D11"/>
    <mergeCell ref="F9:F11"/>
    <mergeCell ref="H9:H11"/>
    <mergeCell ref="B3:B5"/>
    <mergeCell ref="D3:D5"/>
    <mergeCell ref="F3:F5"/>
    <mergeCell ref="H3:H5"/>
    <mergeCell ref="J5:J9"/>
    <mergeCell ref="L5:L9"/>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Dates</vt:lpstr>
      <vt:lpstr>Group A</vt:lpstr>
      <vt:lpstr>Availability</vt:lpstr>
      <vt:lpstr>Group B</vt:lpstr>
      <vt:lpstr>Knockouts</vt:lpstr>
      <vt:lpstr>'Group B'!POINTS_TABLE</vt:lpstr>
      <vt:lpstr>POINTS_TABLE</vt:lpstr>
      <vt:lpstr>'Group A'!Print_Area</vt:lpstr>
      <vt:lpstr>'Group B'!Print_Area</vt:lpstr>
      <vt:lpstr>TEAMS_A</vt:lpstr>
      <vt:lpstr>TEAMS_B</vt:lpstr>
    </vt:vector>
  </TitlesOfParts>
  <Company>JPMorgan Chase and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Shrestha, Deepesh X</dc:creator>
  <cp:lastModifiedBy>Deepesh Shrestha</cp:lastModifiedBy>
  <cp:lastPrinted>2018-01-06T18:33:07Z</cp:lastPrinted>
  <dcterms:created xsi:type="dcterms:W3CDTF">2017-11-21T09:43:51Z</dcterms:created>
  <dcterms:modified xsi:type="dcterms:W3CDTF">2026-06-26T03:43:25Z</dcterms:modified>
</cp:coreProperties>
</file>